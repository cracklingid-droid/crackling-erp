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ayslip GS, KG Joglo" sheetId="2" r:id="rId5"/>
    <sheet state="visible" name="Hitungan" sheetId="3" r:id="rId6"/>
    <sheet state="visible" name="SSOD" sheetId="4" r:id="rId7"/>
    <sheet state="visible" name="Panduan Gaji" sheetId="5" r:id="rId8"/>
    <sheet state="hidden" name="tgl merah 25" sheetId="6" r:id="rId9"/>
  </sheets>
  <definedNames>
    <definedName hidden="1" localSheetId="0" name="_xlnm._FilterDatabase">Recap!$A$1:$AC$1033</definedName>
    <definedName hidden="1" localSheetId="1" name="_xlnm._FilterDatabase">'Payslip GS, KG Joglo'!$H$1:$M$987</definedName>
    <definedName hidden="1" localSheetId="2" name="_xlnm._FilterDatabase">Hitungan!$A$1:$L$1114</definedName>
    <definedName hidden="1" localSheetId="3" name="_xlnm._FilterDatabase">SSOD!$A$1:$D$786</definedName>
    <definedName hidden="1" localSheetId="4" name="_xlnm._FilterDatabase">'Panduan Gaji'!$A$1:$AF$1002</definedName>
  </definedNames>
  <calcPr/>
  <extLst>
    <ext uri="GoogleSheetsCustomDataVersion2">
      <go:sheetsCustomData xmlns:go="http://customooxmlschemas.google.com/" r:id="rId10" roundtripDataChecksum="tRFvEgn1V5FiwUCUWiOgsvJTvHPfjzg3xaAE1oGyv9Y="/>
    </ext>
  </extLst>
</workbook>
</file>

<file path=xl/sharedStrings.xml><?xml version="1.0" encoding="utf-8"?>
<sst xmlns="http://schemas.openxmlformats.org/spreadsheetml/2006/main" count="1792" uniqueCount="199">
  <si>
    <t xml:space="preserve">  </t>
  </si>
  <si>
    <t>Kode</t>
  </si>
  <si>
    <t>Jenis</t>
  </si>
  <si>
    <t>Nama</t>
  </si>
  <si>
    <t>Tanggal</t>
  </si>
  <si>
    <t>Status</t>
  </si>
  <si>
    <t>Gaji Pokok</t>
  </si>
  <si>
    <t>Uang Transport</t>
  </si>
  <si>
    <t>Rate Harian</t>
  </si>
  <si>
    <t>Uang Makan</t>
  </si>
  <si>
    <t>Uang Makan Baru</t>
  </si>
  <si>
    <t>Kehadiran</t>
  </si>
  <si>
    <t>Lembur</t>
  </si>
  <si>
    <t>Rate</t>
  </si>
  <si>
    <t>Gaji Per Jam</t>
  </si>
  <si>
    <t>Total Gaji</t>
  </si>
  <si>
    <t>Bonus</t>
  </si>
  <si>
    <t>Gaji Harian</t>
  </si>
  <si>
    <t>Pengembalian Deposit</t>
  </si>
  <si>
    <t>Total Penghasilan</t>
  </si>
  <si>
    <t>Working Day</t>
  </si>
  <si>
    <t>Tagging</t>
  </si>
  <si>
    <t>Outlet</t>
  </si>
  <si>
    <t>Jadwal</t>
  </si>
  <si>
    <t>Masuk</t>
  </si>
  <si>
    <t>Nomor Rekening</t>
  </si>
  <si>
    <t>Pay per day</t>
  </si>
  <si>
    <t>Terlambat (HOURS)</t>
  </si>
  <si>
    <t>Pulang</t>
  </si>
  <si>
    <t>Nama di rekening</t>
  </si>
  <si>
    <t>Keterlambatan</t>
  </si>
  <si>
    <t>Keterangan</t>
  </si>
  <si>
    <t>Bank</t>
  </si>
  <si>
    <t>Pengurangan Dari Kejadian</t>
  </si>
  <si>
    <t>Pengurangan SP</t>
  </si>
  <si>
    <t>Kode Bank FLIP</t>
  </si>
  <si>
    <t>Kasbon</t>
  </si>
  <si>
    <t>Pembayaran Deposit</t>
  </si>
  <si>
    <t>Total Pengurang</t>
  </si>
  <si>
    <t>Service Charge</t>
  </si>
  <si>
    <t>Take Home Pay</t>
  </si>
  <si>
    <t>Take Home Pay Rounding</t>
  </si>
  <si>
    <t>CRACKLING</t>
  </si>
  <si>
    <t>Renaldi</t>
  </si>
  <si>
    <t>Transfer Dari</t>
  </si>
  <si>
    <t>Joglo</t>
  </si>
  <si>
    <t>2880127091</t>
  </si>
  <si>
    <t>Renaldi Leo tarigan</t>
  </si>
  <si>
    <t>BCA</t>
  </si>
  <si>
    <t>Ano</t>
  </si>
  <si>
    <t>Raihan</t>
  </si>
  <si>
    <t>Teguh</t>
  </si>
  <si>
    <t>Titus</t>
  </si>
  <si>
    <t>GS</t>
  </si>
  <si>
    <t>7485351451</t>
  </si>
  <si>
    <t>Titus Wegi Ziraluo</t>
  </si>
  <si>
    <t>No Karyawan</t>
  </si>
  <si>
    <t>Sekar</t>
  </si>
  <si>
    <t>6041421310</t>
  </si>
  <si>
    <t>-</t>
  </si>
  <si>
    <t>Sekar Mayang Febri Rahayu</t>
  </si>
  <si>
    <t>SGB</t>
  </si>
  <si>
    <t>Jenis Gaji</t>
  </si>
  <si>
    <t>Jumlah</t>
  </si>
  <si>
    <t>Kalkulasi</t>
  </si>
  <si>
    <t>Total</t>
  </si>
  <si>
    <t>Ahmad</t>
  </si>
  <si>
    <t>5205037915</t>
  </si>
  <si>
    <t>Ahmad Yani</t>
  </si>
  <si>
    <t>Valen</t>
  </si>
  <si>
    <t>1082457989</t>
  </si>
  <si>
    <t>Valentino Kurniawan</t>
  </si>
  <si>
    <t>17an dpt uang makan</t>
  </si>
  <si>
    <t>Rifai</t>
  </si>
  <si>
    <t>Audy</t>
  </si>
  <si>
    <t>SBR</t>
  </si>
  <si>
    <t>Wise</t>
  </si>
  <si>
    <t>8832380481</t>
  </si>
  <si>
    <t>Wise Mariana Bulan</t>
  </si>
  <si>
    <t>Nur Andika</t>
  </si>
  <si>
    <t>7263026111</t>
  </si>
  <si>
    <t xml:space="preserve">Nur Muhamad Andika </t>
  </si>
  <si>
    <t>Jerrel</t>
  </si>
  <si>
    <t>Pemotongan SP</t>
  </si>
  <si>
    <t>Made</t>
  </si>
  <si>
    <t>Deposit</t>
  </si>
  <si>
    <t>SBB</t>
  </si>
  <si>
    <t>Irvan</t>
  </si>
  <si>
    <t>KG</t>
  </si>
  <si>
    <t>4910610860</t>
  </si>
  <si>
    <t>Irvan Putra Sondrorogo</t>
  </si>
  <si>
    <t>Rizky</t>
  </si>
  <si>
    <t>6430268323</t>
  </si>
  <si>
    <t>Rizky Maulana</t>
  </si>
  <si>
    <t>Sabrina</t>
  </si>
  <si>
    <t>0070991691</t>
  </si>
  <si>
    <t xml:space="preserve">Sabrina Nurhaliza </t>
  </si>
  <si>
    <t>08 s.d 20</t>
  </si>
  <si>
    <t>Nurwahid</t>
  </si>
  <si>
    <t>901445613594</t>
  </si>
  <si>
    <t>Muhamad Nurwahid</t>
  </si>
  <si>
    <t>Seabank</t>
  </si>
  <si>
    <t>Potongan</t>
  </si>
  <si>
    <t>Rovi</t>
  </si>
  <si>
    <t>1790386872</t>
  </si>
  <si>
    <t>M.Rovi Hakiki Samsi</t>
  </si>
  <si>
    <t>Ferdy</t>
  </si>
  <si>
    <t>4610662485</t>
  </si>
  <si>
    <t>Ferdyansah Agus Saputra</t>
  </si>
  <si>
    <t>Fasilitas Mess</t>
  </si>
  <si>
    <t>Danilo</t>
  </si>
  <si>
    <t>901969011802</t>
  </si>
  <si>
    <t>Danilo Fernando</t>
  </si>
  <si>
    <t>Ridho</t>
  </si>
  <si>
    <t>901941347552</t>
  </si>
  <si>
    <t xml:space="preserve">Ridho Ananta </t>
  </si>
  <si>
    <t>Rifki</t>
  </si>
  <si>
    <t>Total Potongan</t>
  </si>
  <si>
    <t>Revan</t>
  </si>
  <si>
    <t>Transfer 10/6/2026</t>
  </si>
  <si>
    <t>Transfer 25/6/2026</t>
  </si>
  <si>
    <t>Hekeng Rusak</t>
  </si>
  <si>
    <t>Maman</t>
  </si>
  <si>
    <t>Andri</t>
  </si>
  <si>
    <t>Bulan</t>
  </si>
  <si>
    <t>Fatgai</t>
  </si>
  <si>
    <t>Sanusi</t>
  </si>
  <si>
    <t>Fanny</t>
  </si>
  <si>
    <t>Uang Transport Training</t>
  </si>
  <si>
    <t>Uang Transport Kontrak</t>
  </si>
  <si>
    <t>Wahidin</t>
  </si>
  <si>
    <t>TOTAL</t>
  </si>
  <si>
    <t>Cek SUM Service Charge</t>
  </si>
  <si>
    <t>Diff</t>
  </si>
  <si>
    <t>DATA BELUM TERSEDIA</t>
  </si>
  <si>
    <t>Transfer tgl 25</t>
  </si>
  <si>
    <t>WP</t>
  </si>
  <si>
    <t>Template FLIP</t>
  </si>
  <si>
    <t>10 s.d 22</t>
  </si>
  <si>
    <t>Kelebihan input</t>
  </si>
  <si>
    <t>Menumpahkan hoisin</t>
  </si>
  <si>
    <t>No</t>
  </si>
  <si>
    <t>Nama Lengkap</t>
  </si>
  <si>
    <t>Nama di absen</t>
  </si>
  <si>
    <t>Tanggal Masuk</t>
  </si>
  <si>
    <t>Gaji Training</t>
  </si>
  <si>
    <t>Day Work</t>
  </si>
  <si>
    <t>Perkiraan Gaji</t>
  </si>
  <si>
    <t>Gaji per jam</t>
  </si>
  <si>
    <t>Notes</t>
  </si>
  <si>
    <t>Kontrak Saat ini</t>
  </si>
  <si>
    <t>Periode</t>
  </si>
  <si>
    <t>Lama Bekerja
( Hari )</t>
  </si>
  <si>
    <t>Renaldi Leo Tarigan</t>
  </si>
  <si>
    <t>12 bulan</t>
  </si>
  <si>
    <t>1/1/2026 - 1/1/2027</t>
  </si>
  <si>
    <t>Alce Forneta Bulan</t>
  </si>
  <si>
    <t>Muhammad Rifai</t>
  </si>
  <si>
    <t>part time</t>
  </si>
  <si>
    <t xml:space="preserve">Ridho </t>
  </si>
  <si>
    <t>Rifki Fariz Anwar</t>
  </si>
  <si>
    <t>Kevin Ano Ariyanto</t>
  </si>
  <si>
    <t>Raihan Said</t>
  </si>
  <si>
    <t>Teguh Samudra</t>
  </si>
  <si>
    <t>Tidak sengaja pecahkan gelas teapot</t>
  </si>
  <si>
    <t>Salah input salt &amp; papper rice</t>
  </si>
  <si>
    <t>Salah input bakur kuah lada small</t>
  </si>
  <si>
    <t>Salah buat pesanan, harusnya mie goreng</t>
  </si>
  <si>
    <t>Goreng katsu dan bakso 2 porsi gosong</t>
  </si>
  <si>
    <t>Ganti rugi daging hilang</t>
  </si>
  <si>
    <t>Ambil 2 plastik merah besar</t>
  </si>
  <si>
    <t>Tidak sengaja mecahkan mangkok bakmie</t>
  </si>
  <si>
    <t>Hengky</t>
  </si>
  <si>
    <t>Pluit</t>
  </si>
  <si>
    <t>Aldihidayat</t>
  </si>
  <si>
    <t>Muhammad Heri Agustiawan</t>
  </si>
  <si>
    <t>Putri Amelia</t>
  </si>
  <si>
    <t>Calvin Nata</t>
  </si>
  <si>
    <t>Yohanes Eysar</t>
  </si>
  <si>
    <t>Prasetyo</t>
  </si>
  <si>
    <t>Dimas</t>
  </si>
  <si>
    <t>Kasih</t>
  </si>
  <si>
    <t>Nandar</t>
  </si>
  <si>
    <t>Valentino</t>
  </si>
  <si>
    <t>Serpong</t>
  </si>
  <si>
    <t>Herlan Sitanggang</t>
  </si>
  <si>
    <t>Nyimas Dewi Intan</t>
  </si>
  <si>
    <t>mohamad shoib</t>
  </si>
  <si>
    <t>Fahmi</t>
  </si>
  <si>
    <t>Faisal</t>
  </si>
  <si>
    <t>Tinus</t>
  </si>
  <si>
    <t>Andrew</t>
  </si>
  <si>
    <t>Usman Fiki</t>
  </si>
  <si>
    <t>keterlambatan</t>
  </si>
  <si>
    <t>Goreng cakwe gosong</t>
  </si>
  <si>
    <t>Buncis gosong</t>
  </si>
  <si>
    <t>Bantu pengerjaan toilet</t>
  </si>
  <si>
    <t>Lembur tumpeng</t>
  </si>
  <si>
    <t>Pecah piring nasi kecil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</si>
</sst>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.00_-;\-* #,##0.00_-;_-* &quot;-&quot;??_-;_-@"/>
    <numFmt numFmtId="165" formatCode="hh&quot;:&quot;mm"/>
    <numFmt numFmtId="166" formatCode="D/M/YYYY"/>
    <numFmt numFmtId="167" formatCode="[$-F800]dddd\,\ mmmm\ dd\,\ yyyy"/>
    <numFmt numFmtId="168" formatCode="_-* #,##0_-;\-* #,##0_-;_-* &quot;-&quot;_-;_-@"/>
    <numFmt numFmtId="169" formatCode="dddd&quot;, &quot;dd&quot; &quot;mmmm&quot; &quot;yyyy"/>
    <numFmt numFmtId="170" formatCode="#,##0.00;(#,##0.00)"/>
    <numFmt numFmtId="171" formatCode="hh:mm"/>
    <numFmt numFmtId="172" formatCode="m/d/yyyy"/>
  </numFmts>
  <fonts count="19">
    <font>
      <sz val="11.0"/>
      <color theme="1"/>
      <name val="Arial"/>
      <scheme val="minor"/>
    </font>
    <font>
      <sz val="11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9.0"/>
      <color theme="1"/>
      <name val="Calibri"/>
    </font>
    <font>
      <sz val="12.0"/>
      <color theme="1"/>
      <name val="Calibri"/>
    </font>
    <font/>
    <font>
      <sz val="11.0"/>
      <color rgb="FF000000"/>
      <name val="Calibri"/>
    </font>
    <font>
      <sz val="11.0"/>
      <color rgb="FFFF0000"/>
      <name val="Calibri"/>
    </font>
    <font>
      <b/>
      <sz val="13.0"/>
      <color theme="1"/>
      <name val="Calibri"/>
    </font>
    <font>
      <sz val="12.0"/>
      <color rgb="FF202124"/>
      <name val="Calibri"/>
    </font>
    <font>
      <b/>
      <sz val="9.0"/>
      <color rgb="FF000000"/>
      <name val="Calibri"/>
    </font>
    <font>
      <sz val="10.0"/>
      <color theme="1"/>
      <name val="Arial"/>
    </font>
    <font>
      <sz val="9.0"/>
      <color rgb="FF0000FF"/>
      <name val="Calibri"/>
    </font>
    <font>
      <sz val="11.0"/>
      <color theme="1"/>
      <name val="Arial"/>
    </font>
    <font>
      <sz val="9.0"/>
      <color rgb="FFFF0000"/>
      <name val="Calibri"/>
    </font>
    <font>
      <b/>
      <i/>
      <sz val="9.0"/>
      <color theme="1"/>
      <name val="Calibri"/>
    </font>
    <font>
      <i/>
      <sz val="9.0"/>
      <color rgb="FFFF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0033CC"/>
        <bgColor rgb="FF0033CC"/>
      </patternFill>
    </fill>
    <fill>
      <patternFill patternType="solid">
        <fgColor rgb="FFECECEC"/>
        <bgColor rgb="FFECECEC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2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0" fontId="2" numFmtId="1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0" fontId="3" numFmtId="49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right" vertical="center"/>
    </xf>
    <xf borderId="1" fillId="2" fontId="1" numFmtId="0" xfId="0" applyAlignment="1" applyBorder="1" applyFill="1" applyFont="1">
      <alignment horizontal="center"/>
    </xf>
    <xf borderId="2" fillId="0" fontId="2" numFmtId="2" xfId="0" applyAlignment="1" applyBorder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2" fillId="0" fontId="2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2" numFmtId="165" xfId="0" applyAlignment="1" applyBorder="1" applyFont="1" applyNumberFormat="1">
      <alignment horizontal="center" vertical="center"/>
    </xf>
    <xf borderId="2" fillId="0" fontId="3" numFmtId="49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Font="1"/>
    <xf borderId="4" fillId="4" fontId="3" numFmtId="0" xfId="0" applyAlignment="1" applyBorder="1" applyFill="1" applyFont="1">
      <alignment horizontal="center" shrinkToFit="0" vertical="center" wrapText="1"/>
    </xf>
    <xf borderId="1" fillId="2" fontId="3" numFmtId="0" xfId="0" applyBorder="1" applyFill="1" applyFont="1"/>
    <xf borderId="2" fillId="0" fontId="5" numFmtId="49" xfId="0" applyBorder="1" applyFont="1" applyNumberFormat="1"/>
    <xf borderId="2" fillId="5" fontId="5" numFmtId="1" xfId="0" applyAlignment="1" applyBorder="1" applyFill="1" applyFont="1" applyNumberFormat="1">
      <alignment horizontal="center" vertical="center"/>
    </xf>
    <xf borderId="3" fillId="0" fontId="6" numFmtId="166" xfId="0" applyAlignment="1" applyBorder="1" applyFont="1" applyNumberFormat="1">
      <alignment shrinkToFit="0" vertical="center" wrapText="1"/>
    </xf>
    <xf borderId="2" fillId="5" fontId="5" numFmtId="166" xfId="0" applyAlignment="1" applyBorder="1" applyFill="1" applyFont="1" applyNumberFormat="1">
      <alignment horizontal="center" vertical="center"/>
    </xf>
    <xf borderId="5" fillId="6" fontId="3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left" vertical="center"/>
    </xf>
    <xf borderId="3" fillId="0" fontId="6" numFmtId="166" xfId="0" applyAlignment="1" applyBorder="1" applyFont="1" applyNumberFormat="1">
      <alignment horizontal="center" shrinkToFit="0" vertical="center" wrapText="1"/>
    </xf>
    <xf borderId="6" fillId="0" fontId="7" numFmtId="0" xfId="0" applyBorder="1" applyFont="1"/>
    <xf borderId="2" fillId="5" fontId="2" numFmtId="0" xfId="0" applyAlignment="1" applyBorder="1" applyFill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2" fillId="0" fontId="5" numFmtId="0" xfId="0" applyBorder="1" applyFont="1"/>
    <xf borderId="2" fillId="0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 shrinkToFit="0" vertical="center" wrapText="1"/>
    </xf>
    <xf borderId="2" fillId="0" fontId="1" numFmtId="0" xfId="0" applyBorder="1" applyFont="1"/>
    <xf borderId="0" fillId="0" fontId="1" numFmtId="0" xfId="0" applyAlignment="1" applyFont="1">
      <alignment shrinkToFit="0" wrapText="1"/>
    </xf>
    <xf quotePrefix="1" borderId="2" fillId="0" fontId="1" numFmtId="49" xfId="0" applyBorder="1" applyFont="1" applyNumberFormat="1"/>
    <xf borderId="2" fillId="0" fontId="1" numFmtId="0" xfId="0" applyAlignment="1" applyBorder="1" applyFont="1">
      <alignment vertical="center"/>
    </xf>
    <xf borderId="2" fillId="5" fontId="5" numFmtId="4" xfId="0" applyAlignment="1" applyBorder="1" applyFill="1" applyFont="1" applyNumberFormat="1">
      <alignment horizontal="right" vertical="center"/>
    </xf>
    <xf borderId="2" fillId="7" fontId="1" numFmtId="0" xfId="0" applyBorder="1" applyFill="1" applyFont="1"/>
    <xf borderId="2" fillId="5" fontId="5" numFmtId="2" xfId="0" applyAlignment="1" applyBorder="1" applyFill="1" applyFont="1" applyNumberFormat="1">
      <alignment vertical="center"/>
    </xf>
    <xf borderId="2" fillId="7" fontId="1" numFmtId="0" xfId="0" applyAlignment="1" applyBorder="1" applyFill="1" applyFont="1">
      <alignment horizontal="left" vertical="center"/>
    </xf>
    <xf borderId="2" fillId="7" fontId="3" numFmtId="0" xfId="0" applyAlignment="1" applyBorder="1" applyFill="1" applyFont="1">
      <alignment horizontal="center" vertical="center"/>
    </xf>
    <xf borderId="2" fillId="5" fontId="5" numFmtId="164" xfId="0" applyAlignment="1" applyBorder="1" applyFill="1" applyFont="1" applyNumberFormat="1">
      <alignment vertical="center"/>
    </xf>
    <xf borderId="2" fillId="7" fontId="1" numFmtId="164" xfId="0" applyAlignment="1" applyBorder="1" applyFill="1" applyFont="1" applyNumberFormat="1">
      <alignment vertical="center"/>
    </xf>
    <xf borderId="7" fillId="6" fontId="3" numFmtId="167" xfId="0" applyAlignment="1" applyBorder="1" applyFill="1" applyFont="1" applyNumberFormat="1">
      <alignment horizontal="center"/>
    </xf>
    <xf borderId="8" fillId="0" fontId="7" numFmtId="0" xfId="0" applyBorder="1" applyFont="1"/>
    <xf borderId="9" fillId="5" fontId="5" numFmtId="164" xfId="0" applyAlignment="1" applyBorder="1" applyFill="1" applyFont="1" applyNumberFormat="1">
      <alignment horizontal="center" vertical="center"/>
    </xf>
    <xf borderId="2" fillId="0" fontId="5" numFmtId="164" xfId="0" applyAlignment="1" applyBorder="1" applyFont="1" applyNumberFormat="1">
      <alignment horizontal="right"/>
    </xf>
    <xf borderId="2" fillId="5" fontId="5" numFmtId="0" xfId="0" applyAlignment="1" applyBorder="1" applyFill="1" applyFont="1">
      <alignment vertical="center"/>
    </xf>
    <xf borderId="2" fillId="5" fontId="5" numFmtId="165" xfId="0" applyAlignment="1" applyBorder="1" applyFill="1" applyFont="1" applyNumberFormat="1">
      <alignment horizontal="center" vertical="center"/>
    </xf>
    <xf borderId="2" fillId="5" fontId="5" numFmtId="0" xfId="0" applyAlignment="1" applyBorder="1" applyFill="1" applyFont="1">
      <alignment horizontal="left" vertical="top"/>
    </xf>
    <xf borderId="0" fillId="0" fontId="5" numFmtId="0" xfId="0" applyAlignment="1" applyFont="1">
      <alignment vertical="center"/>
    </xf>
    <xf borderId="2" fillId="0" fontId="1" numFmtId="49" xfId="0" applyBorder="1" applyFont="1" applyNumberFormat="1"/>
    <xf borderId="2" fillId="7" fontId="8" numFmtId="164" xfId="0" applyAlignment="1" applyBorder="1" applyFill="1" applyFont="1" applyNumberFormat="1">
      <alignment shrinkToFit="0" vertical="center" wrapText="1"/>
    </xf>
    <xf borderId="10" fillId="0" fontId="1" numFmtId="166" xfId="0" applyAlignment="1" applyBorder="1" applyFont="1" applyNumberFormat="1">
      <alignment horizontal="center"/>
    </xf>
    <xf borderId="10" fillId="0" fontId="7" numFmtId="0" xfId="0" applyBorder="1" applyFont="1"/>
    <xf borderId="2" fillId="0" fontId="5" numFmtId="164" xfId="0" applyAlignment="1" applyBorder="1" applyFont="1" applyNumberFormat="1">
      <alignment horizontal="center"/>
    </xf>
    <xf borderId="2" fillId="7" fontId="9" numFmtId="164" xfId="0" applyAlignment="1" applyBorder="1" applyFill="1" applyFont="1" applyNumberFormat="1">
      <alignment shrinkToFit="0" vertical="center" wrapText="1"/>
    </xf>
    <xf borderId="0" fillId="0" fontId="5" numFmtId="4" xfId="0" applyFont="1" applyNumberFormat="1"/>
    <xf borderId="1" fillId="6" fontId="1" numFmtId="0" xfId="0" applyBorder="1" applyFill="1" applyFont="1"/>
    <xf borderId="1" fillId="6" fontId="1" numFmtId="0" xfId="0" applyAlignment="1" applyBorder="1" applyFill="1" applyFont="1">
      <alignment horizontal="center"/>
    </xf>
    <xf borderId="1" fillId="6" fontId="1" numFmtId="168" xfId="0" applyBorder="1" applyFill="1" applyFont="1" applyNumberFormat="1"/>
    <xf borderId="1" fillId="6" fontId="1" numFmtId="168" xfId="0" applyAlignment="1" applyBorder="1" applyFill="1" applyFont="1" applyNumberFormat="1">
      <alignment horizontal="center" vertical="center"/>
    </xf>
    <xf borderId="2" fillId="7" fontId="9" numFmtId="164" xfId="0" applyAlignment="1" applyBorder="1" applyFill="1" applyFont="1" applyNumberFormat="1">
      <alignment vertical="center"/>
    </xf>
    <xf borderId="1" fillId="6" fontId="3" numFmtId="0" xfId="0" applyBorder="1" applyFill="1" applyFont="1"/>
    <xf borderId="1" fillId="6" fontId="3" numFmtId="0" xfId="0" applyAlignment="1" applyBorder="1" applyFill="1" applyFont="1">
      <alignment horizontal="center"/>
    </xf>
    <xf borderId="1" fillId="6" fontId="3" numFmtId="168" xfId="0" applyAlignment="1" applyBorder="1" applyFill="1" applyFont="1" applyNumberFormat="1">
      <alignment horizontal="center" vertical="center"/>
    </xf>
    <xf borderId="2" fillId="7" fontId="1" numFmtId="164" xfId="0" applyAlignment="1" applyBorder="1" applyFill="1" applyFont="1" applyNumberFormat="1">
      <alignment horizontal="right"/>
    </xf>
    <xf borderId="4" fillId="7" fontId="1" numFmtId="164" xfId="0" applyAlignment="1" applyBorder="1" applyFill="1" applyFont="1" applyNumberFormat="1">
      <alignment horizontal="right" shrinkToFit="0" vertical="center" wrapText="1"/>
    </xf>
    <xf borderId="11" fillId="6" fontId="3" numFmtId="0" xfId="0" applyBorder="1" applyFill="1" applyFont="1"/>
    <xf borderId="11" fillId="6" fontId="3" numFmtId="0" xfId="0" applyAlignment="1" applyBorder="1" applyFill="1" applyFont="1">
      <alignment horizontal="center"/>
    </xf>
    <xf borderId="4" fillId="7" fontId="1" numFmtId="164" xfId="0" applyAlignment="1" applyBorder="1" applyFill="1" applyFont="1" applyNumberFormat="1">
      <alignment horizontal="right" shrinkToFit="0" wrapText="1"/>
    </xf>
    <xf borderId="11" fillId="7" fontId="10" numFmtId="1" xfId="0" applyAlignment="1" applyBorder="1" applyFill="1" applyFont="1" applyNumberFormat="1">
      <alignment horizontal="center" readingOrder="0" vertical="center"/>
    </xf>
    <xf borderId="11" fillId="6" fontId="3" numFmtId="168" xfId="0" applyAlignment="1" applyBorder="1" applyFill="1" applyFont="1" applyNumberFormat="1">
      <alignment horizontal="center" vertical="center"/>
    </xf>
    <xf borderId="2" fillId="0" fontId="11" numFmtId="49" xfId="0" applyBorder="1" applyFont="1" applyNumberFormat="1"/>
    <xf borderId="3" fillId="7" fontId="1" numFmtId="0" xfId="0" applyAlignment="1" applyBorder="1" applyFill="1" applyFont="1">
      <alignment horizontal="right" vertical="center"/>
    </xf>
    <xf borderId="2" fillId="0" fontId="6" numFmtId="0" xfId="0" applyBorder="1" applyFont="1"/>
    <xf borderId="2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vertical="center"/>
    </xf>
    <xf borderId="1" fillId="6" fontId="3" numFmtId="0" xfId="0" applyAlignment="1" applyBorder="1" applyFill="1" applyFont="1">
      <alignment shrinkToFit="0" wrapText="1"/>
    </xf>
    <xf borderId="2" fillId="5" fontId="5" numFmtId="0" xfId="0" applyAlignment="1" applyBorder="1" applyFill="1" applyFont="1">
      <alignment readingOrder="0" vertical="center"/>
    </xf>
    <xf borderId="1" fillId="6" fontId="3" numFmtId="0" xfId="0" applyAlignment="1" applyBorder="1" applyFill="1" applyFont="1">
      <alignment horizontal="center" shrinkToFit="0" wrapText="1"/>
    </xf>
    <xf borderId="1" fillId="7" fontId="1" numFmtId="164" xfId="0" applyAlignment="1" applyBorder="1" applyFill="1" applyFont="1" applyNumberFormat="1">
      <alignment vertical="center"/>
    </xf>
    <xf borderId="12" fillId="5" fontId="5" numFmtId="165" xfId="0" applyAlignment="1" applyBorder="1" applyFill="1" applyFont="1" applyNumberFormat="1">
      <alignment horizontal="center" vertical="center"/>
    </xf>
    <xf borderId="1" fillId="6" fontId="3" numFmtId="1" xfId="0" applyAlignment="1" applyBorder="1" applyFill="1" applyFont="1" applyNumberFormat="1">
      <alignment horizontal="center" shrinkToFit="0" vertical="center" wrapText="1"/>
    </xf>
    <xf borderId="1" fillId="7" fontId="1" numFmtId="0" xfId="0" applyBorder="1" applyFill="1" applyFont="1"/>
    <xf borderId="1" fillId="6" fontId="3" numFmtId="168" xfId="0" applyAlignment="1" applyBorder="1" applyFill="1" applyFont="1" applyNumberFormat="1">
      <alignment horizontal="center" shrinkToFit="0" vertical="center" wrapText="1"/>
    </xf>
    <xf borderId="2" fillId="7" fontId="1" numFmtId="0" xfId="0" applyAlignment="1" applyBorder="1" applyFill="1" applyFont="1">
      <alignment horizontal="right"/>
    </xf>
    <xf borderId="2" fillId="7" fontId="3" numFmtId="0" xfId="0" applyAlignment="1" applyBorder="1" applyFill="1" applyFont="1">
      <alignment horizontal="center"/>
    </xf>
    <xf borderId="1" fillId="6" fontId="1" numFmtId="164" xfId="0" applyAlignment="1" applyBorder="1" applyFill="1" applyFont="1" applyNumberFormat="1">
      <alignment horizontal="center"/>
    </xf>
    <xf borderId="1" fillId="6" fontId="1" numFmtId="164" xfId="0" applyBorder="1" applyFill="1" applyFont="1" applyNumberFormat="1"/>
    <xf borderId="12" fillId="5" fontId="5" numFmtId="0" xfId="0" applyAlignment="1" applyBorder="1" applyFill="1" applyFont="1">
      <alignment horizontal="left" vertical="top"/>
    </xf>
    <xf borderId="2" fillId="7" fontId="8" numFmtId="164" xfId="0" applyAlignment="1" applyBorder="1" applyFill="1" applyFont="1" applyNumberFormat="1">
      <alignment horizontal="right" shrinkToFit="0" wrapText="1"/>
    </xf>
    <xf borderId="2" fillId="7" fontId="9" numFmtId="164" xfId="0" applyAlignment="1" applyBorder="1" applyFill="1" applyFont="1" applyNumberFormat="1">
      <alignment horizontal="right" shrinkToFit="0" wrapText="1"/>
    </xf>
    <xf borderId="2" fillId="7" fontId="9" numFmtId="164" xfId="0" applyAlignment="1" applyBorder="1" applyFill="1" applyFont="1" applyNumberFormat="1">
      <alignment horizontal="right"/>
    </xf>
    <xf borderId="12" fillId="5" fontId="5" numFmtId="0" xfId="0" applyAlignment="1" applyBorder="1" applyFill="1" applyFont="1">
      <alignment horizontal="left" shrinkToFit="0" vertical="top" wrapText="1"/>
    </xf>
    <xf borderId="3" fillId="7" fontId="1" numFmtId="0" xfId="0" applyAlignment="1" applyBorder="1" applyFill="1" applyFont="1">
      <alignment horizontal="right"/>
    </xf>
    <xf borderId="2" fillId="5" fontId="12" numFmtId="0" xfId="0" applyAlignment="1" applyBorder="1" applyFill="1" applyFont="1">
      <alignment horizontal="left" vertical="center"/>
    </xf>
    <xf borderId="2" fillId="7" fontId="1" numFmtId="0" xfId="0" applyAlignment="1" applyBorder="1" applyFill="1" applyFont="1">
      <alignment horizontal="center"/>
    </xf>
    <xf borderId="2" fillId="0" fontId="13" numFmtId="0" xfId="0" applyBorder="1" applyFont="1"/>
    <xf borderId="9" fillId="5" fontId="5" numFmtId="165" xfId="0" applyAlignment="1" applyBorder="1" applyFill="1" applyFont="1" applyNumberFormat="1">
      <alignment horizontal="center" vertical="center"/>
    </xf>
    <xf borderId="9" fillId="5" fontId="5" numFmtId="0" xfId="0" applyAlignment="1" applyBorder="1" applyFill="1" applyFont="1">
      <alignment horizontal="left" shrinkToFit="0" vertical="top" wrapText="1"/>
    </xf>
    <xf borderId="0" fillId="0" fontId="2" numFmtId="4" xfId="0" applyFont="1" applyNumberFormat="1"/>
    <xf borderId="2" fillId="0" fontId="6" numFmtId="49" xfId="0" applyBorder="1" applyFont="1" applyNumberFormat="1"/>
    <xf borderId="11" fillId="6" fontId="1" numFmtId="0" xfId="0" applyBorder="1" applyFill="1" applyFont="1"/>
    <xf borderId="11" fillId="6" fontId="1" numFmtId="164" xfId="0" applyAlignment="1" applyBorder="1" applyFill="1" applyFont="1" applyNumberFormat="1">
      <alignment horizontal="center"/>
    </xf>
    <xf borderId="11" fillId="6" fontId="1" numFmtId="164" xfId="0" applyBorder="1" applyFill="1" applyFont="1" applyNumberFormat="1"/>
    <xf borderId="11" fillId="6" fontId="1" numFmtId="168" xfId="0" applyAlignment="1" applyBorder="1" applyFill="1" applyFont="1" applyNumberFormat="1">
      <alignment horizontal="center" vertical="center"/>
    </xf>
    <xf borderId="13" fillId="6" fontId="1" numFmtId="0" xfId="0" applyBorder="1" applyFill="1" applyFont="1"/>
    <xf borderId="13" fillId="6" fontId="1" numFmtId="164" xfId="0" applyAlignment="1" applyBorder="1" applyFill="1" applyFont="1" applyNumberFormat="1">
      <alignment horizontal="center"/>
    </xf>
    <xf borderId="13" fillId="6" fontId="1" numFmtId="164" xfId="0" applyBorder="1" applyFill="1" applyFont="1" applyNumberFormat="1"/>
    <xf borderId="2" fillId="0" fontId="5" numFmtId="1" xfId="0" applyAlignment="1" applyBorder="1" applyFont="1" applyNumberFormat="1">
      <alignment horizontal="center" vertical="center"/>
    </xf>
    <xf borderId="13" fillId="6" fontId="1" numFmtId="168" xfId="0" applyAlignment="1" applyBorder="1" applyFill="1" applyFont="1" applyNumberFormat="1">
      <alignment horizontal="center" vertical="center"/>
    </xf>
    <xf borderId="2" fillId="0" fontId="5" numFmtId="169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vertical="top"/>
    </xf>
    <xf borderId="2" fillId="0" fontId="2" numFmtId="0" xfId="0" applyAlignment="1" applyBorder="1" applyFont="1">
      <alignment vertical="center"/>
    </xf>
    <xf borderId="2" fillId="0" fontId="5" numFmtId="4" xfId="0" applyAlignment="1" applyBorder="1" applyFont="1" applyNumberFormat="1">
      <alignment horizontal="right" vertical="center"/>
    </xf>
    <xf borderId="2" fillId="0" fontId="5" numFmtId="2" xfId="0" applyAlignment="1" applyBorder="1" applyFont="1" applyNumberFormat="1">
      <alignment vertical="center"/>
    </xf>
    <xf borderId="1" fillId="6" fontId="3" numFmtId="168" xfId="0" applyBorder="1" applyFill="1" applyFont="1" applyNumberFormat="1"/>
    <xf borderId="2" fillId="0" fontId="5" numFmtId="164" xfId="0" applyAlignment="1" applyBorder="1" applyFont="1" applyNumberFormat="1">
      <alignment vertical="center"/>
    </xf>
    <xf quotePrefix="1" borderId="2" fillId="0" fontId="1" numFmtId="0" xfId="0" applyBorder="1" applyFont="1"/>
    <xf borderId="9" fillId="0" fontId="5" numFmtId="164" xfId="0" applyAlignment="1" applyBorder="1" applyFont="1" applyNumberFormat="1">
      <alignment horizontal="center" vertical="center"/>
    </xf>
    <xf borderId="1" fillId="2" fontId="9" numFmtId="0" xfId="0" applyBorder="1" applyFill="1" applyFont="1"/>
    <xf borderId="2" fillId="0" fontId="5" numFmtId="0" xfId="0" applyAlignment="1" applyBorder="1" applyFont="1">
      <alignment horizontal="center" vertical="center"/>
    </xf>
    <xf borderId="2" fillId="0" fontId="5" numFmtId="165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left" vertical="top"/>
    </xf>
    <xf borderId="1" fillId="6" fontId="4" numFmtId="0" xfId="0" applyBorder="1" applyFill="1" applyFont="1"/>
    <xf borderId="1" fillId="6" fontId="9" numFmtId="0" xfId="0" applyAlignment="1" applyBorder="1" applyFill="1" applyFont="1">
      <alignment horizontal="center"/>
    </xf>
    <xf borderId="1" fillId="6" fontId="9" numFmtId="168" xfId="0" applyBorder="1" applyFill="1" applyFont="1" applyNumberFormat="1"/>
    <xf borderId="1" fillId="6" fontId="9" numFmtId="168" xfId="0" applyAlignment="1" applyBorder="1" applyFill="1" applyFont="1" applyNumberFormat="1">
      <alignment horizontal="center" vertical="center"/>
    </xf>
    <xf borderId="1" fillId="6" fontId="9" numFmtId="0" xfId="0" applyBorder="1" applyFill="1" applyFont="1"/>
    <xf borderId="1" fillId="6" fontId="9" numFmtId="168" xfId="0" applyAlignment="1" applyBorder="1" applyFill="1" applyFont="1" applyNumberFormat="1">
      <alignment horizontal="center"/>
    </xf>
    <xf borderId="2" fillId="0" fontId="5" numFmtId="20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0" fillId="0" fontId="9" numFmtId="164" xfId="0" applyFont="1" applyNumberFormat="1"/>
    <xf borderId="2" fillId="8" fontId="1" numFmtId="0" xfId="0" applyBorder="1" applyFill="1" applyFont="1"/>
    <xf borderId="2" fillId="8" fontId="1" numFmtId="0" xfId="0" applyAlignment="1" applyBorder="1" applyFill="1" applyFont="1">
      <alignment horizontal="left" vertical="center"/>
    </xf>
    <xf borderId="2" fillId="8" fontId="3" numFmtId="0" xfId="0" applyAlignment="1" applyBorder="1" applyFill="1" applyFont="1">
      <alignment horizontal="center" vertical="center"/>
    </xf>
    <xf borderId="2" fillId="8" fontId="1" numFmtId="164" xfId="0" applyAlignment="1" applyBorder="1" applyFill="1" applyFont="1" applyNumberFormat="1">
      <alignment vertical="center"/>
    </xf>
    <xf quotePrefix="1" borderId="2" fillId="0" fontId="6" numFmtId="0" xfId="0" applyBorder="1" applyFont="1"/>
    <xf borderId="2" fillId="0" fontId="5" numFmtId="165" xfId="0" applyAlignment="1" applyBorder="1" applyFont="1" applyNumberFormat="1">
      <alignment horizontal="left" vertical="center"/>
    </xf>
    <xf borderId="2" fillId="6" fontId="5" numFmtId="0" xfId="0" applyAlignment="1" applyBorder="1" applyFill="1" applyFont="1">
      <alignment horizontal="left" vertical="top"/>
    </xf>
    <xf borderId="2" fillId="6" fontId="5" numFmtId="4" xfId="0" applyAlignment="1" applyBorder="1" applyFill="1" applyFont="1" applyNumberFormat="1">
      <alignment horizontal="right" vertical="center"/>
    </xf>
    <xf borderId="2" fillId="6" fontId="5" numFmtId="2" xfId="0" applyAlignment="1" applyBorder="1" applyFill="1" applyFont="1" applyNumberFormat="1">
      <alignment vertical="center"/>
    </xf>
    <xf borderId="2" fillId="0" fontId="1" numFmtId="0" xfId="0" applyAlignment="1" applyBorder="1" applyFont="1">
      <alignment horizontal="left"/>
    </xf>
    <xf borderId="2" fillId="8" fontId="8" numFmtId="164" xfId="0" applyAlignment="1" applyBorder="1" applyFill="1" applyFont="1" applyNumberFormat="1">
      <alignment shrinkToFit="0" vertical="center" wrapText="1"/>
    </xf>
    <xf borderId="2" fillId="8" fontId="9" numFmtId="164" xfId="0" applyAlignment="1" applyBorder="1" applyFill="1" applyFont="1" applyNumberFormat="1">
      <alignment shrinkToFit="0" vertical="center" wrapText="1"/>
    </xf>
    <xf borderId="2" fillId="8" fontId="9" numFmtId="164" xfId="0" applyAlignment="1" applyBorder="1" applyFill="1" applyFont="1" applyNumberFormat="1">
      <alignment vertical="center"/>
    </xf>
    <xf borderId="9" fillId="0" fontId="5" numFmtId="165" xfId="0" applyAlignment="1" applyBorder="1" applyFont="1" applyNumberFormat="1">
      <alignment horizontal="left" vertical="center"/>
    </xf>
    <xf borderId="1" fillId="6" fontId="9" numFmtId="164" xfId="0" applyBorder="1" applyFill="1" applyFont="1" applyNumberFormat="1"/>
    <xf borderId="2" fillId="8" fontId="1" numFmtId="164" xfId="0" applyAlignment="1" applyBorder="1" applyFill="1" applyFont="1" applyNumberFormat="1">
      <alignment horizontal="right"/>
    </xf>
    <xf borderId="1" fillId="6" fontId="4" numFmtId="168" xfId="0" applyAlignment="1" applyBorder="1" applyFill="1" applyFont="1" applyNumberFormat="1">
      <alignment horizontal="center" vertical="center"/>
    </xf>
    <xf borderId="4" fillId="8" fontId="1" numFmtId="164" xfId="0" applyAlignment="1" applyBorder="1" applyFill="1" applyFont="1" applyNumberFormat="1">
      <alignment horizontal="right" shrinkToFit="0" vertical="center" wrapText="1"/>
    </xf>
    <xf borderId="4" fillId="8" fontId="1" numFmtId="164" xfId="0" applyAlignment="1" applyBorder="1" applyFill="1" applyFont="1" applyNumberFormat="1">
      <alignment horizontal="right" shrinkToFit="0" wrapText="1"/>
    </xf>
    <xf borderId="3" fillId="8" fontId="1" numFmtId="0" xfId="0" applyAlignment="1" applyBorder="1" applyFill="1" applyFont="1">
      <alignment horizontal="right" vertical="center"/>
    </xf>
    <xf borderId="2" fillId="8" fontId="1" numFmtId="0" xfId="0" applyAlignment="1" applyBorder="1" applyFill="1" applyFont="1">
      <alignment horizontal="center" vertical="center"/>
    </xf>
    <xf borderId="11" fillId="6" fontId="9" numFmtId="168" xfId="0" applyAlignment="1" applyBorder="1" applyFill="1" applyFont="1" applyNumberFormat="1">
      <alignment horizontal="center"/>
    </xf>
    <xf borderId="1" fillId="8" fontId="1" numFmtId="0" xfId="0" applyAlignment="1" applyBorder="1" applyFill="1" applyFont="1">
      <alignment vertical="center"/>
    </xf>
    <xf borderId="1" fillId="8" fontId="1" numFmtId="164" xfId="0" applyAlignment="1" applyBorder="1" applyFill="1" applyFont="1" applyNumberFormat="1">
      <alignment vertical="center"/>
    </xf>
    <xf borderId="14" fillId="0" fontId="14" numFmtId="165" xfId="0" applyAlignment="1" applyBorder="1" applyFont="1" applyNumberFormat="1">
      <alignment horizontal="left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8" fontId="1" numFmtId="0" xfId="0" applyBorder="1" applyFill="1" applyFont="1"/>
    <xf borderId="15" fillId="6" fontId="3" numFmtId="0" xfId="0" applyBorder="1" applyFill="1" applyFont="1"/>
    <xf borderId="15" fillId="6" fontId="9" numFmtId="168" xfId="0" applyAlignment="1" applyBorder="1" applyFill="1" applyFont="1" applyNumberFormat="1">
      <alignment horizontal="center"/>
    </xf>
    <xf borderId="15" fillId="6" fontId="3" numFmtId="168" xfId="0" applyBorder="1" applyFill="1" applyFont="1" applyNumberFormat="1"/>
    <xf borderId="15" fillId="6" fontId="3" numFmtId="168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49" xfId="0" applyFont="1" applyNumberFormat="1"/>
    <xf borderId="0" fillId="0" fontId="3" numFmtId="0" xfId="0" applyAlignment="1" applyFont="1">
      <alignment horizontal="left" vertical="center"/>
    </xf>
    <xf borderId="0" fillId="0" fontId="3" numFmtId="0" xfId="0" applyFont="1"/>
    <xf borderId="0" fillId="0" fontId="1" numFmtId="0" xfId="0" applyAlignment="1" applyFont="1">
      <alignment horizontal="center"/>
    </xf>
    <xf borderId="3" fillId="0" fontId="5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" fillId="8" fontId="15" numFmtId="164" xfId="0" applyBorder="1" applyFill="1" applyFont="1" applyNumberFormat="1"/>
    <xf borderId="0" fillId="0" fontId="1" numFmtId="49" xfId="0" applyAlignment="1" applyFont="1" applyNumberFormat="1">
      <alignment horizontal="center" shrinkToFit="0" wrapText="1"/>
    </xf>
    <xf borderId="2" fillId="0" fontId="16" numFmtId="0" xfId="0" applyAlignment="1" applyBorder="1" applyFont="1">
      <alignment vertical="top"/>
    </xf>
    <xf borderId="2" fillId="0" fontId="5" numFmtId="2" xfId="0" applyAlignment="1" applyBorder="1" applyFont="1" applyNumberFormat="1">
      <alignment horizontal="right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  <xf borderId="9" fillId="0" fontId="5" numFmtId="165" xfId="0" applyAlignment="1" applyBorder="1" applyFont="1" applyNumberFormat="1">
      <alignment horizontal="center" vertical="center"/>
    </xf>
    <xf borderId="3" fillId="7" fontId="5" numFmtId="165" xfId="0" applyAlignment="1" applyBorder="1" applyFill="1" applyFont="1" applyNumberFormat="1">
      <alignment horizontal="center" vertical="center"/>
    </xf>
    <xf borderId="2" fillId="9" fontId="14" numFmtId="165" xfId="0" applyAlignment="1" applyBorder="1" applyFill="1" applyFont="1" applyNumberFormat="1">
      <alignment horizontal="left"/>
    </xf>
    <xf borderId="0" fillId="0" fontId="3" numFmtId="0" xfId="0" applyAlignment="1" applyFont="1">
      <alignment horizontal="center" vertical="center"/>
    </xf>
    <xf borderId="2" fillId="0" fontId="5" numFmtId="165" xfId="0" applyAlignment="1" applyBorder="1" applyFont="1" applyNumberFormat="1">
      <alignment horizontal="center" readingOrder="0" vertical="center"/>
    </xf>
    <xf borderId="2" fillId="10" fontId="1" numFmtId="0" xfId="0" applyBorder="1" applyFill="1" applyFont="1"/>
    <xf borderId="2" fillId="10" fontId="1" numFmtId="0" xfId="0" applyAlignment="1" applyBorder="1" applyFill="1" applyFont="1">
      <alignment horizontal="left" vertical="center"/>
    </xf>
    <xf borderId="2" fillId="10" fontId="3" numFmtId="0" xfId="0" applyAlignment="1" applyBorder="1" applyFill="1" applyFont="1">
      <alignment horizontal="center" vertical="center"/>
    </xf>
    <xf borderId="2" fillId="10" fontId="1" numFmtId="164" xfId="0" applyAlignment="1" applyBorder="1" applyFill="1" applyFont="1" applyNumberFormat="1">
      <alignment vertical="center"/>
    </xf>
    <xf borderId="2" fillId="10" fontId="8" numFmtId="164" xfId="0" applyAlignment="1" applyBorder="1" applyFill="1" applyFont="1" applyNumberFormat="1">
      <alignment shrinkToFit="0" vertical="center" wrapText="1"/>
    </xf>
    <xf borderId="2" fillId="10" fontId="9" numFmtId="164" xfId="0" applyAlignment="1" applyBorder="1" applyFill="1" applyFont="1" applyNumberFormat="1">
      <alignment shrinkToFit="0" vertical="center" wrapText="1"/>
    </xf>
    <xf borderId="2" fillId="10" fontId="9" numFmtId="164" xfId="0" applyAlignment="1" applyBorder="1" applyFill="1" applyFont="1" applyNumberFormat="1">
      <alignment vertical="center"/>
    </xf>
    <xf borderId="2" fillId="10" fontId="1" numFmtId="164" xfId="0" applyAlignment="1" applyBorder="1" applyFill="1" applyFont="1" applyNumberFormat="1">
      <alignment horizontal="right"/>
    </xf>
    <xf borderId="4" fillId="10" fontId="1" numFmtId="164" xfId="0" applyAlignment="1" applyBorder="1" applyFill="1" applyFont="1" applyNumberFormat="1">
      <alignment horizontal="right" shrinkToFit="0" vertical="center" wrapText="1"/>
    </xf>
    <xf borderId="4" fillId="10" fontId="1" numFmtId="164" xfId="0" applyAlignment="1" applyBorder="1" applyFill="1" applyFont="1" applyNumberFormat="1">
      <alignment horizontal="right" shrinkToFit="0" wrapText="1"/>
    </xf>
    <xf borderId="3" fillId="10" fontId="1" numFmtId="0" xfId="0" applyAlignment="1" applyBorder="1" applyFill="1" applyFont="1">
      <alignment horizontal="right" vertical="center"/>
    </xf>
    <xf borderId="2" fillId="10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vertical="center"/>
    </xf>
    <xf borderId="1" fillId="10" fontId="1" numFmtId="164" xfId="0" applyAlignment="1" applyBorder="1" applyFill="1" applyFont="1" applyNumberFormat="1">
      <alignment vertical="center"/>
    </xf>
    <xf borderId="1" fillId="10" fontId="1" numFmtId="0" xfId="0" applyBorder="1" applyFill="1" applyFont="1"/>
    <xf borderId="2" fillId="7" fontId="5" numFmtId="165" xfId="0" applyAlignment="1" applyBorder="1" applyFill="1" applyFont="1" applyNumberFormat="1">
      <alignment horizontal="center" vertical="center"/>
    </xf>
    <xf borderId="1" fillId="11" fontId="1" numFmtId="0" xfId="0" applyAlignment="1" applyBorder="1" applyFill="1" applyFont="1">
      <alignment vertical="center"/>
    </xf>
    <xf borderId="1" fillId="11" fontId="1" numFmtId="164" xfId="0" applyAlignment="1" applyBorder="1" applyFill="1" applyFont="1" applyNumberFormat="1">
      <alignment vertical="center"/>
    </xf>
    <xf borderId="1" fillId="11" fontId="1" numFmtId="0" xfId="0" applyBorder="1" applyFill="1" applyFont="1"/>
    <xf borderId="2" fillId="0" fontId="5" numFmtId="0" xfId="0" applyAlignment="1" applyBorder="1" applyFont="1">
      <alignment horizontal="left" readingOrder="0" vertical="top"/>
    </xf>
    <xf borderId="2" fillId="0" fontId="5" numFmtId="2" xfId="0" applyAlignment="1" applyBorder="1" applyFont="1" applyNumberFormat="1">
      <alignment readingOrder="0" vertical="center"/>
    </xf>
    <xf borderId="2" fillId="8" fontId="1" numFmtId="0" xfId="0" applyAlignment="1" applyBorder="1" applyFill="1" applyFont="1">
      <alignment readingOrder="0"/>
    </xf>
    <xf borderId="2" fillId="8" fontId="1" numFmtId="0" xfId="0" applyAlignment="1" applyBorder="1" applyFill="1" applyFont="1">
      <alignment horizontal="left" readingOrder="0" vertical="center"/>
    </xf>
    <xf borderId="2" fillId="8" fontId="3" numFmtId="0" xfId="0" applyAlignment="1" applyBorder="1" applyFill="1" applyFont="1">
      <alignment horizontal="center" readingOrder="0" vertical="center"/>
    </xf>
    <xf borderId="2" fillId="8" fontId="1" numFmtId="164" xfId="0" applyAlignment="1" applyBorder="1" applyFill="1" applyFont="1" applyNumberFormat="1">
      <alignment readingOrder="0" vertical="center"/>
    </xf>
    <xf borderId="2" fillId="8" fontId="8" numFmtId="164" xfId="0" applyAlignment="1" applyBorder="1" applyFill="1" applyFont="1" applyNumberFormat="1">
      <alignment readingOrder="0" shrinkToFit="0" vertical="center" wrapText="1"/>
    </xf>
    <xf borderId="4" fillId="8" fontId="1" numFmtId="164" xfId="0" applyAlignment="1" applyBorder="1" applyFill="1" applyFont="1" applyNumberFormat="1">
      <alignment horizontal="right" readingOrder="0" shrinkToFit="0" wrapText="1"/>
    </xf>
    <xf borderId="2" fillId="11" fontId="1" numFmtId="0" xfId="0" applyAlignment="1" applyBorder="1" applyFill="1" applyFont="1">
      <alignment horizontal="right"/>
    </xf>
    <xf borderId="2" fillId="11" fontId="1" numFmtId="0" xfId="0" applyBorder="1" applyFill="1" applyFont="1"/>
    <xf borderId="2" fillId="11" fontId="3" numFmtId="0" xfId="0" applyAlignment="1" applyBorder="1" applyFill="1" applyFont="1">
      <alignment horizontal="center"/>
    </xf>
    <xf borderId="2" fillId="0" fontId="5" numFmtId="164" xfId="0" applyAlignment="1" applyBorder="1" applyFont="1" applyNumberFormat="1">
      <alignment horizontal="center" vertical="center"/>
    </xf>
    <xf borderId="2" fillId="11" fontId="1" numFmtId="164" xfId="0" applyAlignment="1" applyBorder="1" applyFill="1" applyFont="1" applyNumberFormat="1">
      <alignment horizontal="right"/>
    </xf>
    <xf borderId="0" fillId="0" fontId="5" numFmtId="1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0" fillId="0" fontId="5" numFmtId="0" xfId="0" applyAlignment="1" applyFont="1">
      <alignment horizontal="left" vertical="top"/>
    </xf>
    <xf borderId="0" fillId="0" fontId="2" numFmtId="0" xfId="0" applyFont="1"/>
    <xf borderId="0" fillId="0" fontId="5" numFmtId="4" xfId="0" applyAlignment="1" applyFont="1" applyNumberFormat="1">
      <alignment horizontal="right"/>
    </xf>
    <xf borderId="0" fillId="0" fontId="5" numFmtId="2" xfId="0" applyFont="1" applyNumberFormat="1"/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center"/>
    </xf>
    <xf borderId="0" fillId="0" fontId="5" numFmtId="165" xfId="0" applyAlignment="1" applyFont="1" applyNumberFormat="1">
      <alignment horizontal="center" vertical="center"/>
    </xf>
    <xf borderId="2" fillId="11" fontId="1" numFmtId="164" xfId="0" applyAlignment="1" applyBorder="1" applyFill="1" applyFont="1" applyNumberFormat="1">
      <alignment vertical="center"/>
    </xf>
    <xf borderId="2" fillId="11" fontId="8" numFmtId="164" xfId="0" applyAlignment="1" applyBorder="1" applyFill="1" applyFont="1" applyNumberFormat="1">
      <alignment horizontal="right" shrinkToFit="0" wrapText="1"/>
    </xf>
    <xf borderId="2" fillId="11" fontId="9" numFmtId="164" xfId="0" applyAlignment="1" applyBorder="1" applyFill="1" applyFont="1" applyNumberFormat="1">
      <alignment horizontal="right" shrinkToFit="0" wrapText="1"/>
    </xf>
    <xf borderId="2" fillId="11" fontId="9" numFmtId="164" xfId="0" applyAlignment="1" applyBorder="1" applyFill="1" applyFont="1" applyNumberFormat="1">
      <alignment horizontal="right"/>
    </xf>
    <xf borderId="4" fillId="11" fontId="1" numFmtId="164" xfId="0" applyAlignment="1" applyBorder="1" applyFill="1" applyFont="1" applyNumberFormat="1">
      <alignment horizontal="right" shrinkToFit="0" wrapText="1"/>
    </xf>
    <xf borderId="3" fillId="11" fontId="1" numFmtId="0" xfId="0" applyAlignment="1" applyBorder="1" applyFill="1" applyFont="1">
      <alignment horizontal="right"/>
    </xf>
    <xf borderId="2" fillId="11" fontId="1" numFmtId="0" xfId="0" applyAlignment="1" applyBorder="1" applyFill="1" applyFont="1">
      <alignment horizontal="center"/>
    </xf>
    <xf borderId="2" fillId="10" fontId="1" numFmtId="0" xfId="0" applyAlignment="1" applyBorder="1" applyFill="1" applyFont="1">
      <alignment horizontal="right"/>
    </xf>
    <xf borderId="2" fillId="10" fontId="3" numFmtId="0" xfId="0" applyAlignment="1" applyBorder="1" applyFill="1" applyFont="1">
      <alignment horizontal="center"/>
    </xf>
    <xf borderId="2" fillId="10" fontId="8" numFmtId="164" xfId="0" applyAlignment="1" applyBorder="1" applyFill="1" applyFont="1" applyNumberFormat="1">
      <alignment horizontal="right" shrinkToFit="0" wrapText="1"/>
    </xf>
    <xf borderId="2" fillId="10" fontId="9" numFmtId="164" xfId="0" applyAlignment="1" applyBorder="1" applyFill="1" applyFont="1" applyNumberFormat="1">
      <alignment horizontal="right" shrinkToFit="0" wrapText="1"/>
    </xf>
    <xf borderId="2" fillId="10" fontId="9" numFmtId="164" xfId="0" applyAlignment="1" applyBorder="1" applyFill="1" applyFont="1" applyNumberFormat="1">
      <alignment horizontal="right"/>
    </xf>
    <xf borderId="3" fillId="10" fontId="1" numFmtId="0" xfId="0" applyAlignment="1" applyBorder="1" applyFill="1" applyFont="1">
      <alignment horizontal="right"/>
    </xf>
    <xf borderId="2" fillId="10" fontId="1" numFmtId="0" xfId="0" applyAlignment="1" applyBorder="1" applyFill="1" applyFont="1">
      <alignment horizontal="center"/>
    </xf>
    <xf borderId="3" fillId="11" fontId="1" numFmtId="164" xfId="0" applyAlignment="1" applyBorder="1" applyFill="1" applyFont="1" applyNumberFormat="1">
      <alignment horizontal="right"/>
    </xf>
    <xf borderId="3" fillId="11" fontId="1" numFmtId="170" xfId="0" applyAlignment="1" applyBorder="1" applyFill="1" applyFont="1" applyNumberFormat="1">
      <alignment horizontal="right"/>
    </xf>
    <xf borderId="0" fillId="0" fontId="15" numFmtId="0" xfId="0" applyFont="1"/>
    <xf borderId="1" fillId="12" fontId="1" numFmtId="0" xfId="0" applyAlignment="1" applyBorder="1" applyFill="1" applyFont="1">
      <alignment vertical="center"/>
    </xf>
    <xf borderId="1" fillId="12" fontId="1" numFmtId="164" xfId="0" applyBorder="1" applyFill="1" applyFont="1" applyNumberFormat="1"/>
    <xf borderId="1" fillId="12" fontId="1" numFmtId="0" xfId="0" applyBorder="1" applyFill="1" applyFont="1"/>
    <xf borderId="0" fillId="0" fontId="5" numFmtId="0" xfId="0" applyAlignment="1" applyFont="1">
      <alignment horizontal="right"/>
    </xf>
    <xf borderId="0" fillId="11" fontId="1" numFmtId="0" xfId="0" applyAlignment="1" applyFill="1" applyFont="1">
      <alignment horizontal="right" readingOrder="0"/>
    </xf>
    <xf borderId="2" fillId="11" fontId="1" numFmtId="0" xfId="0" applyAlignment="1" applyBorder="1" applyFill="1" applyFont="1">
      <alignment readingOrder="0"/>
    </xf>
    <xf borderId="2" fillId="11" fontId="3" numFmtId="0" xfId="0" applyAlignment="1" applyBorder="1" applyFill="1" applyFont="1">
      <alignment horizontal="center" readingOrder="0"/>
    </xf>
    <xf borderId="2" fillId="11" fontId="8" numFmtId="164" xfId="0" applyAlignment="1" applyBorder="1" applyFill="1" applyFont="1" applyNumberFormat="1">
      <alignment horizontal="right" readingOrder="0" shrinkToFit="0" wrapText="1"/>
    </xf>
    <xf borderId="2" fillId="12" fontId="1" numFmtId="0" xfId="0" applyAlignment="1" applyBorder="1" applyFill="1" applyFont="1">
      <alignment horizontal="left" vertical="center"/>
    </xf>
    <xf borderId="2" fillId="12" fontId="3" numFmtId="0" xfId="0" applyAlignment="1" applyBorder="1" applyFill="1" applyFont="1">
      <alignment horizontal="center" vertical="center"/>
    </xf>
    <xf borderId="2" fillId="12" fontId="1" numFmtId="164" xfId="0" applyAlignment="1" applyBorder="1" applyFill="1" applyFont="1" applyNumberFormat="1">
      <alignment vertical="center"/>
    </xf>
    <xf borderId="2" fillId="12" fontId="1" numFmtId="164" xfId="0" applyAlignment="1" applyBorder="1" applyFill="1" applyFont="1" applyNumberFormat="1">
      <alignment horizontal="right"/>
    </xf>
    <xf borderId="2" fillId="12" fontId="8" numFmtId="164" xfId="0" applyAlignment="1" applyBorder="1" applyFill="1" applyFont="1" applyNumberFormat="1">
      <alignment horizontal="right" shrinkToFit="0" wrapText="1"/>
    </xf>
    <xf borderId="2" fillId="12" fontId="9" numFmtId="164" xfId="0" applyAlignment="1" applyBorder="1" applyFill="1" applyFont="1" applyNumberFormat="1">
      <alignment horizontal="right" shrinkToFit="0" wrapText="1"/>
    </xf>
    <xf borderId="2" fillId="12" fontId="9" numFmtId="164" xfId="0" applyAlignment="1" applyBorder="1" applyFill="1" applyFont="1" applyNumberFormat="1">
      <alignment horizontal="right"/>
    </xf>
    <xf borderId="4" fillId="12" fontId="1" numFmtId="164" xfId="0" applyAlignment="1" applyBorder="1" applyFill="1" applyFont="1" applyNumberFormat="1">
      <alignment horizontal="right" shrinkToFit="0" wrapText="1"/>
    </xf>
    <xf borderId="3" fillId="12" fontId="1" numFmtId="170" xfId="0" applyAlignment="1" applyBorder="1" applyFill="1" applyFont="1" applyNumberFormat="1">
      <alignment horizontal="right"/>
    </xf>
    <xf borderId="2" fillId="12" fontId="1" numFmtId="0" xfId="0" applyAlignment="1" applyBorder="1" applyFill="1" applyFont="1">
      <alignment horizontal="center"/>
    </xf>
    <xf borderId="3" fillId="12" fontId="1" numFmtId="0" xfId="0" applyAlignment="1" applyBorder="1" applyFill="1" applyFont="1">
      <alignment horizontal="right"/>
    </xf>
    <xf borderId="0" fillId="12" fontId="1" numFmtId="0" xfId="0" applyAlignment="1" applyFill="1" applyFont="1">
      <alignment readingOrder="0"/>
    </xf>
    <xf borderId="2" fillId="12" fontId="1" numFmtId="0" xfId="0" applyAlignment="1" applyBorder="1" applyFill="1" applyFont="1">
      <alignment horizontal="left" readingOrder="0" vertical="center"/>
    </xf>
    <xf borderId="3" fillId="12" fontId="1" numFmtId="164" xfId="0" applyAlignment="1" applyBorder="1" applyFill="1" applyFont="1" applyNumberFormat="1">
      <alignment horizontal="right" shrinkToFit="0" wrapText="1"/>
    </xf>
    <xf borderId="3" fillId="12" fontId="1" numFmtId="164" xfId="0" applyAlignment="1" applyBorder="1" applyFill="1" applyFont="1" applyNumberFormat="1">
      <alignment horizontal="right" readingOrder="0" shrinkToFit="0" wrapText="1"/>
    </xf>
    <xf borderId="0" fillId="8" fontId="1" numFmtId="0" xfId="0" applyAlignment="1" applyFill="1" applyFont="1">
      <alignment vertical="center"/>
    </xf>
    <xf borderId="0" fillId="8" fontId="1" numFmtId="164" xfId="0" applyAlignment="1" applyFill="1" applyFont="1" applyNumberFormat="1">
      <alignment vertical="center"/>
    </xf>
    <xf borderId="0" fillId="8" fontId="1" numFmtId="0" xfId="0" applyFill="1" applyFont="1"/>
    <xf borderId="2" fillId="0" fontId="1" numFmtId="164" xfId="0" applyAlignment="1" applyBorder="1" applyFont="1" applyNumberFormat="1">
      <alignment vertical="center"/>
    </xf>
    <xf borderId="9" fillId="5" fontId="5" numFmtId="0" xfId="0" applyAlignment="1" applyBorder="1" applyFill="1" applyFont="1">
      <alignment horizontal="left" vertical="top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16" fillId="0" fontId="16" numFmtId="0" xfId="0" applyAlignment="1" applyBorder="1" applyFont="1">
      <alignment horizontal="center" vertical="center"/>
    </xf>
    <xf borderId="17" fillId="0" fontId="17" numFmtId="0" xfId="0" applyAlignment="1" applyBorder="1" applyFont="1">
      <alignment horizontal="center" vertical="center"/>
    </xf>
    <xf borderId="18" fillId="0" fontId="17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right"/>
    </xf>
    <xf borderId="1" fillId="4" fontId="1" numFmtId="164" xfId="0" applyAlignment="1" applyBorder="1" applyFill="1" applyFont="1" applyNumberFormat="1">
      <alignment horizontal="right"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4" fontId="1" numFmtId="164" xfId="0" applyAlignment="1" applyBorder="1" applyFill="1" applyFont="1" applyNumberFormat="1">
      <alignment horizontal="right" shrinkToFit="0" wrapText="1"/>
    </xf>
    <xf borderId="19" fillId="0" fontId="17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20" fillId="0" fontId="18" numFmtId="164" xfId="0" applyAlignment="1" applyBorder="1" applyFont="1" applyNumberFormat="1">
      <alignment horizontal="center" vertical="center"/>
    </xf>
    <xf borderId="21" fillId="0" fontId="17" numFmtId="0" xfId="0" applyAlignment="1" applyBorder="1" applyFont="1">
      <alignment horizontal="center" vertical="center"/>
    </xf>
    <xf borderId="22" fillId="0" fontId="5" numFmtId="164" xfId="0" applyAlignment="1" applyBorder="1" applyFont="1" applyNumberFormat="1">
      <alignment horizontal="center" vertical="center"/>
    </xf>
    <xf borderId="23" fillId="0" fontId="18" numFmtId="164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0" fillId="0" fontId="16" numFmtId="164" xfId="0" applyAlignment="1" applyFont="1" applyNumberFormat="1">
      <alignment vertical="center"/>
    </xf>
    <xf borderId="20" fillId="0" fontId="5" numFmtId="164" xfId="0" applyAlignment="1" applyBorder="1" applyFont="1" applyNumberFormat="1">
      <alignment vertical="center"/>
    </xf>
    <xf borderId="21" fillId="0" fontId="2" numFmtId="0" xfId="0" applyAlignment="1" applyBorder="1" applyFont="1">
      <alignment horizontal="center" vertical="center"/>
    </xf>
    <xf borderId="22" fillId="0" fontId="16" numFmtId="164" xfId="0" applyAlignment="1" applyBorder="1" applyFont="1" applyNumberFormat="1">
      <alignment vertical="center"/>
    </xf>
    <xf borderId="23" fillId="0" fontId="5" numFmtId="164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2" fillId="13" fontId="5" numFmtId="164" xfId="0" applyAlignment="1" applyBorder="1" applyFill="1" applyFont="1" applyNumberFormat="1">
      <alignment horizontal="center" vertical="center"/>
    </xf>
    <xf borderId="3" fillId="13" fontId="5" numFmtId="165" xfId="0" applyAlignment="1" applyBorder="1" applyFill="1" applyFont="1" applyNumberFormat="1">
      <alignment horizontal="center" vertical="center"/>
    </xf>
    <xf borderId="2" fillId="13" fontId="5" numFmtId="165" xfId="0" applyAlignment="1" applyBorder="1" applyFill="1" applyFont="1" applyNumberFormat="1">
      <alignment horizontal="center" vertical="center"/>
    </xf>
    <xf borderId="9" fillId="13" fontId="5" numFmtId="165" xfId="0" applyAlignment="1" applyBorder="1" applyFill="1" applyFont="1" applyNumberFormat="1">
      <alignment horizontal="center" vertical="center"/>
    </xf>
    <xf borderId="2" fillId="13" fontId="5" numFmtId="20" xfId="0" applyAlignment="1" applyBorder="1" applyFill="1" applyFont="1" applyNumberFormat="1">
      <alignment horizontal="center" vertical="center"/>
    </xf>
    <xf borderId="2" fillId="13" fontId="5" numFmtId="0" xfId="0" applyAlignment="1" applyBorder="1" applyFill="1" applyFont="1">
      <alignment horizontal="center" vertical="center"/>
    </xf>
    <xf borderId="2" fillId="0" fontId="5" numFmtId="171" xfId="0" applyAlignment="1" applyBorder="1" applyFont="1" applyNumberFormat="1">
      <alignment horizontal="center" vertical="center"/>
    </xf>
    <xf borderId="3" fillId="0" fontId="5" numFmtId="171" xfId="0" applyAlignment="1" applyBorder="1" applyFont="1" applyNumberFormat="1">
      <alignment horizontal="center" vertical="center"/>
    </xf>
    <xf borderId="9" fillId="0" fontId="5" numFmtId="171" xfId="0" applyAlignment="1" applyBorder="1" applyFont="1" applyNumberFormat="1">
      <alignment horizontal="center" vertical="center"/>
    </xf>
    <xf borderId="0" fillId="0" fontId="5" numFmtId="164" xfId="0" applyFont="1" applyNumberFormat="1"/>
    <xf borderId="2" fillId="7" fontId="5" numFmtId="171" xfId="0" applyAlignment="1" applyBorder="1" applyFill="1" applyFont="1" applyNumberForma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5" numFmtId="166" xfId="0" applyAlignment="1" applyBorder="1" applyFont="1" applyNumberFormat="1">
      <alignment horizontal="right" shrinkToFit="0" wrapText="1"/>
    </xf>
    <xf borderId="2" fillId="0" fontId="5" numFmtId="164" xfId="0" applyAlignment="1" applyBorder="1" applyFont="1" applyNumberFormat="1">
      <alignment horizontal="right" shrinkToFit="0" vertical="center" wrapText="1"/>
    </xf>
    <xf borderId="2" fillId="0" fontId="5" numFmtId="4" xfId="0" applyAlignment="1" applyBorder="1" applyFont="1" applyNumberFormat="1">
      <alignment horizontal="right" shrinkToFit="0" vertical="center" wrapText="1"/>
    </xf>
    <xf borderId="2" fillId="6" fontId="5" numFmtId="164" xfId="0" applyAlignment="1" applyBorder="1" applyFill="1" applyFont="1" applyNumberFormat="1">
      <alignment horizontal="righ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166" xfId="0" applyAlignment="1" applyBorder="1" applyFont="1" applyNumberFormat="1">
      <alignment horizontal="right" shrinkToFit="0" vertical="center" wrapText="1"/>
    </xf>
    <xf borderId="2" fillId="0" fontId="5" numFmtId="164" xfId="0" applyAlignment="1" applyBorder="1" applyFont="1" applyNumberFormat="1">
      <alignment shrinkToFit="0" vertical="center" wrapText="1"/>
    </xf>
    <xf borderId="2" fillId="0" fontId="5" numFmtId="172" xfId="0" applyAlignment="1" applyBorder="1" applyFont="1" applyNumberFormat="1">
      <alignment shrinkToFit="0" vertical="center" wrapText="1"/>
    </xf>
    <xf borderId="2" fillId="0" fontId="5" numFmtId="172" xfId="0" applyAlignment="1" applyBorder="1" applyFont="1" applyNumberFormat="1">
      <alignment horizontal="right" shrinkToFit="0" wrapText="1"/>
    </xf>
    <xf borderId="2" fillId="0" fontId="5" numFmtId="164" xfId="0" applyAlignment="1" applyBorder="1" applyFont="1" applyNumberFormat="1">
      <alignment horizontal="right" shrinkToFit="0" wrapText="1"/>
    </xf>
    <xf borderId="2" fillId="0" fontId="15" numFmtId="164" xfId="0" applyBorder="1" applyFont="1" applyNumberFormat="1"/>
    <xf borderId="2" fillId="0" fontId="5" numFmtId="0" xfId="0" applyAlignment="1" applyBorder="1" applyFont="1">
      <alignment shrinkToFit="0" wrapText="1"/>
    </xf>
    <xf borderId="2" fillId="0" fontId="15" numFmtId="0" xfId="0" applyBorder="1" applyFont="1"/>
    <xf borderId="2" fillId="0" fontId="15" numFmtId="4" xfId="0" applyBorder="1" applyFont="1" applyNumberFormat="1"/>
    <xf borderId="2" fillId="9" fontId="5" numFmtId="164" xfId="0" applyAlignment="1" applyBorder="1" applyFill="1" applyFont="1" applyNumberFormat="1">
      <alignment horizontal="right" shrinkToFit="0" wrapText="1"/>
    </xf>
    <xf borderId="2" fillId="0" fontId="5" numFmtId="164" xfId="0" applyBorder="1" applyFont="1" applyNumberFormat="1"/>
    <xf borderId="2" fillId="0" fontId="5" numFmtId="4" xfId="0" applyAlignment="1" applyBorder="1" applyFont="1" applyNumberFormat="1">
      <alignment horizontal="right" shrinkToFit="0" wrapText="1"/>
    </xf>
    <xf borderId="2" fillId="0" fontId="5" numFmtId="4" xfId="0" applyBorder="1" applyFont="1" applyNumberFormat="1"/>
    <xf borderId="2" fillId="0" fontId="5" numFmtId="164" xfId="0" applyAlignment="1" applyBorder="1" applyFont="1" applyNumberFormat="1">
      <alignment horizontal="right" readingOrder="0" shrinkToFit="0" wrapText="1"/>
    </xf>
    <xf borderId="2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2" fillId="0" fontId="5" numFmtId="166" xfId="0" applyAlignment="1" applyBorder="1" applyFont="1" applyNumberFormat="1">
      <alignment horizontal="center"/>
    </xf>
    <xf borderId="3" fillId="7" fontId="5" numFmtId="171" xfId="0" applyAlignment="1" applyBorder="1" applyFill="1" applyFont="1" applyNumberFormat="1">
      <alignment horizontal="center" vertical="center"/>
    </xf>
    <xf borderId="2" fillId="0" fontId="5" numFmtId="171" xfId="0" applyAlignment="1" applyBorder="1" applyFont="1" applyNumberFormat="1">
      <alignment horizontal="center" readingOrder="0" vertical="center"/>
    </xf>
    <xf borderId="2" fillId="0" fontId="15" numFmtId="166" xfId="0" applyAlignment="1" applyBorder="1" applyFont="1" applyNumberFormat="1">
      <alignment horizontal="center" vertical="center"/>
    </xf>
    <xf borderId="2" fillId="0" fontId="15" numFmtId="164" xfId="0" applyAlignment="1" applyBorder="1" applyFont="1" applyNumberFormat="1">
      <alignment horizontal="center" vertical="center"/>
    </xf>
    <xf borderId="2" fillId="0" fontId="15" numFmtId="166" xfId="0" applyBorder="1" applyFont="1" applyNumberFormat="1"/>
    <xf borderId="0" fillId="0" fontId="15" numFmtId="164" xfId="0" applyFont="1" applyNumberFormat="1"/>
    <xf borderId="2" fillId="14" fontId="5" numFmtId="171" xfId="0" applyAlignment="1" applyBorder="1" applyFill="1" applyFont="1" applyNumberFormat="1">
      <alignment horizontal="center" vertical="center"/>
    </xf>
    <xf borderId="9" fillId="14" fontId="5" numFmtId="171" xfId="0" applyAlignment="1" applyBorder="1" applyFill="1" applyFont="1" applyNumberFormat="1">
      <alignment horizontal="center" vertical="center"/>
    </xf>
    <xf borderId="3" fillId="14" fontId="5" numFmtId="171" xfId="0" applyAlignment="1" applyBorder="1" applyFill="1" applyFont="1" applyNumberFormat="1">
      <alignment horizontal="center" vertical="center"/>
    </xf>
    <xf borderId="2" fillId="5" fontId="5" numFmtId="4" xfId="0" applyAlignment="1" applyBorder="1" applyFill="1" applyFont="1" applyNumberFormat="1">
      <alignment horizontal="right" readingOrder="0" vertical="center"/>
    </xf>
    <xf borderId="2" fillId="15" fontId="5" numFmtId="171" xfId="0" applyAlignment="1" applyBorder="1" applyFill="1" applyFont="1" applyNumberFormat="1">
      <alignment horizontal="center" vertical="center"/>
    </xf>
    <xf borderId="9" fillId="15" fontId="5" numFmtId="171" xfId="0" applyAlignment="1" applyBorder="1" applyFill="1" applyFont="1" applyNumberFormat="1">
      <alignment horizontal="center" vertical="center"/>
    </xf>
    <xf borderId="3" fillId="15" fontId="5" numFmtId="171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4">
    <dxf>
      <font>
        <color rgb="FFFF0000"/>
      </font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25"/>
    <col customWidth="1" min="2" max="2" width="9.38"/>
    <col customWidth="1" min="3" max="3" width="9.75"/>
    <col customWidth="1" min="4" max="4" width="13.13"/>
    <col customWidth="1" min="5" max="5" width="16.88"/>
    <col customWidth="1" min="6" max="6" width="14.63"/>
    <col customWidth="1" min="7" max="7" width="10.75"/>
    <col customWidth="1" min="8" max="8" width="14.38"/>
    <col customWidth="1" min="9" max="9" width="11.38"/>
    <col customWidth="1" min="10" max="10" width="13.38"/>
    <col customWidth="1" min="11" max="11" width="18.5"/>
    <col customWidth="1" min="12" max="12" width="14.13"/>
    <col customWidth="1" min="13" max="13" width="13.25"/>
    <col customWidth="1" min="14" max="14" width="10.38"/>
    <col customWidth="1" min="15" max="15" width="12.88"/>
    <col customWidth="1" min="16" max="16" width="16.38"/>
    <col customWidth="1" min="17" max="17" width="17.38"/>
    <col customWidth="1" min="18" max="18" width="17.13"/>
    <col customWidth="1" min="19" max="19" width="13.13"/>
    <col customWidth="1" min="20" max="20" width="16.0"/>
    <col customWidth="1" min="21" max="23" width="16.75"/>
    <col customWidth="1" min="24" max="24" width="12.25"/>
    <col customWidth="1" min="25" max="25" width="13.75"/>
    <col customWidth="1" min="26" max="26" width="14.88"/>
    <col customWidth="1" min="27" max="27" width="19.25"/>
    <col customWidth="1" min="28" max="28" width="14.38"/>
    <col customWidth="1" min="29" max="29" width="9.75"/>
    <col customWidth="1" min="30" max="30" width="7.13"/>
    <col customWidth="1" min="31" max="31" width="6.38"/>
    <col customWidth="1" min="32" max="32" width="12.38"/>
    <col customWidth="1" min="33" max="33" width="8.88"/>
  </cols>
  <sheetData>
    <row r="1">
      <c r="A1" s="1" t="s">
        <v>0</v>
      </c>
      <c r="B1" s="4" t="s">
        <v>3</v>
      </c>
      <c r="C1" s="4" t="s">
        <v>5</v>
      </c>
      <c r="D1" s="4" t="s">
        <v>6</v>
      </c>
      <c r="E1" s="7" t="s">
        <v>7</v>
      </c>
      <c r="F1" s="7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17</v>
      </c>
      <c r="L1" s="4" t="s">
        <v>18</v>
      </c>
      <c r="M1" s="4" t="s">
        <v>19</v>
      </c>
      <c r="N1" s="17" t="s">
        <v>20</v>
      </c>
      <c r="O1" s="4" t="s">
        <v>26</v>
      </c>
      <c r="P1" s="17" t="s">
        <v>27</v>
      </c>
      <c r="Q1" s="17" t="s">
        <v>30</v>
      </c>
      <c r="R1" s="17" t="s">
        <v>33</v>
      </c>
      <c r="S1" s="17" t="s">
        <v>34</v>
      </c>
      <c r="T1" s="17" t="s">
        <v>36</v>
      </c>
      <c r="U1" s="17" t="s">
        <v>37</v>
      </c>
      <c r="V1" s="17" t="s">
        <v>38</v>
      </c>
      <c r="W1" s="4" t="s">
        <v>39</v>
      </c>
      <c r="X1" s="4" t="s">
        <v>40</v>
      </c>
      <c r="Y1" s="23" t="s">
        <v>41</v>
      </c>
      <c r="Z1" s="27">
        <v>46244.0</v>
      </c>
      <c r="AA1" s="31">
        <v>46259.0</v>
      </c>
      <c r="AB1" s="31">
        <v>46260.0</v>
      </c>
      <c r="AC1" s="4" t="s">
        <v>44</v>
      </c>
      <c r="AD1" s="34"/>
      <c r="AE1" s="34"/>
      <c r="AF1" s="37"/>
      <c r="AG1" s="34"/>
      <c r="AH1" s="34"/>
      <c r="AI1" s="34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1"/>
      <c r="AW1" s="1"/>
    </row>
    <row r="2" ht="13.5" customHeight="1">
      <c r="A2" s="43">
        <v>1.0</v>
      </c>
      <c r="B2" s="45" t="s">
        <v>43</v>
      </c>
      <c r="C2" s="46" t="s">
        <v>45</v>
      </c>
      <c r="D2" s="48">
        <f>SUMIF(Hitungan!$C$2:$C$10,D$1,Hitungan!$G$2:$G$10)</f>
        <v>1260000</v>
      </c>
      <c r="E2" s="48">
        <f>SUMIF(Hitungan!$C$2:$C$10,E$1,Hitungan!$G$2:$G$10)</f>
        <v>1625000</v>
      </c>
      <c r="F2" s="48">
        <f>SUMIF(Hitungan!$C$2:$C$10,F$1,Hitungan!$G$2:$G$10)</f>
        <v>1495000</v>
      </c>
      <c r="G2" s="48">
        <f>SUMIF(Hitungan!$C$2:$C$10,G$1,Hitungan!$G$2:$G$10)</f>
        <v>0</v>
      </c>
      <c r="H2" s="48">
        <f>SUMIF(Hitungan!$C$2:$C$10,H$1,Hitungan!$G$2:$G$10)</f>
        <v>19166.66667</v>
      </c>
      <c r="I2" s="48">
        <f>SUMIF(Hitungan!$C$2:$C$10,I$1,Hitungan!$G$2:$G$10)</f>
        <v>0</v>
      </c>
      <c r="J2" s="48">
        <f>SUMIF(Hitungan!$C$2:$C$10,J$1,Hitungan!$G$2:$G$10)</f>
        <v>0</v>
      </c>
      <c r="K2" s="48">
        <f>SUMIF(Hitungan!$C$2:$C$10,K$1,Hitungan!$G$2:$G$10)</f>
        <v>0</v>
      </c>
      <c r="L2" s="48"/>
      <c r="M2" s="48">
        <f t="shared" ref="M2:M15" si="1">SUM(D2:L2)</f>
        <v>4399166.667</v>
      </c>
      <c r="N2" s="58">
        <f>SUMIF(Hitungan!$C$2:$C$10,"Uang Makan",Hitungan!$F$2:$F$10)</f>
        <v>26</v>
      </c>
      <c r="O2" s="62">
        <f t="shared" ref="O2:O15" si="2">IFERROR(M2/N2,"")</f>
        <v>169198.7179</v>
      </c>
      <c r="P2" s="62">
        <f>SUMIF(Hitungan!$C$2:$C$10,"Keterlambatan",Hitungan!$F$2:$F$10)</f>
        <v>2</v>
      </c>
      <c r="Q2" s="68">
        <f>SUMIF(Hitungan!$C$2:$C$10,"Keterlambatan",Hitungan!$G$2:$G$10)</f>
        <v>38333.33333</v>
      </c>
      <c r="R2" s="68">
        <f>SUMIF(Hitungan!$C$2:$C$10,"Pengurangan Dari Kejadian",Hitungan!$G$2:$G$10)</f>
        <v>15000</v>
      </c>
      <c r="S2" s="68">
        <f>SUMIF(Hitungan!$C$2:$C$10,"Pemotongan SP",Hitungan!$G$2:$G$10)</f>
        <v>0</v>
      </c>
      <c r="T2" s="68">
        <f>SUMIF(Hitungan!$C$2:$C$10,"Kasbon",Hitungan!$G$2:$G$10)</f>
        <v>0</v>
      </c>
      <c r="U2" s="68"/>
      <c r="V2" s="68">
        <f t="shared" ref="V2:V15" si="3">SUM(Q2:U2)</f>
        <v>53333.33333</v>
      </c>
      <c r="W2" s="48">
        <f>SUMIF(Hitungan!$C$2:$C$10,"Service Charge",Hitungan!$G$2:$G$10)</f>
        <v>0</v>
      </c>
      <c r="X2" s="72">
        <f t="shared" ref="X2:X15" si="4">M2-V2+W2</f>
        <v>4345833.333</v>
      </c>
      <c r="Y2" s="73">
        <f t="shared" ref="Y2:Y15" si="5">ROUNDDOWN(X2,0)</f>
        <v>4345833</v>
      </c>
      <c r="Z2" s="76">
        <f>D2</f>
        <v>1260000</v>
      </c>
      <c r="AA2" s="76">
        <f t="shared" ref="AA2:AA12" si="6">Y2-Z2</f>
        <v>3085833</v>
      </c>
      <c r="AB2" s="80" t="s">
        <v>59</v>
      </c>
      <c r="AC2" s="82" t="s">
        <v>61</v>
      </c>
      <c r="AD2" s="83"/>
      <c r="AE2" s="83" t="s">
        <v>61</v>
      </c>
      <c r="AF2" s="87">
        <f t="shared" ref="AF2:AF4" si="7">SUMIFS($AA:$AA,$AC:$AC,AE2)</f>
        <v>27814584</v>
      </c>
      <c r="AG2" s="83"/>
      <c r="AH2" s="83"/>
      <c r="AI2" s="83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</row>
    <row r="3" ht="13.5" customHeight="1">
      <c r="A3" s="92">
        <v>2.0</v>
      </c>
      <c r="B3" s="43" t="s">
        <v>49</v>
      </c>
      <c r="C3" s="93" t="s">
        <v>45</v>
      </c>
      <c r="D3" s="72">
        <f>SUMIF(Hitungan!$C$44:$C$52,D$1,Hitungan!$G$44:$G$52)</f>
        <v>1250000</v>
      </c>
      <c r="E3" s="72">
        <f>SUMIF(Hitungan!$C$44:$C$52,E$1,Hitungan!$G$44:$G$52)</f>
        <v>765000</v>
      </c>
      <c r="F3" s="72">
        <f>SUMIF(Hitungan!$C$44:$C$52,F$1,Hitungan!$G$44:$G$52)</f>
        <v>990000</v>
      </c>
      <c r="G3" s="72">
        <f>SUMIF(Hitungan!$C$44:$C$52,G$1,Hitungan!$G$44:$G$52)</f>
        <v>0</v>
      </c>
      <c r="H3" s="72">
        <f>SUMIF(Hitungan!$C$44:$C$52,H$1,Hitungan!$G$44:$G$52)</f>
        <v>0</v>
      </c>
      <c r="I3" s="72">
        <f>SUMIF(Hitungan!$C$44:$C$52,I$1,Hitungan!$G$44:$G$52)</f>
        <v>0</v>
      </c>
      <c r="J3" s="72">
        <f>SUMIF(Hitungan!$C$44:$C$52,J$1,Hitungan!$G$44:$G$52)</f>
        <v>0</v>
      </c>
      <c r="K3" s="48">
        <f>SUMIF(Hitungan!$C$44:$C$52,K$1,Hitungan!$G$44:$G$52)</f>
        <v>0</v>
      </c>
      <c r="L3" s="72"/>
      <c r="M3" s="72">
        <f t="shared" si="1"/>
        <v>3005000</v>
      </c>
      <c r="N3" s="97">
        <f>SUMIF(Hitungan!$C$44:$C$52,"Uang Makan",Hitungan!$F$44:$F$52)</f>
        <v>18</v>
      </c>
      <c r="O3" s="98">
        <f t="shared" si="2"/>
        <v>166944.4444</v>
      </c>
      <c r="P3" s="98">
        <f>SUMIF(Hitungan!$C$44:$C$52,"Keterlambatan",Hitungan!$F$44:$F$52)</f>
        <v>1</v>
      </c>
      <c r="Q3" s="99">
        <f>SUMIF(Hitungan!$C$44:$C$52,"Keterlambatan",Hitungan!$G$44:$G$52)</f>
        <v>18333.33333</v>
      </c>
      <c r="R3" s="99">
        <f>SUMIF(Hitungan!$C$44:$C$52,"Pengurangan Dari Kejadian",Hitungan!$G$44:$G$52)</f>
        <v>15000</v>
      </c>
      <c r="S3" s="99">
        <f>SUMIF(Hitungan!$C$44:$C$52,"Pemotongan SP",Hitungan!$G$44:$G$52)</f>
        <v>0</v>
      </c>
      <c r="T3" s="99">
        <f>SUMIF(Hitungan!$C$44:$C$52,"Kasbon",Hitungan!$G$44:$G$52)</f>
        <v>0</v>
      </c>
      <c r="U3" s="99">
        <v>250000.0</v>
      </c>
      <c r="V3" s="99">
        <f t="shared" si="3"/>
        <v>283333.3333</v>
      </c>
      <c r="W3" s="72">
        <f>SUMIF(Hitungan!$C$44:$C$52,"Service Charge",Hitungan!$G$44:$G$52)</f>
        <v>0</v>
      </c>
      <c r="X3" s="72">
        <f t="shared" si="4"/>
        <v>2721666.667</v>
      </c>
      <c r="Y3" s="76">
        <f t="shared" si="5"/>
        <v>2721666</v>
      </c>
      <c r="Z3" s="76">
        <f t="shared" ref="Z3:Z4" si="8">D3-V3</f>
        <v>966666.6667</v>
      </c>
      <c r="AA3" s="76">
        <f t="shared" si="6"/>
        <v>1754999.333</v>
      </c>
      <c r="AB3" s="101" t="s">
        <v>59</v>
      </c>
      <c r="AC3" s="103" t="s">
        <v>61</v>
      </c>
      <c r="AD3" s="83"/>
      <c r="AE3" s="83" t="s">
        <v>75</v>
      </c>
      <c r="AF3" s="87">
        <f t="shared" si="7"/>
        <v>5625803</v>
      </c>
      <c r="AG3" s="83"/>
      <c r="AH3" s="83"/>
      <c r="AI3" s="83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</row>
    <row r="4" ht="13.5" customHeight="1">
      <c r="A4" s="92">
        <v>3.0</v>
      </c>
      <c r="B4" s="43" t="s">
        <v>50</v>
      </c>
      <c r="C4" s="93" t="s">
        <v>45</v>
      </c>
      <c r="D4" s="48">
        <f>SUMIF(Hitungan!$C$86:$C$96,D$1,Hitungan!$G$86:$G$96)</f>
        <v>1250000</v>
      </c>
      <c r="E4" s="72">
        <f>SUMIF(Hitungan!$C$86:$C$96,E$1,Hitungan!$G$86:$G$96)</f>
        <v>990000</v>
      </c>
      <c r="F4" s="72">
        <f>SUMIF(Hitungan!$C$86:$C$96,F$1,Hitungan!$G$86:$G$96)</f>
        <v>1265000</v>
      </c>
      <c r="G4" s="72">
        <f>SUMIF(Hitungan!$C$86:$C$96,G$1,Hitungan!$G$86:$G$96)</f>
        <v>0</v>
      </c>
      <c r="H4" s="72">
        <f>SUMIF(Hitungan!$C$86:$C$96,H$1,Hitungan!$G$86:$G$96)</f>
        <v>0</v>
      </c>
      <c r="I4" s="72">
        <f>SUMIF(Hitungan!$C$86:$C$96,I$1,Hitungan!$G$86:$G$96)</f>
        <v>0</v>
      </c>
      <c r="J4" s="72">
        <f>SUMIF(Hitungan!$C$86:$C$96,J$1,Hitungan!$G$86:$G$96)</f>
        <v>0</v>
      </c>
      <c r="K4" s="72">
        <f>SUMIF(Hitungan!$C$86:$C$96,K$1,Hitungan!$G$86:$G$96)</f>
        <v>0</v>
      </c>
      <c r="L4" s="72"/>
      <c r="M4" s="72">
        <f t="shared" si="1"/>
        <v>3505000</v>
      </c>
      <c r="N4" s="97">
        <f>SUMIF(Hitungan!$C$86:$C$96,"Uang Makan",Hitungan!$F$86:$F$96)</f>
        <v>23</v>
      </c>
      <c r="O4" s="98">
        <f t="shared" si="2"/>
        <v>152391.3043</v>
      </c>
      <c r="P4" s="98">
        <f>SUMIF(Hitungan!$C$86:$C$96,"Keterlambatan",Hitungan!$F$86:$F$96)</f>
        <v>2</v>
      </c>
      <c r="Q4" s="99">
        <f>SUMIF(Hitungan!$C$86:$C$96,"Keterlambatan",Hitungan!$G$86:$G$96)</f>
        <v>36666.66667</v>
      </c>
      <c r="R4" s="99">
        <f>SUMIF(Hitungan!$C$86:$C$96,"Pengurangan Dari Kejadian",Hitungan!$G$86:$G$96)</f>
        <v>15000</v>
      </c>
      <c r="S4" s="99">
        <f>SUMIF(Hitungan!$C$86:$C$96,"Pemotongan SP",Hitungan!$G$86:$G$96)</f>
        <v>0</v>
      </c>
      <c r="T4" s="99">
        <f>SUMIF(Hitungan!$C$86:$C$96,"Kasbon",Hitungan!$G$86:$G$96)</f>
        <v>0</v>
      </c>
      <c r="U4" s="99">
        <v>250000.0</v>
      </c>
      <c r="V4" s="99">
        <f t="shared" si="3"/>
        <v>301666.6667</v>
      </c>
      <c r="W4" s="72">
        <f>SUMIF(Hitungan!$C$86:$C$96,"Service Charge",Hitungan!$G$86:$G$96)</f>
        <v>0</v>
      </c>
      <c r="X4" s="72">
        <f t="shared" si="4"/>
        <v>3203333.333</v>
      </c>
      <c r="Y4" s="76">
        <f t="shared" si="5"/>
        <v>3203333</v>
      </c>
      <c r="Z4" s="76">
        <f t="shared" si="8"/>
        <v>948333.3333</v>
      </c>
      <c r="AA4" s="76">
        <f t="shared" si="6"/>
        <v>2254999.667</v>
      </c>
      <c r="AB4" s="101" t="s">
        <v>59</v>
      </c>
      <c r="AC4" s="103" t="s">
        <v>61</v>
      </c>
      <c r="AD4" s="83"/>
      <c r="AE4" s="83" t="s">
        <v>86</v>
      </c>
      <c r="AF4" s="87">
        <f t="shared" si="7"/>
        <v>16312768</v>
      </c>
      <c r="AG4" s="83"/>
      <c r="AH4" s="83"/>
      <c r="AI4" s="83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</row>
    <row r="5" ht="13.5" customHeight="1">
      <c r="A5" s="43">
        <v>4.0</v>
      </c>
      <c r="B5" s="45" t="s">
        <v>51</v>
      </c>
      <c r="C5" s="46" t="s">
        <v>45</v>
      </c>
      <c r="D5" s="48">
        <f>SUMIF(Hitungan!$C$130:$C$138,D$1,Hitungan!$G$130:$G$138)</f>
        <v>388221.1538</v>
      </c>
      <c r="E5" s="48">
        <f>SUMIF(Hitungan!$C$130:$C$138,E$1,Hitungan!$G$130:$G$138)</f>
        <v>363375</v>
      </c>
      <c r="F5" s="48">
        <f>SUMIF(Hitungan!$C$130:$C$138,F$1,Hitungan!$G$130:$G$138)</f>
        <v>444125</v>
      </c>
      <c r="G5" s="48">
        <f>SUMIF(Hitungan!$C$130:$C$138,G$1,Hitungan!$G$130:$G$138)</f>
        <v>0</v>
      </c>
      <c r="H5" s="48">
        <f>SUMIF(Hitungan!$C$130:$C$138,H$1,Hitungan!$G$130:$G$138)</f>
        <v>0</v>
      </c>
      <c r="I5" s="48">
        <f>SUMIF(Hitungan!$C$130:$C$138,I$1,Hitungan!$G$130:$G$138)</f>
        <v>0</v>
      </c>
      <c r="J5" s="48">
        <f>SUMIF(Hitungan!$C$130:$C$138,J$1,Hitungan!$G$130:$G$138)</f>
        <v>0</v>
      </c>
      <c r="K5" s="48">
        <f>SUMIF(Hitungan!$C$130:$C$138,K$1,Hitungan!$G$130:$G$138)</f>
        <v>0</v>
      </c>
      <c r="L5" s="48"/>
      <c r="M5" s="48">
        <f t="shared" si="1"/>
        <v>1195721.154</v>
      </c>
      <c r="N5" s="58">
        <f>SUMIF(Hitungan!$C$130:$C$138,"Uang Makan",Hitungan!$F$130:$F$138)</f>
        <v>9.5</v>
      </c>
      <c r="O5" s="62">
        <f t="shared" si="2"/>
        <v>125865.3846</v>
      </c>
      <c r="P5" s="62">
        <f>SUMIF(Hitungan!$C$130:$C$138,"Keterlambatan",Hitungan!$F$130:$F$138)</f>
        <v>0</v>
      </c>
      <c r="Q5" s="68">
        <f>SUMIF(Hitungan!$C$130:$C$138,"Keterlambatan",Hitungan!$G$130:$G$138)</f>
        <v>0</v>
      </c>
      <c r="R5" s="68">
        <f>SUMIF(Hitungan!$C$130:$C$138,"Pengurangan Dari Kejadian",Hitungan!$G$130:$G$138)</f>
        <v>15000</v>
      </c>
      <c r="S5" s="68">
        <f>SUMIF(Hitungan!$C$130:$C$138,"Pemotongan SP",Hitungan!$G$130:$G$138)</f>
        <v>0</v>
      </c>
      <c r="T5" s="68">
        <f>SUMIF(Hitungan!$C$130:$C$138,"Kasbon",Hitungan!$G$130:$G$138)</f>
        <v>0</v>
      </c>
      <c r="U5" s="68"/>
      <c r="V5" s="68">
        <f t="shared" si="3"/>
        <v>15000</v>
      </c>
      <c r="W5" s="48">
        <f>SUMIF(Hitungan!$C$130:$C$138,"Service Charge",Hitungan!$G$130:$G$138)</f>
        <v>0</v>
      </c>
      <c r="X5" s="72">
        <f t="shared" si="4"/>
        <v>1180721.154</v>
      </c>
      <c r="Y5" s="73">
        <f t="shared" si="5"/>
        <v>1180721</v>
      </c>
      <c r="Z5" s="76">
        <f>Y5</f>
        <v>1180721</v>
      </c>
      <c r="AA5" s="76">
        <f t="shared" si="6"/>
        <v>0</v>
      </c>
      <c r="AB5" s="80" t="s">
        <v>59</v>
      </c>
      <c r="AC5" s="82" t="s">
        <v>61</v>
      </c>
      <c r="AD5" s="83"/>
      <c r="AE5" s="83"/>
      <c r="AF5" s="87"/>
      <c r="AG5" s="83"/>
      <c r="AH5" s="83"/>
      <c r="AI5" s="83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</row>
    <row r="6" ht="13.5" customHeight="1">
      <c r="A6" s="140">
        <v>5.0</v>
      </c>
      <c r="B6" s="141" t="s">
        <v>52</v>
      </c>
      <c r="C6" s="142" t="s">
        <v>53</v>
      </c>
      <c r="D6" s="143">
        <f>SUMIF(Hitungan!$C$337:$C$345,D$1,Hitungan!$G$337:$G$345)</f>
        <v>3190000</v>
      </c>
      <c r="E6" s="143">
        <f>SUMIF(Hitungan!$C$337:$C$345,E$1,Hitungan!$G$337:$G$345)</f>
        <v>546000</v>
      </c>
      <c r="F6" s="143">
        <f>SUMIF(Hitungan!$C$337:$C$345,F$1,Hitungan!$G$337:$G$345)</f>
        <v>1404000</v>
      </c>
      <c r="G6" s="143">
        <f>SUMIF(Hitungan!$C$337:$C$345,G$1,Hitungan!$G$337:$G$345)</f>
        <v>0</v>
      </c>
      <c r="H6" s="143">
        <f>SUMIF(Hitungan!$C$337:$C$345,H$1,Hitungan!$G$337:$G$345)</f>
        <v>0</v>
      </c>
      <c r="I6" s="143">
        <f>SUMIF(Hitungan!$C$337:$C$345,I$1,Hitungan!$G$337:$G$345)</f>
        <v>0</v>
      </c>
      <c r="J6" s="143">
        <f>SUMIF(Hitungan!$C$337:$C$345,J$1,Hitungan!$G$337:$G$345)</f>
        <v>0</v>
      </c>
      <c r="K6" s="143">
        <f>SUMIF(Hitungan!$C$337:$C$345,K$1,Hitungan!$G$337:$G$345)</f>
        <v>0</v>
      </c>
      <c r="L6" s="143"/>
      <c r="M6" s="143">
        <f t="shared" si="1"/>
        <v>5140000</v>
      </c>
      <c r="N6" s="150">
        <f>SUMIF(Hitungan!$C$337:$C$345,"Uang Makan",Hitungan!$F$337:$F$345)</f>
        <v>26</v>
      </c>
      <c r="O6" s="151">
        <f t="shared" si="2"/>
        <v>197692.3077</v>
      </c>
      <c r="P6" s="151">
        <f>SUMIF(Hitungan!$C$337:$C$345,"Keterlambatan",Hitungan!$F$337:$F$345)</f>
        <v>0</v>
      </c>
      <c r="Q6" s="152">
        <f>SUMIF(Hitungan!$C$337:$C$345,"Keterlambatan",Hitungan!$G$337:$G$345)</f>
        <v>0</v>
      </c>
      <c r="R6" s="152">
        <f>SUMIF(Hitungan!$C$337:$C$345,"Pengurangan Dari Kejadian",Hitungan!$G$337:$G$345)</f>
        <v>318000</v>
      </c>
      <c r="S6" s="152">
        <f>SUMIF(Hitungan!$C$337:$C$345,"Pemotongan SP",Hitungan!$G$337:$G$345)</f>
        <v>0</v>
      </c>
      <c r="T6" s="152">
        <f>SUMIF(Hitungan!$C$337:$C$345,"Kasbon",Hitungan!$G$337:$G$345)</f>
        <v>0</v>
      </c>
      <c r="U6" s="152"/>
      <c r="V6" s="152">
        <f t="shared" si="3"/>
        <v>318000</v>
      </c>
      <c r="W6" s="143">
        <f>SUMIF(Hitungan!$C$337:$C$345,"Service Charge",Hitungan!$G$337:$G$345)</f>
        <v>750587</v>
      </c>
      <c r="X6" s="155">
        <f t="shared" si="4"/>
        <v>5572587</v>
      </c>
      <c r="Y6" s="157">
        <f t="shared" si="5"/>
        <v>5572587</v>
      </c>
      <c r="Z6" s="158">
        <f t="shared" ref="Z6:Z9" si="9">D6</f>
        <v>3190000</v>
      </c>
      <c r="AA6" s="158">
        <f t="shared" si="6"/>
        <v>2382587</v>
      </c>
      <c r="AB6" s="159" t="s">
        <v>59</v>
      </c>
      <c r="AC6" s="160" t="s">
        <v>61</v>
      </c>
      <c r="AD6" s="162"/>
      <c r="AE6" s="162"/>
      <c r="AF6" s="163"/>
      <c r="AG6" s="162"/>
      <c r="AH6" s="162"/>
      <c r="AI6" s="162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</row>
    <row r="7" ht="13.5" customHeight="1">
      <c r="A7" s="140">
        <v>6.0</v>
      </c>
      <c r="B7" s="141" t="s">
        <v>57</v>
      </c>
      <c r="C7" s="142" t="s">
        <v>53</v>
      </c>
      <c r="D7" s="143">
        <f>SUMIF(Hitungan!$C$172:$C$181,D$1,Hitungan!$G$172:$G$181)</f>
        <v>3220000</v>
      </c>
      <c r="E7" s="143">
        <f>SUMIF(Hitungan!$C$172:$C$181,E$1,Hitungan!$G$172:$G$181)</f>
        <v>546000</v>
      </c>
      <c r="F7" s="143">
        <f>SUMIF(Hitungan!$C$172:$C$181,F$1,Hitungan!$G$172:$G$181)</f>
        <v>1352000</v>
      </c>
      <c r="G7" s="143">
        <f>SUMIF(Hitungan!$C$172:$C$181,G$1,Hitungan!$G$172:$G$181)</f>
        <v>0</v>
      </c>
      <c r="H7" s="143">
        <f>SUMIF(Hitungan!$C$172:$C$181,H$1,Hitungan!$G$172:$G$181)</f>
        <v>0</v>
      </c>
      <c r="I7" s="143">
        <f>SUMIF(Hitungan!$C$172:$C$181,I$1,Hitungan!$G$172:$G$181)</f>
        <v>0</v>
      </c>
      <c r="J7" s="143">
        <f>SUMIF(Hitungan!$C$172:$C$181,J$1,Hitungan!$G$172:$G$181)</f>
        <v>0</v>
      </c>
      <c r="K7" s="143">
        <f>SUMIF(Hitungan!$C$172:$C$181,K$1,Hitungan!$G$172:$G$181)</f>
        <v>0</v>
      </c>
      <c r="L7" s="143"/>
      <c r="M7" s="143">
        <f t="shared" si="1"/>
        <v>5118000</v>
      </c>
      <c r="N7" s="150">
        <f>SUMIF(Hitungan!$C$172:$C$181,"Uang Makan",Hitungan!$F$172:$F$181)</f>
        <v>26</v>
      </c>
      <c r="O7" s="151">
        <f t="shared" si="2"/>
        <v>196846.1538</v>
      </c>
      <c r="P7" s="151">
        <f>SUMIF(Hitungan!$C$172:$C$181,"Keterlambatan",Hitungan!$F$172:$F$181)</f>
        <v>2</v>
      </c>
      <c r="Q7" s="152">
        <f>SUMIF(Hitungan!$C$172:$C$181,"Keterlambatan",Hitungan!$G$172:$G$181)</f>
        <v>34666.66667</v>
      </c>
      <c r="R7" s="152">
        <f>SUMIF(Hitungan!$C$172:$C$181,"Pengurangan Dari Kejadian",Hitungan!$G$172:$G$181)</f>
        <v>65000</v>
      </c>
      <c r="S7" s="152">
        <f>SUMIF(Hitungan!$C$172:$C$181,"Pemotongan SP",Hitungan!$G$172:$G$181)</f>
        <v>0</v>
      </c>
      <c r="T7" s="152">
        <f>SUMIF(Hitungan!$C$172:$C$181,"Kasbon",Hitungan!$G$172:$G$181)</f>
        <v>0</v>
      </c>
      <c r="U7" s="152"/>
      <c r="V7" s="152">
        <f t="shared" si="3"/>
        <v>99666.66667</v>
      </c>
      <c r="W7" s="143">
        <f>SUMIF(Hitungan!$C$172:$C$181,"Service Charge",Hitungan!$G$172:$G$181)</f>
        <v>718861</v>
      </c>
      <c r="X7" s="155">
        <f t="shared" si="4"/>
        <v>5737194.333</v>
      </c>
      <c r="Y7" s="157">
        <f t="shared" si="5"/>
        <v>5737194</v>
      </c>
      <c r="Z7" s="158">
        <f t="shared" si="9"/>
        <v>3220000</v>
      </c>
      <c r="AA7" s="158">
        <f t="shared" si="6"/>
        <v>2517194</v>
      </c>
      <c r="AB7" s="159" t="s">
        <v>59</v>
      </c>
      <c r="AC7" s="160" t="s">
        <v>61</v>
      </c>
      <c r="AD7" s="162"/>
      <c r="AE7" s="162"/>
      <c r="AF7" s="179"/>
      <c r="AG7" s="162"/>
      <c r="AH7" s="162"/>
      <c r="AI7" s="162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</row>
    <row r="8" ht="13.5" customHeight="1">
      <c r="A8" s="140">
        <v>7.0</v>
      </c>
      <c r="B8" s="141" t="s">
        <v>66</v>
      </c>
      <c r="C8" s="142" t="s">
        <v>53</v>
      </c>
      <c r="D8" s="143">
        <f>SUMIF(Hitungan!$C$214:$C$222,D$1,Hitungan!$G$214:$G$222)</f>
        <v>2250000</v>
      </c>
      <c r="E8" s="143">
        <f>SUMIF(Hitungan!$C$214:$C$222,E$1,Hitungan!$G$214:$G$222)</f>
        <v>504000</v>
      </c>
      <c r="F8" s="143">
        <f>SUMIF(Hitungan!$C$214:$C$222,F$1,Hitungan!$G$214:$G$222)</f>
        <v>1080000</v>
      </c>
      <c r="G8" s="143">
        <f>SUMIF(Hitungan!$C$214:$C$222,G$1,Hitungan!$G$214:$G$222)</f>
        <v>0</v>
      </c>
      <c r="H8" s="143">
        <f>SUMIF(Hitungan!$C$214:$C$222,H$1,Hitungan!$G$214:$G$222)</f>
        <v>0</v>
      </c>
      <c r="I8" s="143">
        <f>SUMIF(Hitungan!$C$214:$C$222,I$1,Hitungan!$G$214:$G$222)</f>
        <v>0</v>
      </c>
      <c r="J8" s="143">
        <f>SUMIF(Hitungan!$C$214:$C$222,J$1,Hitungan!$G$214:$G$222)</f>
        <v>0</v>
      </c>
      <c r="K8" s="143">
        <f>SUMIF(Hitungan!$C$214:$C$222,K$1,Hitungan!$G$214:$G$222)</f>
        <v>0</v>
      </c>
      <c r="L8" s="143"/>
      <c r="M8" s="143">
        <f t="shared" si="1"/>
        <v>3834000</v>
      </c>
      <c r="N8" s="150">
        <f>SUMIF(Hitungan!$C$214:$C$222,"Uang Makan",Hitungan!$F$214:$F$222)</f>
        <v>24</v>
      </c>
      <c r="O8" s="151">
        <f t="shared" si="2"/>
        <v>159750</v>
      </c>
      <c r="P8" s="151">
        <f>SUMIF(Hitungan!$C$214:$C$222,"Keterlambatan",Hitungan!$F$214:$F$222)</f>
        <v>0</v>
      </c>
      <c r="Q8" s="152">
        <f>SUMIF(Hitungan!$C$214:$C$222,"Keterlambatan",Hitungan!$G$214:$G$222)</f>
        <v>0</v>
      </c>
      <c r="R8" s="152">
        <f>SUMIF(Hitungan!$C$214:$C$222,"Pengurangan Dari Kejadian",Hitungan!$G$214:$G$222)</f>
        <v>72500</v>
      </c>
      <c r="S8" s="152">
        <f>SUMIF(Hitungan!$C$214:$C$222,"Pemotongan SP",Hitungan!$G$214:$G$222)</f>
        <v>0</v>
      </c>
      <c r="T8" s="152">
        <f>SUMIF(Hitungan!$C$214:$C$222,"Kasbon",Hitungan!$G$214:$G$222)</f>
        <v>0</v>
      </c>
      <c r="U8" s="152"/>
      <c r="V8" s="152">
        <f t="shared" si="3"/>
        <v>72500</v>
      </c>
      <c r="W8" s="143">
        <f>SUMIF(Hitungan!$C$214:$C$222,"Service Charge",Hitungan!$G$214:$G$222)</f>
        <v>707240</v>
      </c>
      <c r="X8" s="155">
        <f t="shared" si="4"/>
        <v>4468740</v>
      </c>
      <c r="Y8" s="157">
        <f t="shared" si="5"/>
        <v>4468740</v>
      </c>
      <c r="Z8" s="158">
        <f t="shared" si="9"/>
        <v>2250000</v>
      </c>
      <c r="AA8" s="158">
        <f t="shared" si="6"/>
        <v>2218740</v>
      </c>
      <c r="AB8" s="159" t="s">
        <v>59</v>
      </c>
      <c r="AC8" s="160" t="s">
        <v>61</v>
      </c>
      <c r="AD8" s="162"/>
      <c r="AE8" s="162"/>
      <c r="AF8" s="163"/>
      <c r="AG8" s="162"/>
      <c r="AH8" s="162"/>
      <c r="AI8" s="162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</row>
    <row r="9" ht="13.5" customHeight="1">
      <c r="A9" s="140">
        <v>8.0</v>
      </c>
      <c r="B9" s="141" t="s">
        <v>69</v>
      </c>
      <c r="C9" s="142" t="s">
        <v>53</v>
      </c>
      <c r="D9" s="143">
        <f>SUMIF(Hitungan!$C$378:$C$386,D$1,Hitungan!$G$378:$G$386)</f>
        <v>2250000</v>
      </c>
      <c r="E9" s="143">
        <f>SUMIF(Hitungan!$C$378:$C$386,E$1,Hitungan!$G$378:$G$386)</f>
        <v>504000</v>
      </c>
      <c r="F9" s="143">
        <f>SUMIF(Hitungan!$C$378:$C$386,F$1,Hitungan!$G$378:$G$386)</f>
        <v>960000</v>
      </c>
      <c r="G9" s="143">
        <f>SUMIF(Hitungan!$C$378:$C$386,G$1,Hitungan!$G$378:$G$386)</f>
        <v>0</v>
      </c>
      <c r="H9" s="143">
        <f>SUMIF(Hitungan!$C$378:$C$386,H$1,Hitungan!$G$378:$G$386)</f>
        <v>0</v>
      </c>
      <c r="I9" s="143">
        <f>SUMIF(Hitungan!$C$378:$C$386,I$1,Hitungan!$G$378:$G$386)</f>
        <v>0</v>
      </c>
      <c r="J9" s="143">
        <f>SUMIF(Hitungan!$C$378:$C$386,J$1,Hitungan!$G$378:$G$386)</f>
        <v>0</v>
      </c>
      <c r="K9" s="143">
        <f>SUMIF(Hitungan!$C$378:$C$386,K$1,Hitungan!$G$378:$G$386)</f>
        <v>0</v>
      </c>
      <c r="L9" s="143"/>
      <c r="M9" s="143">
        <f t="shared" si="1"/>
        <v>3714000</v>
      </c>
      <c r="N9" s="150">
        <f>SUMIF(Hitungan!$C$378:$C$386,"Uang Makan",Hitungan!$F$378:$F$386)</f>
        <v>24</v>
      </c>
      <c r="O9" s="151">
        <f t="shared" si="2"/>
        <v>154750</v>
      </c>
      <c r="P9" s="151">
        <f>SUMIF(Hitungan!$C$378:$C$386,"Keterlambatan",Hitungan!$F$378:$F$386)</f>
        <v>3</v>
      </c>
      <c r="Q9" s="152">
        <f>SUMIF(Hitungan!$C$378:$C$386,"Keterlambatan",Hitungan!$G$378:$G$386)</f>
        <v>40000</v>
      </c>
      <c r="R9" s="152">
        <f>SUMIF(Hitungan!$C$378:$C$386,"Pengurangan Dari Kejadian",Hitungan!$G$378:$G$386)</f>
        <v>100000</v>
      </c>
      <c r="S9" s="152">
        <f>SUMIF(Hitungan!$C$378:$C$386,"Pemotongan SP",Hitungan!$G$378:$G$386)</f>
        <v>0</v>
      </c>
      <c r="T9" s="152">
        <f>SUMIF(Hitungan!$C$378:$C$386,"Kasbon",Hitungan!$G$378:$G$386)</f>
        <v>0</v>
      </c>
      <c r="U9" s="152"/>
      <c r="V9" s="152">
        <f t="shared" si="3"/>
        <v>140000</v>
      </c>
      <c r="W9" s="143">
        <f>SUMIF(Hitungan!$C$378:$C$386,"Service Charge",Hitungan!$G$378:$G$386)</f>
        <v>664322</v>
      </c>
      <c r="X9" s="155">
        <f t="shared" si="4"/>
        <v>4238322</v>
      </c>
      <c r="Y9" s="157">
        <f t="shared" si="5"/>
        <v>4238322</v>
      </c>
      <c r="Z9" s="158">
        <f t="shared" si="9"/>
        <v>2250000</v>
      </c>
      <c r="AA9" s="158">
        <f t="shared" si="6"/>
        <v>1988322</v>
      </c>
      <c r="AB9" s="159" t="s">
        <v>59</v>
      </c>
      <c r="AC9" s="160" t="s">
        <v>61</v>
      </c>
      <c r="AD9" s="162"/>
      <c r="AE9" s="162"/>
      <c r="AF9" s="163"/>
      <c r="AG9" s="162"/>
      <c r="AH9" s="162"/>
      <c r="AI9" s="162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</row>
    <row r="10" ht="13.5" customHeight="1">
      <c r="A10" s="140">
        <v>9.0</v>
      </c>
      <c r="B10" s="141" t="s">
        <v>73</v>
      </c>
      <c r="C10" s="142" t="s">
        <v>53</v>
      </c>
      <c r="D10" s="143">
        <f>SUMIF(Hitungan!$C$419:$C$427,D$1,Hitungan!$G$419:$G$427)</f>
        <v>1305000</v>
      </c>
      <c r="E10" s="143">
        <f>SUMIF(Hitungan!$C$419:$C$427,E$1,Hitungan!$G$419:$G$427)</f>
        <v>378000</v>
      </c>
      <c r="F10" s="143">
        <f>SUMIF(Hitungan!$C$419:$C$427,F$1,Hitungan!$G$419:$G$427)</f>
        <v>704700</v>
      </c>
      <c r="G10" s="143">
        <f>SUMIF(Hitungan!$C$419:$C$427,G$1,Hitungan!$G$419:$G$427)</f>
        <v>0</v>
      </c>
      <c r="H10" s="143">
        <f>SUMIF(Hitungan!$C$419:$C$427,H$1,Hitungan!$G$419:$G$427)</f>
        <v>0</v>
      </c>
      <c r="I10" s="143">
        <f>SUMIF(Hitungan!$C$419:$C$427,I$1,Hitungan!$G$419:$G$427)</f>
        <v>0</v>
      </c>
      <c r="J10" s="143">
        <f>SUMIF(Hitungan!$C$419:$C$427,J$1,Hitungan!$G$419:$G$427)</f>
        <v>0</v>
      </c>
      <c r="K10" s="143">
        <f>SUMIF(Hitungan!$C$419:$C$427,K$1,Hitungan!$G$419:$G$427)</f>
        <v>0</v>
      </c>
      <c r="L10" s="143"/>
      <c r="M10" s="143">
        <f t="shared" si="1"/>
        <v>2387700</v>
      </c>
      <c r="N10" s="150">
        <f>SUMIF(Hitungan!$C$419:$C$427,"Uang Makan",Hitungan!$F$419:$F$427)</f>
        <v>18</v>
      </c>
      <c r="O10" s="151">
        <f t="shared" si="2"/>
        <v>132650</v>
      </c>
      <c r="P10" s="151">
        <f>SUMIF(Hitungan!$C$419:$C$427,"Keterlambatan",Hitungan!$F$419:$F$427)</f>
        <v>0</v>
      </c>
      <c r="Q10" s="152">
        <f>SUMIF(Hitungan!$C$419:$C$427,"Keterlambatan",Hitungan!$G$419:$G$427)</f>
        <v>0</v>
      </c>
      <c r="R10" s="152">
        <f>SUMIF(Hitungan!$C$419:$C$427,"Pengurangan Dari Kejadian",Hitungan!$G$419:$G$427)</f>
        <v>235000</v>
      </c>
      <c r="S10" s="152">
        <f>SUMIF(Hitungan!$C$419:$C$427,"Pemotongan SP",Hitungan!$G$419:$G$427)</f>
        <v>0</v>
      </c>
      <c r="T10" s="152">
        <f>SUMIF(Hitungan!$C$419:$C$427,"Kasbon",Hitungan!$G$419:$G$427)</f>
        <v>0</v>
      </c>
      <c r="U10" s="152"/>
      <c r="V10" s="152">
        <f t="shared" si="3"/>
        <v>235000</v>
      </c>
      <c r="W10" s="143">
        <f>SUMIF(Hitungan!$C$419:$C$427,"Service Charge",Hitungan!$G$419:$G$427)</f>
        <v>524296</v>
      </c>
      <c r="X10" s="155">
        <f t="shared" si="4"/>
        <v>2676996</v>
      </c>
      <c r="Y10" s="157">
        <f t="shared" si="5"/>
        <v>2676996</v>
      </c>
      <c r="Z10" s="158"/>
      <c r="AA10" s="158">
        <f t="shared" si="6"/>
        <v>2676996</v>
      </c>
      <c r="AB10" s="159" t="s">
        <v>59</v>
      </c>
      <c r="AC10" s="160" t="s">
        <v>61</v>
      </c>
      <c r="AD10" s="162"/>
      <c r="AE10" s="162"/>
      <c r="AF10" s="163"/>
      <c r="AG10" s="162"/>
      <c r="AH10" s="162"/>
      <c r="AI10" s="162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</row>
    <row r="11" ht="13.5" customHeight="1">
      <c r="A11" s="140">
        <v>10.0</v>
      </c>
      <c r="B11" s="141" t="s">
        <v>74</v>
      </c>
      <c r="C11" s="142" t="s">
        <v>53</v>
      </c>
      <c r="D11" s="143">
        <f>SUMIF(Hitungan!$C$255:$C$263,D$1,Hitungan!$G$255:$G$263)</f>
        <v>1740000</v>
      </c>
      <c r="E11" s="143">
        <f>SUMIF(Hitungan!$C$255:$C$263,E$1,Hitungan!$G$255:$G$263)</f>
        <v>462000</v>
      </c>
      <c r="F11" s="143">
        <f>SUMIF(Hitungan!$C$255:$C$263,F$1,Hitungan!$G$255:$G$263)</f>
        <v>861300</v>
      </c>
      <c r="G11" s="143">
        <f>SUMIF(Hitungan!$C$255:$C$263,G$1,Hitungan!$G$255:$G$263)</f>
        <v>0</v>
      </c>
      <c r="H11" s="143">
        <f>SUMIF(Hitungan!$C$255:$C$263,H$1,Hitungan!$G$255:$G$263)</f>
        <v>0</v>
      </c>
      <c r="I11" s="143">
        <f>SUMIF(Hitungan!$C$255:$C$263,I$1,Hitungan!$G$255:$G$263)</f>
        <v>0</v>
      </c>
      <c r="J11" s="143">
        <f>SUMIF(Hitungan!$C$255:$C$263,J$1,Hitungan!$G$255:$G$263)</f>
        <v>0</v>
      </c>
      <c r="K11" s="143">
        <f>SUMIF(Hitungan!$C$255:$C$263,K$1,Hitungan!$G$255:$G$263)</f>
        <v>0</v>
      </c>
      <c r="L11" s="143"/>
      <c r="M11" s="143">
        <f t="shared" si="1"/>
        <v>3063300</v>
      </c>
      <c r="N11" s="150">
        <f>SUMIF(Hitungan!$C$255:$C$263,"Uang Makan",Hitungan!$F$255:$F$263)</f>
        <v>22</v>
      </c>
      <c r="O11" s="151">
        <f t="shared" si="2"/>
        <v>139240.9091</v>
      </c>
      <c r="P11" s="151">
        <f>SUMIF(Hitungan!$C$255:$C$263,"Keterlambatan",Hitungan!$F$255:$F$263)</f>
        <v>1</v>
      </c>
      <c r="Q11" s="152">
        <f>SUMIF(Hitungan!$C$255:$C$263,"Keterlambatan",Hitungan!$G$255:$G$263)</f>
        <v>13050</v>
      </c>
      <c r="R11" s="152">
        <f>SUMIF(Hitungan!$C$255:$C$263,"Pengurangan Dari Kejadian",Hitungan!$G$255:$G$263)</f>
        <v>198650</v>
      </c>
      <c r="S11" s="152">
        <f>SUMIF(Hitungan!$C$255:$C$263,"Pemotongan SP",Hitungan!$G$255:$G$263)</f>
        <v>0</v>
      </c>
      <c r="T11" s="152">
        <f>SUMIF(Hitungan!$C$255:$C$263,"Kasbon",Hitungan!$G$255:$G$263)</f>
        <v>0</v>
      </c>
      <c r="U11" s="152"/>
      <c r="V11" s="152">
        <f t="shared" si="3"/>
        <v>211700</v>
      </c>
      <c r="W11" s="143">
        <f>SUMIF(Hitungan!$C$255:$C$263,"Service Charge",Hitungan!$G$255:$G$263)</f>
        <v>408247</v>
      </c>
      <c r="X11" s="155">
        <f t="shared" si="4"/>
        <v>3259847</v>
      </c>
      <c r="Y11" s="157">
        <f t="shared" si="5"/>
        <v>3259847</v>
      </c>
      <c r="Z11" s="158"/>
      <c r="AA11" s="158">
        <f t="shared" si="6"/>
        <v>3259847</v>
      </c>
      <c r="AB11" s="159" t="s">
        <v>59</v>
      </c>
      <c r="AC11" s="160" t="s">
        <v>61</v>
      </c>
      <c r="AD11" s="162"/>
      <c r="AE11" s="162"/>
      <c r="AF11" s="163"/>
      <c r="AG11" s="162"/>
      <c r="AH11" s="162"/>
      <c r="AI11" s="162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</row>
    <row r="12" ht="13.5" customHeight="1">
      <c r="A12" s="140">
        <v>11.0</v>
      </c>
      <c r="B12" s="141" t="s">
        <v>76</v>
      </c>
      <c r="C12" s="142" t="s">
        <v>53</v>
      </c>
      <c r="D12" s="143">
        <f>SUMIF(Hitungan!$C$296:$C$304,D$1,Hitungan!$G$296:$G$304)</f>
        <v>0</v>
      </c>
      <c r="E12" s="143">
        <f>SUMIF(Hitungan!$C$296:$C$304,E$1,Hitungan!$G$296:$G$304)</f>
        <v>0</v>
      </c>
      <c r="F12" s="143">
        <f>SUMIF(Hitungan!$C$296:$C$304,F$1,Hitungan!$G$296:$G$304)</f>
        <v>0</v>
      </c>
      <c r="G12" s="143">
        <f>SUMIF(Hitungan!$C$296:$C$304,G$1,Hitungan!$G$296:$G$304)</f>
        <v>0</v>
      </c>
      <c r="H12" s="143">
        <f>SUMIF(Hitungan!$C$296:$C$304,H$1,Hitungan!$G$296:$G$304)</f>
        <v>0</v>
      </c>
      <c r="I12" s="143">
        <f>SUMIF(Hitungan!$C$296:$C$304,I$1,Hitungan!$G$296:$G$304)</f>
        <v>0</v>
      </c>
      <c r="J12" s="143">
        <f>SUMIF(Hitungan!$C$296:$C$304,J$1,Hitungan!$G$296:$G$304)</f>
        <v>0</v>
      </c>
      <c r="K12" s="143">
        <f>SUMIF(Hitungan!$C$296:$C$304,K$1,Hitungan!$G$296:$G$304)</f>
        <v>900000</v>
      </c>
      <c r="L12" s="143"/>
      <c r="M12" s="143">
        <f t="shared" si="1"/>
        <v>900000</v>
      </c>
      <c r="N12" s="150">
        <f>SUMIF(Hitungan!$C$296:$C$304,"Uang Makan",Hitungan!$F$296:$F$304)</f>
        <v>6</v>
      </c>
      <c r="O12" s="151">
        <f t="shared" si="2"/>
        <v>150000</v>
      </c>
      <c r="P12" s="151">
        <f>SUMIF(Hitungan!$C$296:$C$304,"Keterlambatan",Hitungan!$F$296:$F$304)</f>
        <v>0</v>
      </c>
      <c r="Q12" s="152">
        <f>SUMIF(Hitungan!$C$296:$C$304,"Keterlambatan",Hitungan!$G$296:$G$304)</f>
        <v>0</v>
      </c>
      <c r="R12" s="152">
        <f>SUMIF(Hitungan!$C$296:$C$304,"Pengurangan Dari Kejadian",Hitungan!$G$296:$G$304)</f>
        <v>0</v>
      </c>
      <c r="S12" s="152">
        <f>SUMIF(Hitungan!$C$296:$C$304,"Pemotongan SP",Hitungan!$G$296:$G$304)</f>
        <v>0</v>
      </c>
      <c r="T12" s="152">
        <f>SUMIF(Hitungan!$C$296:$C$304,"Kasbon",Hitungan!$G$296:$G$304)</f>
        <v>0</v>
      </c>
      <c r="U12" s="152"/>
      <c r="V12" s="152">
        <f t="shared" si="3"/>
        <v>0</v>
      </c>
      <c r="W12" s="143">
        <f>SUMIF(Hitungan!$C$296:$C$304,"Service Charge",Hitungan!$G$296:$G$304)</f>
        <v>0</v>
      </c>
      <c r="X12" s="155">
        <f t="shared" si="4"/>
        <v>900000</v>
      </c>
      <c r="Y12" s="157">
        <f t="shared" si="5"/>
        <v>900000</v>
      </c>
      <c r="Z12" s="158">
        <f t="shared" ref="Z12:Z14" si="10">D12</f>
        <v>0</v>
      </c>
      <c r="AA12" s="158">
        <f t="shared" si="6"/>
        <v>900000</v>
      </c>
      <c r="AB12" s="159" t="s">
        <v>59</v>
      </c>
      <c r="AC12" s="160" t="s">
        <v>61</v>
      </c>
      <c r="AD12" s="162"/>
      <c r="AE12" s="162"/>
      <c r="AF12" s="163"/>
      <c r="AG12" s="162"/>
      <c r="AH12" s="162"/>
      <c r="AI12" s="162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</row>
    <row r="13" ht="13.5" customHeight="1">
      <c r="A13" s="190">
        <v>12.0</v>
      </c>
      <c r="B13" s="191" t="s">
        <v>79</v>
      </c>
      <c r="C13" s="192" t="s">
        <v>53</v>
      </c>
      <c r="D13" s="193">
        <f>SUMIF(Hitungan!$C$501:$C$509,D$1,Hitungan!$G$501:$G$509)</f>
        <v>0</v>
      </c>
      <c r="E13" s="193">
        <f>SUMIF(Hitungan!$C$501:$C$509,E$1,Hitungan!$G$501:$G$509)</f>
        <v>0</v>
      </c>
      <c r="F13" s="193">
        <f>SUMIF(Hitungan!$C$501:$C$509,F$1,Hitungan!$G$501:$G$509)</f>
        <v>0</v>
      </c>
      <c r="G13" s="193">
        <f>SUMIF(Hitungan!$C$501:$C$509,G$1,Hitungan!$G$501:$G$509)</f>
        <v>0</v>
      </c>
      <c r="H13" s="193">
        <f>SUMIF(Hitungan!$C$501:$C$509,H$1,Hitungan!$G$501:$G$509)</f>
        <v>0</v>
      </c>
      <c r="I13" s="193">
        <f>SUMIF(Hitungan!$C$501:$C$509,I$1,Hitungan!$G$501:$G$509)</f>
        <v>0</v>
      </c>
      <c r="J13" s="193">
        <f>SUMIF(Hitungan!$C$501:$C$509,J$1,Hitungan!$G$501:$G$509)</f>
        <v>0</v>
      </c>
      <c r="K13" s="193">
        <f>SUMIF(Hitungan!$C$501:$C$509,K$1,Hitungan!$G$501:$G$509)</f>
        <v>150000</v>
      </c>
      <c r="L13" s="193"/>
      <c r="M13" s="193">
        <f t="shared" si="1"/>
        <v>150000</v>
      </c>
      <c r="N13" s="194">
        <f>SUMIF(Hitungan!$C$501:$C$509,"Uang Makan",Hitungan!$F$501:$F$509)</f>
        <v>1</v>
      </c>
      <c r="O13" s="195">
        <f t="shared" si="2"/>
        <v>150000</v>
      </c>
      <c r="P13" s="195">
        <f>SUMIF(Hitungan!$C$501:$C$509,"Keterlambatan",Hitungan!$F$501:$F$509)</f>
        <v>0</v>
      </c>
      <c r="Q13" s="196">
        <f>SUMIF(Hitungan!$C$501:$C$509,"Keterlambatan",Hitungan!$G$501:$G$509)</f>
        <v>0</v>
      </c>
      <c r="R13" s="196">
        <f>SUMIF(Hitungan!$C$501:$C$509,"Pengurangan Dari Kejadian",Hitungan!$G$501:$G$509)</f>
        <v>0</v>
      </c>
      <c r="S13" s="196">
        <f>SUMIF(Hitungan!$C$501:$C$509,"Pemotongan SP",Hitungan!$G$501:$G$509)</f>
        <v>0</v>
      </c>
      <c r="T13" s="196">
        <f>SUMIF(Hitungan!$C$501:$C$509,"Kasbon",Hitungan!$G$501:$G$509)</f>
        <v>0</v>
      </c>
      <c r="U13" s="196"/>
      <c r="V13" s="196">
        <f t="shared" si="3"/>
        <v>0</v>
      </c>
      <c r="W13" s="193">
        <f>SUMIF(Hitungan!$C$501:$C$509,"Service Charge",Hitungan!$G$501:$G$509)</f>
        <v>0</v>
      </c>
      <c r="X13" s="197">
        <f t="shared" si="4"/>
        <v>150000</v>
      </c>
      <c r="Y13" s="198">
        <f t="shared" si="5"/>
        <v>150000</v>
      </c>
      <c r="Z13" s="199">
        <f t="shared" si="10"/>
        <v>0</v>
      </c>
      <c r="AA13" s="199"/>
      <c r="AB13" s="200" t="s">
        <v>59</v>
      </c>
      <c r="AC13" s="201" t="s">
        <v>61</v>
      </c>
      <c r="AD13" s="202"/>
      <c r="AE13" s="202"/>
      <c r="AF13" s="203"/>
      <c r="AG13" s="202"/>
      <c r="AH13" s="202"/>
      <c r="AI13" s="202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</row>
    <row r="14" ht="13.5" customHeight="1">
      <c r="A14" s="140">
        <v>13.0</v>
      </c>
      <c r="B14" s="141" t="s">
        <v>82</v>
      </c>
      <c r="C14" s="142" t="s">
        <v>53</v>
      </c>
      <c r="D14" s="143">
        <f>SUMIF(Hitungan!$C$992:$C$1000,D$1,Hitungan!$G$992:$G$1000)</f>
        <v>0</v>
      </c>
      <c r="E14" s="143">
        <f>SUMIF(Hitungan!$C$992:$C$1000,E$1,Hitungan!$G$992:$G$1000)</f>
        <v>0</v>
      </c>
      <c r="F14" s="143">
        <f>SUMIF(Hitungan!$C$992:$C$1000,F$1,Hitungan!$G$992:$G$1000)</f>
        <v>0</v>
      </c>
      <c r="G14" s="143">
        <f>SUMIF(Hitungan!$C$992:$C$1000,G$1,Hitungan!$G$992:$G$1000)</f>
        <v>0</v>
      </c>
      <c r="H14" s="143">
        <f>SUMIF(Hitungan!$C$992:$C$1000,H$1,Hitungan!$G$992:$G$1000)</f>
        <v>0</v>
      </c>
      <c r="I14" s="143">
        <f>SUMIF(Hitungan!$C$992:$C$1000,I$1,Hitungan!$G$992:$G$1000)</f>
        <v>0</v>
      </c>
      <c r="J14" s="143">
        <f>SUMIF(Hitungan!$C$992:$C$1000,J$1,Hitungan!$G$992:$G$1000)</f>
        <v>0</v>
      </c>
      <c r="K14" s="143">
        <f>SUMIF(Hitungan!$C$992:$C$1000,K$1,Hitungan!$G$992:$G$1000)</f>
        <v>1800000</v>
      </c>
      <c r="L14" s="143"/>
      <c r="M14" s="143">
        <f t="shared" si="1"/>
        <v>1800000</v>
      </c>
      <c r="N14" s="150">
        <f>SUMIF(Hitungan!$C$992:$C$1000,"Uang Makan",Hitungan!$F$992:$F$1000)</f>
        <v>12</v>
      </c>
      <c r="O14" s="151">
        <f t="shared" si="2"/>
        <v>150000</v>
      </c>
      <c r="P14" s="151">
        <f>SUMIF(Hitungan!$C$992:$C$1000,"Keterlambatan",Hitungan!$F$992:$F$1000)</f>
        <v>0</v>
      </c>
      <c r="Q14" s="152">
        <f>SUMIF(Hitungan!$C$992:$C$1000,"Keterlambatan",Hitungan!$G$992:$G$1000)</f>
        <v>0</v>
      </c>
      <c r="R14" s="152">
        <f>SUMIF(Hitungan!$C$992:$C$1000,"Pengurangan Dari Kejadian",Hitungan!$G$992:$G$1000)</f>
        <v>0</v>
      </c>
      <c r="S14" s="152">
        <f>SUMIF(Hitungan!$C$992:$C$1000,"Pemotongan SP",Hitungan!$G$992:$G$1000)</f>
        <v>0</v>
      </c>
      <c r="T14" s="152">
        <f>SUMIF(Hitungan!$C$992:$C$1000,"Kasbon",Hitungan!$G$992:$G$1000)</f>
        <v>0</v>
      </c>
      <c r="U14" s="152"/>
      <c r="V14" s="152">
        <f t="shared" si="3"/>
        <v>0</v>
      </c>
      <c r="W14" s="143">
        <f>SUMIF(Hitungan!$C$992:$C$1000,"Service Charge",Hitungan!$G$992:$G$1000)</f>
        <v>0</v>
      </c>
      <c r="X14" s="155">
        <f t="shared" si="4"/>
        <v>1800000</v>
      </c>
      <c r="Y14" s="157">
        <f t="shared" si="5"/>
        <v>1800000</v>
      </c>
      <c r="Z14" s="158">
        <f t="shared" si="10"/>
        <v>0</v>
      </c>
      <c r="AA14" s="158">
        <f t="shared" ref="AA14:AA15" si="11">Y14-Z14</f>
        <v>1800000</v>
      </c>
      <c r="AB14" s="159" t="s">
        <v>59</v>
      </c>
      <c r="AC14" s="160" t="s">
        <v>61</v>
      </c>
      <c r="AD14" s="206"/>
      <c r="AE14" s="206"/>
      <c r="AF14" s="207"/>
      <c r="AG14" s="206"/>
      <c r="AH14" s="206"/>
      <c r="AI14" s="206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208"/>
      <c r="AU14" s="208"/>
      <c r="AV14" s="208"/>
      <c r="AW14" s="208"/>
    </row>
    <row r="15" ht="13.5" customHeight="1">
      <c r="A15" s="140">
        <v>14.0</v>
      </c>
      <c r="B15" s="141" t="s">
        <v>84</v>
      </c>
      <c r="C15" s="142" t="s">
        <v>53</v>
      </c>
      <c r="D15" s="143">
        <f>SUMIF(Hitungan!$C$460:$C$468,D$1,Hitungan!$G$460:$G$468)</f>
        <v>1377500</v>
      </c>
      <c r="E15" s="143">
        <f>SUMIF(Hitungan!$C$460:$C$468,E$1,Hitungan!$G$460:$G$468)</f>
        <v>399000</v>
      </c>
      <c r="F15" s="143">
        <f>SUMIF(Hitungan!$C$460:$C$468,F$1,Hitungan!$G$460:$G$468)</f>
        <v>743850</v>
      </c>
      <c r="G15" s="143">
        <f>SUMIF(Hitungan!$C$460:$C$468,G$1,Hitungan!$G$460:$G$468)</f>
        <v>0</v>
      </c>
      <c r="H15" s="143">
        <f>SUMIF(Hitungan!$C$460:$C$468,H$1,Hitungan!$G$460:$G$468)</f>
        <v>0</v>
      </c>
      <c r="I15" s="143">
        <f>SUMIF(Hitungan!$C$460:$C$468,I$1,Hitungan!$G$460:$G$468)</f>
        <v>0</v>
      </c>
      <c r="J15" s="143">
        <f>SUMIF(Hitungan!$C$460:$C$468,J$1,Hitungan!$G$460:$G$468)</f>
        <v>0</v>
      </c>
      <c r="K15" s="143">
        <f>SUMIF(Hitungan!$C$460:$C$468,K$1,Hitungan!$G$460:$G$468)</f>
        <v>0</v>
      </c>
      <c r="L15" s="143"/>
      <c r="M15" s="143">
        <f t="shared" si="1"/>
        <v>2520350</v>
      </c>
      <c r="N15" s="150">
        <f>SUMIF(Hitungan!$C$460:$C$468,"Uang Makan",Hitungan!$F$460:$F$468)</f>
        <v>19</v>
      </c>
      <c r="O15" s="151">
        <f t="shared" si="2"/>
        <v>132650</v>
      </c>
      <c r="P15" s="151">
        <f>SUMIF(Hitungan!$C$460:$C$468,"Keterlambatan",Hitungan!$F$460:$F$468)</f>
        <v>1</v>
      </c>
      <c r="Q15" s="152">
        <f>SUMIF(Hitungan!$C$460:$C$468,"Keterlambatan",Hitungan!$G$460:$G$468)</f>
        <v>13050</v>
      </c>
      <c r="R15" s="152">
        <f>SUMIF(Hitungan!$C$460:$C$468,"Pengurangan Dari Kejadian",Hitungan!$G$460:$G$468)</f>
        <v>229000</v>
      </c>
      <c r="S15" s="152">
        <f>SUMIF(Hitungan!$C$460:$C$468,"Pemotongan SP",Hitungan!$G$460:$G$468)</f>
        <v>0</v>
      </c>
      <c r="T15" s="152">
        <f>SUMIF(Hitungan!$C$460:$C$468,"Kasbon",Hitungan!$G$460:$G$468)</f>
        <v>0</v>
      </c>
      <c r="U15" s="152"/>
      <c r="V15" s="152">
        <f t="shared" si="3"/>
        <v>242050</v>
      </c>
      <c r="W15" s="143">
        <f>SUMIF(Hitungan!$C$460:$C$468,"Service Charge",Hitungan!$G$460:$G$468)</f>
        <v>321766</v>
      </c>
      <c r="X15" s="155">
        <f t="shared" si="4"/>
        <v>2600066</v>
      </c>
      <c r="Y15" s="157">
        <f t="shared" si="5"/>
        <v>2600066</v>
      </c>
      <c r="Z15" s="158"/>
      <c r="AA15" s="158">
        <f t="shared" si="11"/>
        <v>2600066</v>
      </c>
      <c r="AB15" s="159" t="s">
        <v>59</v>
      </c>
      <c r="AC15" s="160" t="s">
        <v>61</v>
      </c>
      <c r="AD15" s="206"/>
      <c r="AE15" s="206"/>
      <c r="AF15" s="207"/>
      <c r="AG15" s="206"/>
      <c r="AH15" s="206"/>
      <c r="AI15" s="206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</row>
    <row r="16" ht="13.5" customHeight="1">
      <c r="A16" s="211">
        <v>15.0</v>
      </c>
      <c r="B16" s="212" t="s">
        <v>122</v>
      </c>
      <c r="C16" s="213" t="s">
        <v>53</v>
      </c>
      <c r="D16" s="143"/>
      <c r="E16" s="143"/>
      <c r="F16" s="143"/>
      <c r="G16" s="143"/>
      <c r="H16" s="143"/>
      <c r="I16" s="143"/>
      <c r="J16" s="143"/>
      <c r="K16" s="214">
        <v>300000.0</v>
      </c>
      <c r="L16" s="143"/>
      <c r="M16" s="214">
        <v>300000.0</v>
      </c>
      <c r="N16" s="215">
        <v>3.0</v>
      </c>
      <c r="O16" s="151"/>
      <c r="P16" s="151"/>
      <c r="Q16" s="152"/>
      <c r="R16" s="152"/>
      <c r="S16" s="152"/>
      <c r="T16" s="152"/>
      <c r="U16" s="152"/>
      <c r="V16" s="152"/>
      <c r="W16" s="143"/>
      <c r="X16" s="155"/>
      <c r="Y16" s="157"/>
      <c r="Z16" s="158"/>
      <c r="AA16" s="216">
        <v>375000.0</v>
      </c>
      <c r="AB16" s="159"/>
      <c r="AC16" s="160" t="s">
        <v>61</v>
      </c>
      <c r="AD16" s="206"/>
      <c r="AE16" s="206"/>
      <c r="AF16" s="207"/>
      <c r="AG16" s="206"/>
      <c r="AH16" s="206"/>
      <c r="AI16" s="206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</row>
    <row r="17" ht="13.5" customHeight="1">
      <c r="A17" s="217">
        <v>15.0</v>
      </c>
      <c r="B17" s="218" t="s">
        <v>87</v>
      </c>
      <c r="C17" s="219" t="s">
        <v>88</v>
      </c>
      <c r="D17" s="221">
        <f>SUMIF(Hitungan!$C$787:$C$795,D$1,Hitungan!$G$787:$G$795)</f>
        <v>3190000</v>
      </c>
      <c r="E17" s="221">
        <f>SUMIF(Hitungan!$C$787:$C$795,E$1,Hitungan!$G$787:$G$795)</f>
        <v>546000</v>
      </c>
      <c r="F17" s="221">
        <f>SUMIF(Hitungan!$C$787:$C$795,F$1,Hitungan!$G$787:$G$795)</f>
        <v>1404000</v>
      </c>
      <c r="G17" s="221">
        <f>SUMIF(Hitungan!$C$787:$C$795,G$1,Hitungan!$G$787:$G$795)</f>
        <v>0</v>
      </c>
      <c r="H17" s="221">
        <f>SUMIF(Hitungan!$C$787:$C$795,H$1,Hitungan!$G$787:$G$795)</f>
        <v>18000</v>
      </c>
      <c r="I17" s="221">
        <f>SUMIF(Hitungan!$C$787:$C$795,I$1,Hitungan!$G$787:$G$795)</f>
        <v>0</v>
      </c>
      <c r="J17" s="221">
        <f>SUMIF(Hitungan!$C$787:$C$795,J$1,Hitungan!$G$787:$G$795)</f>
        <v>0</v>
      </c>
      <c r="K17" s="231">
        <f>SUMIF(Hitungan!$C$787:$C$795,K$1,Hitungan!$G$787:$G$795)</f>
        <v>0</v>
      </c>
      <c r="L17" s="221"/>
      <c r="M17" s="221">
        <f t="shared" ref="M17:M31" si="12">SUM(D17:L17)</f>
        <v>5158000</v>
      </c>
      <c r="N17" s="232">
        <f>SUMIF(Hitungan!$C$787:$C$795,"Uang Makan",Hitungan!$F$787:$F$795)</f>
        <v>26</v>
      </c>
      <c r="O17" s="233">
        <f t="shared" ref="O17:O26" si="13">IFERROR(M17/N17,"")</f>
        <v>198384.6154</v>
      </c>
      <c r="P17" s="233">
        <f>SUMIF(Hitungan!$C$787:$C$795,"Keterlambatan",Hitungan!$F$787:$F$795)</f>
        <v>0</v>
      </c>
      <c r="Q17" s="234">
        <f>SUMIF(Hitungan!$C$787:$C$795,"Keterlambatan",Hitungan!$G$787:$G$795)</f>
        <v>0</v>
      </c>
      <c r="R17" s="234">
        <f>SUMIF(Hitungan!$C$787:$C$795,"Pengurangan Dari Kejadian",Hitungan!$G$787:$G$795)</f>
        <v>0</v>
      </c>
      <c r="S17" s="234">
        <f>SUMIF(Hitungan!$C$787:$C$795,"Pemotongan SP",Hitungan!$G$787:$G$795)</f>
        <v>0</v>
      </c>
      <c r="T17" s="234">
        <f>SUMIF(Hitungan!$C$787:$C$795,"Kasbon",Hitungan!$G$787:$G$795)</f>
        <v>0</v>
      </c>
      <c r="U17" s="234"/>
      <c r="V17" s="234">
        <f t="shared" ref="V17:V26" si="14">SUM(Q17:U17)</f>
        <v>0</v>
      </c>
      <c r="W17" s="221">
        <f>SUMIF(Hitungan!$C$787:$C$795,"Service Charge",Hitungan!$G$787:$G$795)</f>
        <v>401719</v>
      </c>
      <c r="X17" s="221">
        <f t="shared" ref="X17:X26" si="15">M17-V17+W17</f>
        <v>5559719</v>
      </c>
      <c r="Y17" s="235">
        <f t="shared" ref="Y17:Y26" si="16">ROUNDDOWN(X17,0)</f>
        <v>5559719</v>
      </c>
      <c r="Z17" s="235">
        <f t="shared" ref="Z17:Z19" si="17">D17</f>
        <v>3190000</v>
      </c>
      <c r="AA17" s="235">
        <f t="shared" ref="AA17:AA19" si="18">Y17-Z17</f>
        <v>2369719</v>
      </c>
      <c r="AB17" s="236" t="s">
        <v>59</v>
      </c>
      <c r="AC17" s="237" t="s">
        <v>86</v>
      </c>
      <c r="AD17" s="206"/>
      <c r="AE17" s="206"/>
      <c r="AF17" s="207"/>
      <c r="AG17" s="206"/>
      <c r="AH17" s="206"/>
      <c r="AI17" s="206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</row>
    <row r="18" ht="13.5" customHeight="1">
      <c r="A18" s="238">
        <v>16.0</v>
      </c>
      <c r="B18" s="190" t="s">
        <v>91</v>
      </c>
      <c r="C18" s="239" t="s">
        <v>88</v>
      </c>
      <c r="D18" s="197">
        <f>SUMIF(Hitungan!$C$828:$C$836,D$1,Hitungan!$G$828:$G$836)</f>
        <v>1800000</v>
      </c>
      <c r="E18" s="197">
        <f>SUMIF(Hitungan!$C$828:$C$836,E$1,Hitungan!$G$828:$G$836)</f>
        <v>315000</v>
      </c>
      <c r="F18" s="197">
        <f>SUMIF(Hitungan!$C$828:$C$836,F$1,Hitungan!$G$828:$G$836)</f>
        <v>690000</v>
      </c>
      <c r="G18" s="197">
        <f>SUMIF(Hitungan!$C$828:$C$836,G$1,Hitungan!$G$828:$G$836)</f>
        <v>0</v>
      </c>
      <c r="H18" s="197">
        <f>SUMIF(Hitungan!$C$828:$C$836,H$1,Hitungan!$G$828:$G$836)</f>
        <v>0</v>
      </c>
      <c r="I18" s="197">
        <f>SUMIF(Hitungan!$C$828:$C$836,I$1,Hitungan!$G$828:$G$836)</f>
        <v>0</v>
      </c>
      <c r="J18" s="197">
        <f>SUMIF(Hitungan!$C$828:$C$836,J$1,Hitungan!$G$828:$G$836)</f>
        <v>0</v>
      </c>
      <c r="K18" s="193">
        <f>SUMIF(Hitungan!$C$828:$C$836,K$1,Hitungan!$G$828:$G$836)</f>
        <v>0</v>
      </c>
      <c r="L18" s="197"/>
      <c r="M18" s="197">
        <f t="shared" si="12"/>
        <v>2805000</v>
      </c>
      <c r="N18" s="240">
        <f>SUMIF(Hitungan!$C$828:$C$836,"Uang Makan",Hitungan!$F$828:$F$836)</f>
        <v>15</v>
      </c>
      <c r="O18" s="241">
        <f t="shared" si="13"/>
        <v>187000</v>
      </c>
      <c r="P18" s="241">
        <f>SUMIF(Hitungan!$C$828:$C$836,"Keterlambatan",Hitungan!$F$828:$F$836)</f>
        <v>2</v>
      </c>
      <c r="Q18" s="242">
        <f>SUMIF(Hitungan!$C$828:$C$836,"Keterlambatan",Hitungan!$G$828:$G$836)</f>
        <v>30666.66667</v>
      </c>
      <c r="R18" s="242">
        <f>SUMIF(Hitungan!$C$828:$C$836,"Pengurangan Dari Kejadian",Hitungan!$G$828:$G$836)</f>
        <v>0</v>
      </c>
      <c r="S18" s="242">
        <f>SUMIF(Hitungan!$C$828:$C$836,"Pemotongan SP",Hitungan!$G$828:$G$836)</f>
        <v>0</v>
      </c>
      <c r="T18" s="242">
        <f>SUMIF(Hitungan!$C$828:$C$836,"Kasbon",Hitungan!$G$828:$G$836)</f>
        <v>0</v>
      </c>
      <c r="U18" s="242"/>
      <c r="V18" s="242">
        <f t="shared" si="14"/>
        <v>30666.66667</v>
      </c>
      <c r="W18" s="197">
        <f>SUMIF(Hitungan!$C$828:$C$836,"Service Charge",Hitungan!$G$828:$G$836)</f>
        <v>259727</v>
      </c>
      <c r="X18" s="197">
        <f t="shared" si="15"/>
        <v>3034060.333</v>
      </c>
      <c r="Y18" s="199">
        <f t="shared" si="16"/>
        <v>3034060</v>
      </c>
      <c r="Z18" s="199">
        <f t="shared" si="17"/>
        <v>1800000</v>
      </c>
      <c r="AA18" s="199">
        <f t="shared" si="18"/>
        <v>1234060</v>
      </c>
      <c r="AB18" s="243" t="s">
        <v>59</v>
      </c>
      <c r="AC18" s="244" t="s">
        <v>86</v>
      </c>
      <c r="AD18" s="202"/>
      <c r="AE18" s="202"/>
      <c r="AF18" s="203"/>
      <c r="AG18" s="202"/>
      <c r="AH18" s="202"/>
      <c r="AI18" s="202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</row>
    <row r="19" ht="13.5" customHeight="1">
      <c r="A19" s="217">
        <v>17.0</v>
      </c>
      <c r="B19" s="218" t="s">
        <v>94</v>
      </c>
      <c r="C19" s="219" t="s">
        <v>88</v>
      </c>
      <c r="D19" s="221">
        <f>SUMIF(Hitungan!$C$665:$C$673,D$1,Hitungan!$G$665:$G$673)</f>
        <v>1800000</v>
      </c>
      <c r="E19" s="221">
        <f>SUMIF(Hitungan!$C$665:$C$673,E$1,Hitungan!$G$665:$G$673)</f>
        <v>462000</v>
      </c>
      <c r="F19" s="221">
        <f>SUMIF(Hitungan!$C$665:$C$673,F$1,Hitungan!$G$665:$G$673)</f>
        <v>1012000</v>
      </c>
      <c r="G19" s="221">
        <f>SUMIF(Hitungan!$C$665:$C$673,G$1,Hitungan!$G$665:$G$673)</f>
        <v>0</v>
      </c>
      <c r="H19" s="221">
        <f>SUMIF(Hitungan!$C$665:$C$673,H$1,Hitungan!$G$665:$G$673)</f>
        <v>0</v>
      </c>
      <c r="I19" s="221">
        <f>SUMIF(Hitungan!$C$665:$C$673,I$1,Hitungan!$G$665:$G$673)</f>
        <v>0</v>
      </c>
      <c r="J19" s="221">
        <f>SUMIF(Hitungan!$C$665:$C$673,J$1,Hitungan!$G$665:$G$673)</f>
        <v>0</v>
      </c>
      <c r="K19" s="231">
        <f>SUMIF(Hitungan!$C$665:$C$673,K$1,Hitungan!$G$665:$G$673)</f>
        <v>0</v>
      </c>
      <c r="L19" s="221"/>
      <c r="M19" s="221">
        <f t="shared" si="12"/>
        <v>3274000</v>
      </c>
      <c r="N19" s="232">
        <f>SUMIF(Hitungan!$C$665:$C$673,"Uang Makan",Hitungan!$F$665:$F$673)</f>
        <v>22</v>
      </c>
      <c r="O19" s="233">
        <f t="shared" si="13"/>
        <v>148818.1818</v>
      </c>
      <c r="P19" s="233">
        <f>SUMIF(Hitungan!$C$665:$C$673,"Keterlambatan",Hitungan!$F$665:$F$673)</f>
        <v>0</v>
      </c>
      <c r="Q19" s="234">
        <f>SUMIF(Hitungan!$C$665:$C$673,"Keterlambatan",Hitungan!$G$665:$G$673)</f>
        <v>0</v>
      </c>
      <c r="R19" s="234">
        <f>SUMIF(Hitungan!$C$665:$C$673,"Pengurangan Dari Kejadian",Hitungan!$G$665:$G$673)</f>
        <v>0</v>
      </c>
      <c r="S19" s="234">
        <f>SUMIF(Hitungan!$C$665:$C$673,"Pemotongan SP",Hitungan!$G$665:$G$673)</f>
        <v>0</v>
      </c>
      <c r="T19" s="234">
        <f>SUMIF(Hitungan!$C$665:$C$673,"Kasbon",Hitungan!$G$665:$G$673)</f>
        <v>0</v>
      </c>
      <c r="U19" s="234"/>
      <c r="V19" s="234">
        <f t="shared" si="14"/>
        <v>0</v>
      </c>
      <c r="W19" s="221">
        <f>SUMIF(Hitungan!$C$665:$C$673,"Service Charge",Hitungan!$G$665:$G$673)</f>
        <v>367854</v>
      </c>
      <c r="X19" s="221">
        <f t="shared" si="15"/>
        <v>3641854</v>
      </c>
      <c r="Y19" s="235">
        <f t="shared" si="16"/>
        <v>3641854</v>
      </c>
      <c r="Z19" s="235">
        <f t="shared" si="17"/>
        <v>1800000</v>
      </c>
      <c r="AA19" s="235">
        <f t="shared" si="18"/>
        <v>1841854</v>
      </c>
      <c r="AB19" s="236" t="s">
        <v>59</v>
      </c>
      <c r="AC19" s="237" t="s">
        <v>86</v>
      </c>
      <c r="AD19" s="206"/>
      <c r="AE19" s="206"/>
      <c r="AF19" s="207"/>
      <c r="AG19" s="206"/>
      <c r="AH19" s="206"/>
      <c r="AI19" s="206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</row>
    <row r="20" ht="13.5" customHeight="1">
      <c r="A20" s="217">
        <v>18.0</v>
      </c>
      <c r="B20" s="218" t="s">
        <v>98</v>
      </c>
      <c r="C20" s="219" t="s">
        <v>88</v>
      </c>
      <c r="D20" s="221">
        <f>SUMIF(Hitungan!$C$746:$C$754,D$1,Hitungan!$G$746:$G$754)</f>
        <v>354166.6667</v>
      </c>
      <c r="E20" s="221">
        <f>SUMIF(Hitungan!$C$746:$C$754,E$1,Hitungan!$G$746:$G$754)</f>
        <v>105000</v>
      </c>
      <c r="F20" s="221">
        <f>SUMIF(Hitungan!$C$746:$C$754,F$1,Hitungan!$G$746:$G$754)</f>
        <v>145000</v>
      </c>
      <c r="G20" s="221">
        <f>SUMIF(Hitungan!$C$746:$C$754,G$1,Hitungan!$G$746:$G$754)</f>
        <v>0</v>
      </c>
      <c r="H20" s="221">
        <f>SUMIF(Hitungan!$C$746:$C$754,H$1,Hitungan!$G$746:$G$754)</f>
        <v>0</v>
      </c>
      <c r="I20" s="221">
        <f>SUMIF(Hitungan!$C$746:$C$754,I$1,Hitungan!$G$746:$G$754)</f>
        <v>0</v>
      </c>
      <c r="J20" s="221">
        <f>SUMIF(Hitungan!$C$746:$C$754,J$1,Hitungan!$G$746:$G$754)</f>
        <v>0</v>
      </c>
      <c r="K20" s="231">
        <f>SUMIF(Hitungan!$C$746:$C$754,K$1,Hitungan!$G$746:$G$754)</f>
        <v>0</v>
      </c>
      <c r="L20" s="221">
        <v>500000.0</v>
      </c>
      <c r="M20" s="221">
        <f t="shared" si="12"/>
        <v>1104166.667</v>
      </c>
      <c r="N20" s="232">
        <f>SUMIF(Hitungan!$C$746:$C$754,"Uang Makan",Hitungan!$F$746:$F$754)</f>
        <v>5</v>
      </c>
      <c r="O20" s="233">
        <f t="shared" si="13"/>
        <v>220833.3333</v>
      </c>
      <c r="P20" s="233">
        <f>SUMIF(Hitungan!$C$746:$C$754,"Keterlambatan",Hitungan!$F$746:$F$754)</f>
        <v>0</v>
      </c>
      <c r="Q20" s="234">
        <f>SUMIF(Hitungan!$C$746:$C$754,"Keterlambatan",Hitungan!$G$746:$G$754)</f>
        <v>0</v>
      </c>
      <c r="R20" s="234">
        <f>SUMIF(Hitungan!$C$746:$C$754,"Pengurangan Dari Kejadian",Hitungan!$G$746:$G$754)</f>
        <v>0</v>
      </c>
      <c r="S20" s="234">
        <f>SUMIF(Hitungan!$C$746:$C$754,"Pemotongan SP",Hitungan!$G$746:$G$754)</f>
        <v>0</v>
      </c>
      <c r="T20" s="234">
        <f>SUMIF(Hitungan!$C$746:$C$754,"Kasbon",Hitungan!$G$746:$G$754)</f>
        <v>0</v>
      </c>
      <c r="U20" s="234"/>
      <c r="V20" s="234">
        <f t="shared" si="14"/>
        <v>0</v>
      </c>
      <c r="W20" s="221">
        <f>SUMIF(Hitungan!$C$746:$C$754,"Service Charge",Hitungan!$G$746:$G$754)</f>
        <v>80584</v>
      </c>
      <c r="X20" s="221">
        <f t="shared" si="15"/>
        <v>1184750.667</v>
      </c>
      <c r="Y20" s="235">
        <f t="shared" si="16"/>
        <v>1184750</v>
      </c>
      <c r="Z20" s="235">
        <f>Y20</f>
        <v>1184750</v>
      </c>
      <c r="AA20" s="235">
        <f>Y20-Z20-AB20</f>
        <v>0</v>
      </c>
      <c r="AB20" s="245">
        <f>H20</f>
        <v>0</v>
      </c>
      <c r="AC20" s="237" t="s">
        <v>86</v>
      </c>
      <c r="AD20" s="206"/>
      <c r="AE20" s="206"/>
      <c r="AF20" s="207"/>
      <c r="AG20" s="206"/>
      <c r="AH20" s="206"/>
      <c r="AI20" s="206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</row>
    <row r="21" ht="13.5" customHeight="1">
      <c r="A21" s="217">
        <v>19.0</v>
      </c>
      <c r="B21" s="218" t="s">
        <v>103</v>
      </c>
      <c r="C21" s="219" t="s">
        <v>88</v>
      </c>
      <c r="D21" s="221">
        <f>SUMIF(Hitungan!$C$706:$C$714,D$1,Hitungan!$G$706:$G$714)</f>
        <v>2250000</v>
      </c>
      <c r="E21" s="221">
        <f>SUMIF(Hitungan!$C$706:$C$714,E$1,Hitungan!$G$706:$G$714)</f>
        <v>483000</v>
      </c>
      <c r="F21" s="221">
        <f>SUMIF(Hitungan!$C$706:$C$714,F$1,Hitungan!$G$706:$G$714)</f>
        <v>920000</v>
      </c>
      <c r="G21" s="221">
        <f>SUMIF(Hitungan!$C$706:$C$714,G$1,Hitungan!$G$706:$G$714)</f>
        <v>0</v>
      </c>
      <c r="H21" s="221">
        <f>SUMIF(Hitungan!$C$706:$C$714,H$1,Hitungan!$G$706:$G$714)</f>
        <v>0</v>
      </c>
      <c r="I21" s="221">
        <f>SUMIF(Hitungan!$C$706:$C$714,I$1,Hitungan!$G$706:$G$714)</f>
        <v>0</v>
      </c>
      <c r="J21" s="221">
        <f>SUMIF(Hitungan!$C$706:$C$714,J$1,Hitungan!$G$706:$G$714)</f>
        <v>0</v>
      </c>
      <c r="K21" s="231">
        <f>SUMIF(Hitungan!$C$706:$C$714,K$1,Hitungan!$G$706:$G$714)</f>
        <v>0</v>
      </c>
      <c r="L21" s="221"/>
      <c r="M21" s="221">
        <f t="shared" si="12"/>
        <v>3653000</v>
      </c>
      <c r="N21" s="232">
        <f>SUMIF(Hitungan!$C$706:$C$714,"Uang Makan",Hitungan!$F$706:$F$714)</f>
        <v>23</v>
      </c>
      <c r="O21" s="233">
        <f t="shared" si="13"/>
        <v>158826.087</v>
      </c>
      <c r="P21" s="233">
        <f>SUMIF(Hitungan!$C$706:$C$714,"Keterlambatan",Hitungan!$F$706:$F$714)</f>
        <v>0</v>
      </c>
      <c r="Q21" s="234">
        <f>SUMIF(Hitungan!$C$706:$C$714,"Keterlambatan",Hitungan!$G$706:$G$714)</f>
        <v>0</v>
      </c>
      <c r="R21" s="234">
        <f>SUMIF(Hitungan!$C$706:$C$714,"Pengurangan Dari Kejadian",Hitungan!$G$706:$G$714)</f>
        <v>0</v>
      </c>
      <c r="S21" s="234">
        <f>SUMIF(Hitungan!$C$706:$C$714,"Pemotongan SP",Hitungan!$G$706:$G$714)</f>
        <v>0</v>
      </c>
      <c r="T21" s="234">
        <f>SUMIF(Hitungan!$C$706:$C$714,"Kasbon",Hitungan!$G$706:$G$714)</f>
        <v>0</v>
      </c>
      <c r="U21" s="234"/>
      <c r="V21" s="234">
        <f t="shared" si="14"/>
        <v>0</v>
      </c>
      <c r="W21" s="221">
        <f>SUMIF(Hitungan!$C$706:$C$714,"Service Charge",Hitungan!$G$706:$G$714)</f>
        <v>334558</v>
      </c>
      <c r="X21" s="221">
        <f t="shared" si="15"/>
        <v>3987558</v>
      </c>
      <c r="Y21" s="235">
        <f t="shared" si="16"/>
        <v>3987558</v>
      </c>
      <c r="Z21" s="235">
        <f t="shared" ref="Z21:Z22" si="19">D21</f>
        <v>2250000</v>
      </c>
      <c r="AA21" s="235">
        <f>Y21-Z21</f>
        <v>1737558</v>
      </c>
      <c r="AB21" s="236" t="s">
        <v>59</v>
      </c>
      <c r="AC21" s="237" t="s">
        <v>86</v>
      </c>
      <c r="AD21" s="206"/>
      <c r="AE21" s="206"/>
      <c r="AF21" s="207"/>
      <c r="AG21" s="206"/>
      <c r="AH21" s="206"/>
      <c r="AI21" s="206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  <c r="AW21" s="208"/>
    </row>
    <row r="22" ht="13.5" customHeight="1">
      <c r="A22" s="217">
        <v>20.0</v>
      </c>
      <c r="B22" s="218" t="s">
        <v>106</v>
      </c>
      <c r="C22" s="219" t="s">
        <v>88</v>
      </c>
      <c r="D22" s="221">
        <f>SUMIF(Hitungan!$C$624:$C$632,D$1,Hitungan!$G$624:$G$632)</f>
        <v>3190000</v>
      </c>
      <c r="E22" s="221">
        <f>SUMIF(Hitungan!$C$624:$C$632,E$1,Hitungan!$G$624:$G$632)</f>
        <v>546000</v>
      </c>
      <c r="F22" s="221">
        <f>SUMIF(Hitungan!$C$624:$C$632,F$1,Hitungan!$G$624:$G$632)</f>
        <v>1404000</v>
      </c>
      <c r="G22" s="221">
        <f>SUMIF(Hitungan!$C$624:$C$632,G$1,Hitungan!$G$624:$G$632)</f>
        <v>0</v>
      </c>
      <c r="H22" s="221">
        <f>SUMIF(Hitungan!$C$624:$C$632,H$1,Hitungan!$G$624:$G$632)</f>
        <v>45000</v>
      </c>
      <c r="I22" s="221">
        <f>SUMIF(Hitungan!$C$624:$C$632,I$1,Hitungan!$G$624:$G$632)</f>
        <v>0</v>
      </c>
      <c r="J22" s="221">
        <f>SUMIF(Hitungan!$C$624:$C$632,J$1,Hitungan!$G$624:$G$632)</f>
        <v>0</v>
      </c>
      <c r="K22" s="231">
        <f>SUMIF(Hitungan!$C$624:$C$632,K$1,Hitungan!$G$624:$G$632)</f>
        <v>0</v>
      </c>
      <c r="L22" s="221"/>
      <c r="M22" s="221">
        <f t="shared" si="12"/>
        <v>5185000</v>
      </c>
      <c r="N22" s="232">
        <f>SUMIF(Hitungan!$C$624:$C$632,"Uang Makan",Hitungan!$F$624:$F$632)</f>
        <v>26</v>
      </c>
      <c r="O22" s="233">
        <f t="shared" si="13"/>
        <v>199423.0769</v>
      </c>
      <c r="P22" s="233">
        <f>SUMIF(Hitungan!$C$624:$C$632,"Keterlambatan",Hitungan!$F$624:$F$632)</f>
        <v>0</v>
      </c>
      <c r="Q22" s="234">
        <f>SUMIF(Hitungan!$C$624:$C$632,"Keterlambatan",Hitungan!$G$624:$G$632)</f>
        <v>0</v>
      </c>
      <c r="R22" s="234">
        <f>SUMIF(Hitungan!$C$624:$C$632,"Pengurangan Dari Kejadian",Hitungan!$G$624:$G$632)</f>
        <v>0</v>
      </c>
      <c r="S22" s="234">
        <f>SUMIF(Hitungan!$C$624:$C$632,"Pemotongan SP",Hitungan!$G$624:$G$632)</f>
        <v>0</v>
      </c>
      <c r="T22" s="234">
        <f>SUMIF(Hitungan!$C$624:$C$632,"Kasbon",Hitungan!$G$624:$G$632)</f>
        <v>0</v>
      </c>
      <c r="U22" s="234"/>
      <c r="V22" s="234">
        <f t="shared" si="14"/>
        <v>0</v>
      </c>
      <c r="W22" s="221">
        <f>SUMIF(Hitungan!$C$624:$C$632,"Service Charge",Hitungan!$G$624:$G$632)</f>
        <v>389185</v>
      </c>
      <c r="X22" s="221">
        <f t="shared" si="15"/>
        <v>5574185</v>
      </c>
      <c r="Y22" s="235">
        <f t="shared" si="16"/>
        <v>5574185</v>
      </c>
      <c r="Z22" s="235">
        <f t="shared" si="19"/>
        <v>3190000</v>
      </c>
      <c r="AA22" s="235">
        <f>Y22-Z22-AB22</f>
        <v>2384185</v>
      </c>
      <c r="AB22" s="246"/>
      <c r="AC22" s="237" t="s">
        <v>86</v>
      </c>
      <c r="AD22" s="206"/>
      <c r="AE22" s="206"/>
      <c r="AF22" s="207"/>
      <c r="AG22" s="206"/>
      <c r="AH22" s="206"/>
      <c r="AI22" s="206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8"/>
    </row>
    <row r="23" ht="13.5" customHeight="1">
      <c r="A23" s="217">
        <v>21.0</v>
      </c>
      <c r="B23" s="218" t="s">
        <v>110</v>
      </c>
      <c r="C23" s="219" t="s">
        <v>88</v>
      </c>
      <c r="D23" s="221">
        <f>SUMIF(Hitungan!$C$910:$C$918,D$1,Hitungan!$G$910:$G$918)</f>
        <v>241666.6667</v>
      </c>
      <c r="E23" s="221">
        <f>SUMIF(Hitungan!$C$910:$C$918,E$1,Hitungan!$G$910:$G$918)</f>
        <v>84000</v>
      </c>
      <c r="F23" s="221">
        <f>SUMIF(Hitungan!$C$910:$C$918,F$1,Hitungan!$G$910:$G$918)</f>
        <v>140400</v>
      </c>
      <c r="G23" s="221">
        <f>SUMIF(Hitungan!$C$910:$C$918,G$1,Hitungan!$G$910:$G$918)</f>
        <v>0</v>
      </c>
      <c r="H23" s="221">
        <f>SUMIF(Hitungan!$C$910:$C$918,H$1,Hitungan!$G$910:$G$918)</f>
        <v>0</v>
      </c>
      <c r="I23" s="221">
        <f>SUMIF(Hitungan!$C$910:$C$918,I$1,Hitungan!$G$910:$G$918)</f>
        <v>0</v>
      </c>
      <c r="J23" s="221">
        <f>SUMIF(Hitungan!$C$910:$C$918,J$1,Hitungan!$G$910:$G$918)</f>
        <v>0</v>
      </c>
      <c r="K23" s="231">
        <f>SUMIF(Hitungan!$C$910:$C$918,K$1,Hitungan!$G$910:$G$918)</f>
        <v>0</v>
      </c>
      <c r="L23" s="221">
        <v>500000.0</v>
      </c>
      <c r="M23" s="221">
        <f t="shared" si="12"/>
        <v>966066.6667</v>
      </c>
      <c r="N23" s="232">
        <f>SUMIF(Hitungan!$C$910:$C$918,"Uang Makan",Hitungan!$F$910:$F$918)</f>
        <v>4</v>
      </c>
      <c r="O23" s="233">
        <f t="shared" si="13"/>
        <v>241516.6667</v>
      </c>
      <c r="P23" s="233">
        <f>SUMIF(Hitungan!$C$910:$C$918,"Keterlambatan",Hitungan!$F$910:$F$918)</f>
        <v>0</v>
      </c>
      <c r="Q23" s="234">
        <f>SUMIF(Hitungan!$C$910:$C$918,"Keterlambatan",Hitungan!$G$910:$G$918)</f>
        <v>0</v>
      </c>
      <c r="R23" s="234">
        <f>SUMIF(Hitungan!$C$910:$C$918,"Pengurangan Dari Kejadian",Hitungan!$G$910:$G$918)</f>
        <v>0</v>
      </c>
      <c r="S23" s="234">
        <f>SUMIF(Hitungan!$C$910:$C$918,"Pemotongan SP",Hitungan!$G$910:$G$918)</f>
        <v>0</v>
      </c>
      <c r="T23" s="234">
        <f>SUMIF(Hitungan!$C$910:$C$918,"Kasbon",Hitungan!$G$910:$G$918)</f>
        <v>0</v>
      </c>
      <c r="U23" s="234"/>
      <c r="V23" s="234">
        <f t="shared" si="14"/>
        <v>0</v>
      </c>
      <c r="W23" s="221">
        <f>SUMIF(Hitungan!$C$910:$C$918,"Service Charge",Hitungan!$G$910:$G$918)</f>
        <v>54178</v>
      </c>
      <c r="X23" s="221">
        <f t="shared" si="15"/>
        <v>1020244.667</v>
      </c>
      <c r="Y23" s="235">
        <f t="shared" si="16"/>
        <v>1020244</v>
      </c>
      <c r="Z23" s="235">
        <f>Y23</f>
        <v>1020244</v>
      </c>
      <c r="AA23" s="235">
        <f t="shared" ref="AA23:AA26" si="20">Y23-Z23</f>
        <v>0</v>
      </c>
      <c r="AB23" s="236" t="s">
        <v>59</v>
      </c>
      <c r="AC23" s="237" t="s">
        <v>86</v>
      </c>
      <c r="AD23" s="206"/>
      <c r="AE23" s="206"/>
      <c r="AF23" s="207"/>
      <c r="AG23" s="206"/>
      <c r="AH23" s="206"/>
      <c r="AI23" s="206"/>
      <c r="AJ23" s="208"/>
      <c r="AK23" s="208"/>
      <c r="AL23" s="208"/>
      <c r="AM23" s="208"/>
      <c r="AN23" s="208"/>
      <c r="AO23" s="208"/>
      <c r="AP23" s="208"/>
      <c r="AQ23" s="208"/>
      <c r="AR23" s="208"/>
      <c r="AS23" s="208"/>
      <c r="AT23" s="208"/>
      <c r="AU23" s="208"/>
      <c r="AV23" s="208"/>
      <c r="AW23" s="208"/>
    </row>
    <row r="24" ht="13.5" customHeight="1">
      <c r="A24" s="217">
        <v>22.0</v>
      </c>
      <c r="B24" s="218" t="s">
        <v>113</v>
      </c>
      <c r="C24" s="219" t="s">
        <v>88</v>
      </c>
      <c r="D24" s="221">
        <f>SUMIF(Hitungan!$C$951:$C$959,D$1,Hitungan!$G$951:$G$959)</f>
        <v>0</v>
      </c>
      <c r="E24" s="221">
        <f>SUMIF(Hitungan!$C$951:$C$959,E$1,Hitungan!$G$951:$G$959)</f>
        <v>0</v>
      </c>
      <c r="F24" s="221">
        <f>SUMIF(Hitungan!$C$951:$C$959,F$1,Hitungan!$G$951:$G$959)</f>
        <v>0</v>
      </c>
      <c r="G24" s="221">
        <f>SUMIF(Hitungan!$C$951:$C$959,G$1,Hitungan!$G$951:$G$959)</f>
        <v>0</v>
      </c>
      <c r="H24" s="221">
        <f>SUMIF(Hitungan!$C$951:$C$959,H$1,Hitungan!$G$951:$G$959)</f>
        <v>0</v>
      </c>
      <c r="I24" s="221">
        <f>SUMIF(Hitungan!$C$951:$C$959,I$1,Hitungan!$G$951:$G$959)</f>
        <v>0</v>
      </c>
      <c r="J24" s="221">
        <f>SUMIF(Hitungan!$C$951:$C$959,J$1,Hitungan!$G$951:$G$959)</f>
        <v>0</v>
      </c>
      <c r="K24" s="231">
        <f>SUMIF(Hitungan!$C$951:$C$959,K$1,Hitungan!$G$951:$G$959)</f>
        <v>1500000</v>
      </c>
      <c r="L24" s="221"/>
      <c r="M24" s="221">
        <f t="shared" si="12"/>
        <v>1500000</v>
      </c>
      <c r="N24" s="232">
        <f>SUMIF(Hitungan!$C$951:$C$959,"Uang Makan",Hitungan!$F$951:$F$959)</f>
        <v>10</v>
      </c>
      <c r="O24" s="233">
        <f t="shared" si="13"/>
        <v>150000</v>
      </c>
      <c r="P24" s="233">
        <f>SUMIF(Hitungan!$C$951:$C$959,"Keterlambatan",Hitungan!$F$951:$F$959)</f>
        <v>0</v>
      </c>
      <c r="Q24" s="234">
        <f>SUMIF(Hitungan!$C$951:$C$959,"Keterlambatan",Hitungan!$G$951:$G$959)</f>
        <v>0</v>
      </c>
      <c r="R24" s="234">
        <f>SUMIF(Hitungan!$C$951:$C$959,"Pengurangan Dari Kejadian",Hitungan!$G$951:$G$959)</f>
        <v>0</v>
      </c>
      <c r="S24" s="234">
        <f>SUMIF(Hitungan!$C$951:$C$959,"Pemotongan SP",Hitungan!$G$951:$G$959)</f>
        <v>0</v>
      </c>
      <c r="T24" s="234">
        <f>SUMIF(Hitungan!$C$951:$C$959,"Kasbon",Hitungan!$G$951:$G$959)</f>
        <v>0</v>
      </c>
      <c r="U24" s="234"/>
      <c r="V24" s="234">
        <f t="shared" si="14"/>
        <v>0</v>
      </c>
      <c r="W24" s="221">
        <f>SUMIF(Hitungan!$C$951:$C$959,"Service Charge",Hitungan!$G$951:$G$959)</f>
        <v>0</v>
      </c>
      <c r="X24" s="221">
        <f t="shared" si="15"/>
        <v>1500000</v>
      </c>
      <c r="Y24" s="235">
        <f t="shared" si="16"/>
        <v>1500000</v>
      </c>
      <c r="Z24" s="235">
        <f>D24</f>
        <v>0</v>
      </c>
      <c r="AA24" s="235">
        <f t="shared" si="20"/>
        <v>1500000</v>
      </c>
      <c r="AB24" s="236" t="s">
        <v>59</v>
      </c>
      <c r="AC24" s="237" t="s">
        <v>86</v>
      </c>
      <c r="AD24" s="206"/>
      <c r="AE24" s="206"/>
      <c r="AF24" s="207"/>
      <c r="AG24" s="206"/>
      <c r="AH24" s="206"/>
      <c r="AI24" s="206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  <c r="AW24" s="208"/>
    </row>
    <row r="25" ht="13.5" customHeight="1">
      <c r="A25" s="217">
        <v>23.0</v>
      </c>
      <c r="B25" s="218" t="s">
        <v>116</v>
      </c>
      <c r="C25" s="219" t="s">
        <v>88</v>
      </c>
      <c r="D25" s="221">
        <f>SUMIF(Hitungan!$C$869:$C$877,D$1,Hitungan!$G$869:$G$877)</f>
        <v>1740000</v>
      </c>
      <c r="E25" s="221">
        <f>SUMIF(Hitungan!$C$869:$C$877,E$1,Hitungan!$G$869:$G$877)</f>
        <v>504000</v>
      </c>
      <c r="F25" s="221">
        <f>SUMIF(Hitungan!$C$869:$C$877,F$1,Hitungan!$G$869:$G$877)</f>
        <v>939600</v>
      </c>
      <c r="G25" s="221">
        <f>SUMIF(Hitungan!$C$869:$C$877,G$1,Hitungan!$G$869:$G$877)</f>
        <v>0</v>
      </c>
      <c r="H25" s="221">
        <f>SUMIF(Hitungan!$C$869:$C$877,H$1,Hitungan!$G$869:$G$877)</f>
        <v>0</v>
      </c>
      <c r="I25" s="221">
        <f>SUMIF(Hitungan!$C$869:$C$877,I$1,Hitungan!$G$869:$G$877)</f>
        <v>0</v>
      </c>
      <c r="J25" s="221">
        <f>SUMIF(Hitungan!$C$869:$C$877,J$1,Hitungan!$G$869:$G$877)</f>
        <v>0</v>
      </c>
      <c r="K25" s="231">
        <f>SUMIF(Hitungan!$C$869:$C$877,K$1,Hitungan!$G$869:$G$877)</f>
        <v>0</v>
      </c>
      <c r="L25" s="221"/>
      <c r="M25" s="221">
        <f t="shared" si="12"/>
        <v>3183600</v>
      </c>
      <c r="N25" s="232">
        <f>SUMIF(Hitungan!$C$869:$C$877,"Uang Makan",Hitungan!$F$869:$F$877)</f>
        <v>24</v>
      </c>
      <c r="O25" s="233">
        <f t="shared" si="13"/>
        <v>132650</v>
      </c>
      <c r="P25" s="233">
        <f>SUMIF(Hitungan!$C$869:$C$877,"Keterlambatan",Hitungan!$F$869:$F$877)</f>
        <v>0</v>
      </c>
      <c r="Q25" s="234">
        <f>SUMIF(Hitungan!$C$869:$C$877,"Keterlambatan",Hitungan!$G$869:$G$877)</f>
        <v>0</v>
      </c>
      <c r="R25" s="234">
        <f>SUMIF(Hitungan!$C$869:$C$877,"Pengurangan Dari Kejadian",Hitungan!$G$869:$G$877)</f>
        <v>0</v>
      </c>
      <c r="S25" s="234">
        <f>SUMIF(Hitungan!$C$869:$C$877,"Pemotongan SP",Hitungan!$G$869:$G$877)</f>
        <v>0</v>
      </c>
      <c r="T25" s="234">
        <f>SUMIF(Hitungan!$C$869:$C$877,"Kasbon",Hitungan!$G$869:$G$877)</f>
        <v>0</v>
      </c>
      <c r="U25" s="234"/>
      <c r="V25" s="234">
        <f t="shared" si="14"/>
        <v>0</v>
      </c>
      <c r="W25" s="221">
        <f>SUMIF(Hitungan!$C$869:$C$877,"Service Charge",Hitungan!$G$869:$G$877)</f>
        <v>352835</v>
      </c>
      <c r="X25" s="221">
        <f t="shared" si="15"/>
        <v>3536435</v>
      </c>
      <c r="Y25" s="235">
        <f t="shared" si="16"/>
        <v>3536435</v>
      </c>
      <c r="Z25" s="235"/>
      <c r="AA25" s="235">
        <f t="shared" si="20"/>
        <v>3536435</v>
      </c>
      <c r="AB25" s="236" t="s">
        <v>59</v>
      </c>
      <c r="AC25" s="237" t="s">
        <v>86</v>
      </c>
      <c r="AD25" s="248"/>
      <c r="AE25" s="248"/>
      <c r="AF25" s="249"/>
      <c r="AG25" s="248"/>
      <c r="AH25" s="248"/>
      <c r="AI25" s="248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</row>
    <row r="26" ht="13.5" customHeight="1">
      <c r="A26" s="217">
        <v>24.0</v>
      </c>
      <c r="B26" s="218" t="s">
        <v>118</v>
      </c>
      <c r="C26" s="219" t="s">
        <v>88</v>
      </c>
      <c r="D26" s="221">
        <f>SUMIF(Hitungan!$C$1033:$C$1041,D$1,Hitungan!$G$1033:$G$1041)</f>
        <v>870000</v>
      </c>
      <c r="E26" s="221">
        <f>SUMIF(Hitungan!$C$1033:$C$1041,E$1,Hitungan!$G$1033:$G$1041)</f>
        <v>252000</v>
      </c>
      <c r="F26" s="221">
        <f>SUMIF(Hitungan!$C$1033:$C$1041,F$1,Hitungan!$G$1033:$G$1041)</f>
        <v>469800</v>
      </c>
      <c r="G26" s="221">
        <f>SUMIF(Hitungan!$C$1033:$C$1041,G$1,Hitungan!$G$1033:$G$1041)</f>
        <v>0</v>
      </c>
      <c r="H26" s="221">
        <f>SUMIF(Hitungan!$C$1033:$C$1041,H$1,Hitungan!$G$1033:$G$1041)</f>
        <v>0</v>
      </c>
      <c r="I26" s="221">
        <f>SUMIF(Hitungan!$C$1033:$C$1041,I$1,Hitungan!$G$1033:$G$1041)</f>
        <v>0</v>
      </c>
      <c r="J26" s="221">
        <f>SUMIF(Hitungan!$C$1033:$C$1041,J$1,Hitungan!$G$1033:$G$1041)</f>
        <v>0</v>
      </c>
      <c r="K26" s="231">
        <f>SUMIF(Hitungan!$C$1033:$C$1041,K$1,Hitungan!$G$1033:$G$1041)</f>
        <v>0</v>
      </c>
      <c r="L26" s="221"/>
      <c r="M26" s="221">
        <f t="shared" si="12"/>
        <v>1591800</v>
      </c>
      <c r="N26" s="232">
        <f>SUMIF(Hitungan!$C$1033:$C$1041,"Uang Makan",Hitungan!$F$1033:$F$1041)</f>
        <v>12</v>
      </c>
      <c r="O26" s="233">
        <f t="shared" si="13"/>
        <v>132650</v>
      </c>
      <c r="P26" s="233">
        <f>SUMIF(Hitungan!$C$1033:$C$1041,"Keterlambatan",Hitungan!$F$1033:$F$1041)</f>
        <v>0</v>
      </c>
      <c r="Q26" s="234">
        <f>SUMIF(Hitungan!$C$1033:$C$1041,"Keterlambatan",Hitungan!$G$1033:$G$1041)</f>
        <v>0</v>
      </c>
      <c r="R26" s="234">
        <f>SUMIF(Hitungan!$C$1033:$C$1041,"Pengurangan Dari Kejadian",Hitungan!$G$1033:$G$1041)</f>
        <v>35000</v>
      </c>
      <c r="S26" s="234">
        <f>SUMIF(Hitungan!$C$1033:$C$1041,"Pemotongan SP",Hitungan!$G$1033:$G$1041)</f>
        <v>0</v>
      </c>
      <c r="T26" s="234">
        <f>SUMIF(Hitungan!$C$1033:$C$1041,"Kasbon",Hitungan!$G$1033:$G$1041)</f>
        <v>0</v>
      </c>
      <c r="U26" s="234"/>
      <c r="V26" s="234">
        <f t="shared" si="14"/>
        <v>35000</v>
      </c>
      <c r="W26" s="221">
        <f>SUMIF(Hitungan!$C$1033:$C$1041,"Service Charge",Hitungan!$G$1033:$G$1041)</f>
        <v>152157</v>
      </c>
      <c r="X26" s="221">
        <f t="shared" si="15"/>
        <v>1708957</v>
      </c>
      <c r="Y26" s="235">
        <f t="shared" si="16"/>
        <v>1708957</v>
      </c>
      <c r="Z26" s="235"/>
      <c r="AA26" s="235">
        <f t="shared" si="20"/>
        <v>1708957</v>
      </c>
      <c r="AB26" s="236" t="s">
        <v>59</v>
      </c>
      <c r="AC26" s="237" t="s">
        <v>86</v>
      </c>
      <c r="AD26" s="248"/>
      <c r="AE26" s="248"/>
      <c r="AF26" s="249"/>
      <c r="AG26" s="248"/>
      <c r="AH26" s="248"/>
      <c r="AI26" s="248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</row>
    <row r="27" ht="13.5" customHeight="1">
      <c r="A27" s="252">
        <v>25.0</v>
      </c>
      <c r="B27" s="253" t="s">
        <v>123</v>
      </c>
      <c r="C27" s="254" t="s">
        <v>88</v>
      </c>
      <c r="D27" s="221">
        <f>(1740000/24)*3</f>
        <v>217500</v>
      </c>
      <c r="E27" s="221">
        <f>21000*3</f>
        <v>63000</v>
      </c>
      <c r="F27" s="221">
        <f>39150*3</f>
        <v>117450</v>
      </c>
      <c r="G27" s="221"/>
      <c r="H27" s="221"/>
      <c r="I27" s="221"/>
      <c r="J27" s="221"/>
      <c r="K27" s="231"/>
      <c r="L27" s="221"/>
      <c r="M27" s="221">
        <f t="shared" si="12"/>
        <v>397950</v>
      </c>
      <c r="N27" s="255">
        <v>3.0</v>
      </c>
      <c r="O27" s="233"/>
      <c r="P27" s="233"/>
      <c r="Q27" s="234"/>
      <c r="R27" s="234"/>
      <c r="S27" s="234"/>
      <c r="T27" s="234"/>
      <c r="U27" s="234"/>
      <c r="V27" s="234"/>
      <c r="W27" s="221"/>
      <c r="X27" s="221"/>
      <c r="Y27" s="235">
        <f>M27</f>
        <v>397950</v>
      </c>
      <c r="Z27" s="235"/>
      <c r="AA27" s="235">
        <f>M27</f>
        <v>397950</v>
      </c>
      <c r="AB27" s="236"/>
      <c r="AC27" s="237"/>
      <c r="AD27" s="248"/>
      <c r="AE27" s="248"/>
      <c r="AF27" s="249"/>
      <c r="AG27" s="248"/>
      <c r="AH27" s="248"/>
      <c r="AI27" s="248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</row>
    <row r="28" ht="13.5" customHeight="1">
      <c r="A28" s="250">
        <v>25.0</v>
      </c>
      <c r="B28" s="256" t="s">
        <v>124</v>
      </c>
      <c r="C28" s="257" t="s">
        <v>125</v>
      </c>
      <c r="D28" s="258">
        <f>SUMIF(Hitungan!$C$542:$C$550,D$1,Hitungan!$G$542:$G$550)</f>
        <v>2250000</v>
      </c>
      <c r="E28" s="258">
        <f>SUMIF(Hitungan!$C$542:$C$550,E$1,Hitungan!$G$542:$G$550)</f>
        <v>819000</v>
      </c>
      <c r="F28" s="258">
        <f>SUMIF(Hitungan!$C$542:$C$550,F$1,Hitungan!$G$542:$G$550)</f>
        <v>1482000</v>
      </c>
      <c r="G28" s="258">
        <f>SUMIF(Hitungan!$C$542:$C$550,G$1,Hitungan!$G$542:$G$550)</f>
        <v>0</v>
      </c>
      <c r="H28" s="258">
        <f>SUMIF(Hitungan!$C$542:$C$550,H$1,Hitungan!$G$542:$G$550)</f>
        <v>0</v>
      </c>
      <c r="I28" s="258">
        <f>SUMIF(Hitungan!$C$542:$C$550,I$1,Hitungan!$G$542:$G$550)</f>
        <v>0</v>
      </c>
      <c r="J28" s="258">
        <f>SUMIF(Hitungan!$C$542:$C$550,J$1,Hitungan!$G$542:$G$550)</f>
        <v>0</v>
      </c>
      <c r="K28" s="258">
        <f>SUMIF(Hitungan!$C$542:$C$550,K$1,Hitungan!$G$542:$G$550)</f>
        <v>0</v>
      </c>
      <c r="L28" s="259"/>
      <c r="M28" s="259">
        <f t="shared" si="12"/>
        <v>4551000</v>
      </c>
      <c r="N28" s="260">
        <f>SUMIF(Hitungan!$C$542:$C$550,"Uang Makan",Hitungan!$F$542:$F$550)</f>
        <v>26</v>
      </c>
      <c r="O28" s="261">
        <f t="shared" ref="O28:O30" si="21">IFERROR(M28/N28,"")</f>
        <v>175038.4615</v>
      </c>
      <c r="P28" s="261">
        <f>SUMIF(Hitungan!$C$542:$C$550,"Keterlambatan",Hitungan!$F$542:$F$550)</f>
        <v>2</v>
      </c>
      <c r="Q28" s="262">
        <f>SUMIF(Hitungan!$C$542:$C$550,"Keterlambatan",Hitungan!$G$542:$G$550)</f>
        <v>38000</v>
      </c>
      <c r="R28" s="262">
        <f>SUMIF(Hitungan!$C$542:$C$550,"Pengurangan Dari Kejadian",Hitungan!$G$542:$G$550)</f>
        <v>0</v>
      </c>
      <c r="S28" s="262">
        <f>SUMIF(Hitungan!$C$542:$C$550,"Pemotongan SP",Hitungan!$G$542:$G$550)</f>
        <v>0</v>
      </c>
      <c r="T28" s="262">
        <f>SUMIF(Hitungan!$C$542:$C$550,"Kasbon",Hitungan!$G$542:$G$550)</f>
        <v>0</v>
      </c>
      <c r="U28" s="262"/>
      <c r="V28" s="262">
        <f t="shared" ref="V28:V30" si="22">SUM(Q28:U28)</f>
        <v>38000</v>
      </c>
      <c r="W28" s="259">
        <f>SUMIF(Hitungan!$C$542:$C$550,"Service Charge",Hitungan!$G$542:$G$550)</f>
        <v>217181</v>
      </c>
      <c r="X28" s="259">
        <f t="shared" ref="X28:X30" si="23">M28-V28+W28</f>
        <v>4730181</v>
      </c>
      <c r="Y28" s="263">
        <f t="shared" ref="Y28:Y30" si="24">ROUNDDOWN(X28,0)</f>
        <v>4730181</v>
      </c>
      <c r="Z28" s="263">
        <f>D28</f>
        <v>2250000</v>
      </c>
      <c r="AA28" s="263">
        <f t="shared" ref="AA28:AA30" si="25">Y28-Z28</f>
        <v>2480181</v>
      </c>
      <c r="AB28" s="264"/>
      <c r="AC28" s="265" t="s">
        <v>75</v>
      </c>
      <c r="AD28" s="248"/>
      <c r="AE28" s="248"/>
      <c r="AF28" s="249"/>
      <c r="AG28" s="248"/>
      <c r="AH28" s="248"/>
      <c r="AI28" s="248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</row>
    <row r="29" ht="13.5" customHeight="1">
      <c r="A29" s="250">
        <v>26.0</v>
      </c>
      <c r="B29" s="256" t="s">
        <v>126</v>
      </c>
      <c r="C29" s="257" t="s">
        <v>125</v>
      </c>
      <c r="D29" s="258">
        <f>SUMIF(Hitungan!$C$583:$C$591,D$1,Hitungan!$G$583:$G$591)</f>
        <v>1740000</v>
      </c>
      <c r="E29" s="258">
        <f>SUMIF(Hitungan!$C$583:$C$591,E$1,Hitungan!$G$583:$G$591)</f>
        <v>546000</v>
      </c>
      <c r="F29" s="258">
        <f>SUMIF(Hitungan!$C$583:$C$591,F$1,Hitungan!$G$583:$G$591)</f>
        <v>1017900</v>
      </c>
      <c r="G29" s="258">
        <f>SUMIF(Hitungan!$C$583:$C$591,G$1,Hitungan!$G$583:$G$591)</f>
        <v>0</v>
      </c>
      <c r="H29" s="258">
        <f>SUMIF(Hitungan!$C$583:$C$591,H$1,Hitungan!$G$583:$G$591)</f>
        <v>0</v>
      </c>
      <c r="I29" s="258">
        <f>SUMIF(Hitungan!$C$583:$C$591,I$1,Hitungan!$G$583:$G$591)</f>
        <v>0</v>
      </c>
      <c r="J29" s="258">
        <f>SUMIF(Hitungan!$C$583:$C$591,J$1,Hitungan!$G$583:$G$591)</f>
        <v>0</v>
      </c>
      <c r="K29" s="258">
        <f>SUMIF(Hitungan!$C$583:$C$591,K$1,Hitungan!$G$583:$G$591)</f>
        <v>0</v>
      </c>
      <c r="L29" s="259"/>
      <c r="M29" s="259">
        <f t="shared" si="12"/>
        <v>3303900</v>
      </c>
      <c r="N29" s="260">
        <f>SUMIF(Hitungan!$C$583:$C$591,"Uang Makan",Hitungan!$F$583:$F$591)</f>
        <v>26</v>
      </c>
      <c r="O29" s="261">
        <f t="shared" si="21"/>
        <v>127073.0769</v>
      </c>
      <c r="P29" s="261">
        <f>SUMIF(Hitungan!$C$583:$C$591,"Keterlambatan",Hitungan!$F$583:$F$591)</f>
        <v>2</v>
      </c>
      <c r="Q29" s="262">
        <f>SUMIF(Hitungan!$C$583:$C$591,"Keterlambatan",Hitungan!$G$583:$G$591)</f>
        <v>26100</v>
      </c>
      <c r="R29" s="262">
        <f>SUMIF(Hitungan!$C$583:$C$591,"Pengurangan Dari Kejadian",Hitungan!$G$583:$G$591)</f>
        <v>0</v>
      </c>
      <c r="S29" s="262">
        <f>SUMIF(Hitungan!$C$583:$C$591,"Pemotongan SP",Hitungan!$G$583:$G$591)</f>
        <v>0</v>
      </c>
      <c r="T29" s="262">
        <f>SUMIF(Hitungan!$C$583:$C$591,"Kasbon",Hitungan!$G$583:$G$591)</f>
        <v>0</v>
      </c>
      <c r="U29" s="262">
        <v>250000.0</v>
      </c>
      <c r="V29" s="262">
        <f t="shared" si="22"/>
        <v>276100</v>
      </c>
      <c r="W29" s="259">
        <f>SUMIF(Hitungan!$C$583:$C$591,"Service Charge",Hitungan!$G$583:$G$591)</f>
        <v>217181</v>
      </c>
      <c r="X29" s="259">
        <f t="shared" si="23"/>
        <v>3244981</v>
      </c>
      <c r="Y29" s="263">
        <f t="shared" si="24"/>
        <v>3244981</v>
      </c>
      <c r="Z29" s="263">
        <f>D29-V29</f>
        <v>1463900</v>
      </c>
      <c r="AA29" s="263">
        <f t="shared" si="25"/>
        <v>1781081</v>
      </c>
      <c r="AB29" s="266" t="s">
        <v>59</v>
      </c>
      <c r="AC29" s="265" t="s">
        <v>75</v>
      </c>
      <c r="AD29" s="162"/>
      <c r="AE29" s="162"/>
      <c r="AF29" s="163"/>
      <c r="AG29" s="162"/>
      <c r="AH29" s="162"/>
      <c r="AI29" s="162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</row>
    <row r="30" ht="13.5" customHeight="1">
      <c r="A30" s="250">
        <v>27.0</v>
      </c>
      <c r="B30" s="256" t="s">
        <v>127</v>
      </c>
      <c r="C30" s="257" t="s">
        <v>125</v>
      </c>
      <c r="D30" s="258">
        <f>SUMIF(Hitungan!$C$1074:$C$1082,D$1,Hitungan!$G$1074:$G$1082)</f>
        <v>677875</v>
      </c>
      <c r="E30" s="258">
        <f>SUMIF(Hitungan!$C$1074:$C$1082,E$1,Hitungan!$G$1074:$G$1082)</f>
        <v>196350</v>
      </c>
      <c r="F30" s="258">
        <f>SUMIF(Hitungan!$C$1074:$C$1082,F$1,Hitungan!$G$1074:$G$1082)</f>
        <v>366058</v>
      </c>
      <c r="G30" s="258">
        <f>SUMIF(Hitungan!$C$1074:$C$1082,G$1,Hitungan!$G$1074:$G$1082)</f>
        <v>0</v>
      </c>
      <c r="H30" s="258">
        <f>SUMIF(Hitungan!$C$1074:$C$1082,H$1,Hitungan!$G$1074:$G$1082)</f>
        <v>0</v>
      </c>
      <c r="I30" s="258">
        <f>SUMIF(Hitungan!$C$1074:$C$1082,I$1,Hitungan!$G$1074:$G$1082)</f>
        <v>0</v>
      </c>
      <c r="J30" s="258">
        <f>SUMIF(Hitungan!$C$1074:$C$1082,J$1,Hitungan!$G$1074:$G$1082)</f>
        <v>0</v>
      </c>
      <c r="K30" s="258">
        <f>SUMIF(Hitungan!$C$1074:$C$1082,K$1,Hitungan!$G$1074:$G$1082)</f>
        <v>0</v>
      </c>
      <c r="L30" s="259"/>
      <c r="M30" s="259">
        <f t="shared" si="12"/>
        <v>1240283</v>
      </c>
      <c r="N30" s="260">
        <f>SUMIF(Hitungan!$C$1074:$C$1082,"Uang Makan",Hitungan!$F$1074:$F$1082)</f>
        <v>11</v>
      </c>
      <c r="O30" s="261">
        <f t="shared" si="21"/>
        <v>112753</v>
      </c>
      <c r="P30" s="261">
        <f>SUMIF(Hitungan!$C$1074:$C$1082,"Keterlambatan",Hitungan!$F$1074:$F$1082)</f>
        <v>0</v>
      </c>
      <c r="Q30" s="262">
        <f>SUMIF(Hitungan!$C$1074:$C$1082,"Keterlambatan",Hitungan!$G$1074:$G$1082)</f>
        <v>0</v>
      </c>
      <c r="R30" s="262">
        <f>SUMIF(Hitungan!$C$1074:$C$1082,"Pengurangan Dari Kejadian",Hitungan!$G$1074:$G$1082)</f>
        <v>0</v>
      </c>
      <c r="S30" s="262">
        <f>SUMIF(Hitungan!$C$1074:$C$1082,"Pemotongan SP",Hitungan!$G$1074:$G$1082)</f>
        <v>0</v>
      </c>
      <c r="T30" s="262">
        <f>SUMIF(Hitungan!$C$1074:$C$1082,"Kasbon",Hitungan!$G$1074:$G$1082)</f>
        <v>0</v>
      </c>
      <c r="U30" s="262"/>
      <c r="V30" s="262">
        <f t="shared" si="22"/>
        <v>0</v>
      </c>
      <c r="W30" s="259">
        <f>SUMIF(Hitungan!$C$1074:$C$1082,"Service Charge",Hitungan!$G$1074:$G$1082)</f>
        <v>124258</v>
      </c>
      <c r="X30" s="259">
        <f t="shared" si="23"/>
        <v>1364541</v>
      </c>
      <c r="Y30" s="263">
        <f t="shared" si="24"/>
        <v>1364541</v>
      </c>
      <c r="Z30" s="263"/>
      <c r="AA30" s="263">
        <f t="shared" si="25"/>
        <v>1364541</v>
      </c>
      <c r="AB30" s="266" t="s">
        <v>59</v>
      </c>
      <c r="AC30" s="265" t="s">
        <v>75</v>
      </c>
      <c r="AD30" s="162"/>
      <c r="AE30" s="162"/>
      <c r="AF30" s="163"/>
      <c r="AG30" s="162"/>
      <c r="AH30" s="162"/>
      <c r="AI30" s="162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</row>
    <row r="31" ht="13.5" customHeight="1">
      <c r="A31" s="267">
        <v>28.0</v>
      </c>
      <c r="B31" s="268" t="s">
        <v>130</v>
      </c>
      <c r="C31" s="257" t="s">
        <v>125</v>
      </c>
      <c r="D31" s="258">
        <f>(1479000/24)*4</f>
        <v>246500</v>
      </c>
      <c r="E31" s="258">
        <f>17850*4</f>
        <v>71400</v>
      </c>
      <c r="F31" s="258">
        <f>33278*4</f>
        <v>133112</v>
      </c>
      <c r="G31" s="258"/>
      <c r="H31" s="258"/>
      <c r="I31" s="258"/>
      <c r="J31" s="258"/>
      <c r="K31" s="258"/>
      <c r="L31" s="259"/>
      <c r="M31" s="259">
        <f t="shared" si="12"/>
        <v>451012</v>
      </c>
      <c r="N31" s="260"/>
      <c r="O31" s="261"/>
      <c r="P31" s="261"/>
      <c r="Q31" s="262"/>
      <c r="R31" s="262"/>
      <c r="S31" s="262"/>
      <c r="T31" s="262"/>
      <c r="U31" s="262"/>
      <c r="V31" s="262"/>
      <c r="W31" s="259"/>
      <c r="X31" s="259"/>
      <c r="Y31" s="269"/>
      <c r="Z31" s="269"/>
      <c r="AA31" s="270">
        <v>451012.0</v>
      </c>
      <c r="AB31" s="266"/>
      <c r="AC31" s="265"/>
      <c r="AD31" s="271"/>
      <c r="AE31" s="271"/>
      <c r="AF31" s="272"/>
      <c r="AG31" s="271"/>
      <c r="AH31" s="271"/>
      <c r="AI31" s="271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</row>
    <row r="32" ht="13.5" customHeight="1">
      <c r="A32" s="1"/>
      <c r="B32" s="15" t="s">
        <v>131</v>
      </c>
      <c r="C32" s="15"/>
      <c r="D32" s="274">
        <f t="shared" ref="D32:Y32" si="26">SUM(D2:D30)</f>
        <v>39801929.49</v>
      </c>
      <c r="E32" s="274">
        <f t="shared" si="26"/>
        <v>12003725</v>
      </c>
      <c r="F32" s="274">
        <f t="shared" si="26"/>
        <v>21408183</v>
      </c>
      <c r="G32" s="274">
        <f t="shared" si="26"/>
        <v>0</v>
      </c>
      <c r="H32" s="274">
        <f t="shared" si="26"/>
        <v>82166.66667</v>
      </c>
      <c r="I32" s="274">
        <f t="shared" si="26"/>
        <v>0</v>
      </c>
      <c r="J32" s="274">
        <f t="shared" si="26"/>
        <v>0</v>
      </c>
      <c r="K32" s="274">
        <f t="shared" si="26"/>
        <v>4650000</v>
      </c>
      <c r="L32" s="274">
        <f t="shared" si="26"/>
        <v>1000000</v>
      </c>
      <c r="M32" s="274">
        <f t="shared" si="26"/>
        <v>78946004.15</v>
      </c>
      <c r="N32" s="274">
        <f t="shared" si="26"/>
        <v>490.5</v>
      </c>
      <c r="O32" s="274">
        <f t="shared" si="26"/>
        <v>4362945.722</v>
      </c>
      <c r="P32" s="274">
        <f t="shared" si="26"/>
        <v>18</v>
      </c>
      <c r="Q32" s="274">
        <f t="shared" si="26"/>
        <v>288866.6667</v>
      </c>
      <c r="R32" s="274">
        <f t="shared" si="26"/>
        <v>1313150</v>
      </c>
      <c r="S32" s="274">
        <f t="shared" si="26"/>
        <v>0</v>
      </c>
      <c r="T32" s="274">
        <f t="shared" si="26"/>
        <v>0</v>
      </c>
      <c r="U32" s="274">
        <f t="shared" si="26"/>
        <v>750000</v>
      </c>
      <c r="V32" s="274">
        <f t="shared" si="26"/>
        <v>2352016.667</v>
      </c>
      <c r="W32" s="274">
        <f t="shared" si="26"/>
        <v>7046736</v>
      </c>
      <c r="X32" s="274">
        <f t="shared" si="26"/>
        <v>82942773.49</v>
      </c>
      <c r="Y32" s="274">
        <f t="shared" si="26"/>
        <v>83340720</v>
      </c>
      <c r="Z32" s="274">
        <f t="shared" ref="Z32:AA32" si="27">sum(Z2:Z31)</f>
        <v>33414615</v>
      </c>
      <c r="AA32" s="274">
        <f t="shared" si="27"/>
        <v>50602117</v>
      </c>
      <c r="AB32" s="274"/>
      <c r="AC32" s="274"/>
      <c r="AD32" s="172"/>
      <c r="AE32" s="1"/>
      <c r="AF32" s="276"/>
      <c r="AG32" s="172"/>
      <c r="AH32" s="172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ht="13.5" customHeight="1">
      <c r="A33" s="1"/>
      <c r="B33" s="188"/>
      <c r="C33" s="188"/>
      <c r="D33" s="172"/>
      <c r="E33" s="172"/>
      <c r="F33" s="172"/>
      <c r="G33" s="172"/>
      <c r="H33" s="172"/>
      <c r="I33" s="172"/>
      <c r="J33" s="172"/>
      <c r="K33" s="172"/>
      <c r="L33" s="277"/>
      <c r="M33" s="277"/>
      <c r="N33" s="277"/>
      <c r="O33" s="277"/>
      <c r="P33" s="278"/>
      <c r="Q33" s="279"/>
      <c r="R33" s="280" t="s">
        <v>132</v>
      </c>
      <c r="S33" s="281" t="s">
        <v>133</v>
      </c>
      <c r="T33" s="172"/>
      <c r="U33" s="282"/>
      <c r="V33" s="282"/>
      <c r="W33" s="283"/>
      <c r="X33" s="284"/>
      <c r="Y33" s="285"/>
      <c r="Z33" s="178"/>
      <c r="AA33" s="172"/>
      <c r="AB33" s="172"/>
      <c r="AC33" s="172"/>
      <c r="AD33" s="1"/>
      <c r="AE33" s="172"/>
      <c r="AF33" s="276"/>
      <c r="AG33" s="172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ht="13.5" customHeight="1">
      <c r="A34" s="1"/>
      <c r="B34" s="188"/>
      <c r="C34" s="188"/>
      <c r="D34" s="172"/>
      <c r="E34" s="172"/>
      <c r="F34" s="172"/>
      <c r="G34" s="172"/>
      <c r="H34" s="172"/>
      <c r="I34" s="172"/>
      <c r="J34" s="172"/>
      <c r="K34" s="172"/>
      <c r="L34" s="277"/>
      <c r="M34" s="277"/>
      <c r="N34" s="277"/>
      <c r="O34" s="277"/>
      <c r="P34" s="278"/>
      <c r="Q34" s="286" t="s">
        <v>53</v>
      </c>
      <c r="R34" s="287">
        <f t="shared" ref="R34:R35" si="28">SUMIFS($W:$W,$C:$C,Q34)</f>
        <v>4095319</v>
      </c>
      <c r="S34" s="288" t="s">
        <v>134</v>
      </c>
      <c r="T34" s="172"/>
      <c r="U34" s="282"/>
      <c r="V34" s="282"/>
      <c r="W34" s="283"/>
      <c r="X34" s="284"/>
      <c r="Y34" s="285"/>
      <c r="Z34" s="178"/>
      <c r="AA34" s="172"/>
      <c r="AB34" s="172"/>
      <c r="AC34" s="172"/>
      <c r="AD34" s="1"/>
      <c r="AE34" s="172"/>
      <c r="AF34" s="276"/>
      <c r="AG34" s="172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ht="13.5" customHeight="1">
      <c r="A35" s="1"/>
      <c r="B35" s="188"/>
      <c r="C35" s="188"/>
      <c r="D35" s="172"/>
      <c r="E35" s="172"/>
      <c r="F35" s="172"/>
      <c r="G35" s="172"/>
      <c r="H35" s="172"/>
      <c r="I35" s="172"/>
      <c r="J35" s="172"/>
      <c r="K35" s="172"/>
      <c r="L35" s="277"/>
      <c r="M35" s="277"/>
      <c r="N35" s="277"/>
      <c r="O35" s="277"/>
      <c r="P35" s="278"/>
      <c r="Q35" s="289" t="s">
        <v>88</v>
      </c>
      <c r="R35" s="290">
        <f t="shared" si="28"/>
        <v>2392797</v>
      </c>
      <c r="S35" s="291" t="s">
        <v>134</v>
      </c>
      <c r="T35" s="172"/>
      <c r="U35" s="282"/>
      <c r="V35" s="282"/>
      <c r="W35" s="283"/>
      <c r="X35" s="284"/>
      <c r="Y35" s="285"/>
      <c r="Z35" s="178"/>
      <c r="AA35" s="172"/>
      <c r="AB35" s="172"/>
      <c r="AC35" s="172"/>
      <c r="AD35" s="1"/>
      <c r="AE35" s="172"/>
      <c r="AF35" s="276"/>
      <c r="AG35" s="172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ht="13.5" customHeight="1">
      <c r="A36" s="1"/>
      <c r="B36" s="188"/>
      <c r="C36" s="188"/>
      <c r="D36" s="172"/>
      <c r="E36" s="172"/>
      <c r="F36" s="172"/>
      <c r="G36" s="172"/>
      <c r="H36" s="172"/>
      <c r="I36" s="172"/>
      <c r="J36" s="172"/>
      <c r="K36" s="172"/>
      <c r="L36" s="277"/>
      <c r="M36" s="277"/>
      <c r="N36" s="277"/>
      <c r="O36" s="277"/>
      <c r="P36" s="278"/>
      <c r="Q36" s="278"/>
      <c r="R36" s="278"/>
      <c r="S36" s="278"/>
      <c r="T36" s="172"/>
      <c r="U36" s="282"/>
      <c r="V36" s="282"/>
      <c r="W36" s="283"/>
      <c r="X36" s="284"/>
      <c r="Y36" s="285"/>
      <c r="Z36" s="178"/>
      <c r="AA36" s="172"/>
      <c r="AB36" s="172"/>
      <c r="AC36" s="172"/>
      <c r="AD36" s="1"/>
      <c r="AE36" s="172"/>
      <c r="AF36" s="276"/>
      <c r="AG36" s="172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ht="13.5" customHeight="1">
      <c r="A37" s="1"/>
      <c r="B37" s="188"/>
      <c r="C37" s="188"/>
      <c r="D37" s="172"/>
      <c r="E37" s="172"/>
      <c r="F37" s="172"/>
      <c r="G37" s="172"/>
      <c r="H37" s="172"/>
      <c r="I37" s="172"/>
      <c r="J37" s="172"/>
      <c r="K37" s="172"/>
      <c r="L37" s="277"/>
      <c r="M37" s="277"/>
      <c r="N37" s="277"/>
      <c r="O37" s="277"/>
      <c r="P37" s="278"/>
      <c r="Q37" s="292" t="s">
        <v>135</v>
      </c>
      <c r="R37" s="293" t="s">
        <v>136</v>
      </c>
      <c r="S37" s="293" t="s">
        <v>137</v>
      </c>
      <c r="T37" s="294" t="s">
        <v>133</v>
      </c>
      <c r="U37" s="282"/>
      <c r="V37" s="282"/>
      <c r="W37" s="283"/>
      <c r="X37" s="284"/>
      <c r="Y37" s="285"/>
      <c r="Z37" s="178"/>
      <c r="AA37" s="172"/>
      <c r="AB37" s="172"/>
      <c r="AC37" s="172"/>
      <c r="AD37" s="1"/>
      <c r="AE37" s="172"/>
      <c r="AF37" s="276"/>
      <c r="AG37" s="17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ht="13.5" customHeight="1">
      <c r="A38" s="1"/>
      <c r="B38" s="188"/>
      <c r="C38" s="188"/>
      <c r="D38" s="172"/>
      <c r="E38" s="172"/>
      <c r="F38" s="172"/>
      <c r="G38" s="172"/>
      <c r="H38" s="172"/>
      <c r="I38" s="172"/>
      <c r="J38" s="172"/>
      <c r="K38" s="172"/>
      <c r="L38" s="277"/>
      <c r="M38" s="277"/>
      <c r="N38" s="277"/>
      <c r="O38" s="277"/>
      <c r="P38" s="278"/>
      <c r="Q38" s="295" t="s">
        <v>53</v>
      </c>
      <c r="R38" s="296">
        <f t="shared" ref="R38:R39" si="29">SUMIFS($Y:$Y,$C:$C,Q38)</f>
        <v>31403752</v>
      </c>
      <c r="S38" s="296">
        <v>1.8871798E7</v>
      </c>
      <c r="T38" s="297">
        <f t="shared" ref="T38:T39" si="30">R38-S38</f>
        <v>12531954</v>
      </c>
      <c r="U38" s="282"/>
      <c r="V38" s="282"/>
      <c r="W38" s="283"/>
      <c r="X38" s="284"/>
      <c r="Y38" s="285"/>
      <c r="Z38" s="178"/>
      <c r="AA38" s="172"/>
      <c r="AB38" s="172"/>
      <c r="AC38" s="172"/>
      <c r="AD38" s="1"/>
      <c r="AE38" s="172"/>
      <c r="AF38" s="276"/>
      <c r="AG38" s="172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ht="13.5" customHeight="1">
      <c r="A39" s="1"/>
      <c r="B39" s="188"/>
      <c r="C39" s="188"/>
      <c r="D39" s="172"/>
      <c r="E39" s="172"/>
      <c r="F39" s="172"/>
      <c r="G39" s="172"/>
      <c r="H39" s="172"/>
      <c r="I39" s="172"/>
      <c r="J39" s="172"/>
      <c r="K39" s="172"/>
      <c r="L39" s="277"/>
      <c r="M39" s="277"/>
      <c r="N39" s="277"/>
      <c r="O39" s="277"/>
      <c r="P39" s="278"/>
      <c r="Q39" s="298" t="s">
        <v>88</v>
      </c>
      <c r="R39" s="299">
        <f t="shared" si="29"/>
        <v>31145712</v>
      </c>
      <c r="S39" s="299">
        <v>1.5580214E7</v>
      </c>
      <c r="T39" s="300">
        <f t="shared" si="30"/>
        <v>15565498</v>
      </c>
      <c r="U39" s="282"/>
      <c r="V39" s="282"/>
      <c r="W39" s="283"/>
      <c r="X39" s="284"/>
      <c r="Y39" s="285"/>
      <c r="Z39" s="178"/>
      <c r="AA39" s="172"/>
      <c r="AB39" s="172"/>
      <c r="AC39" s="172"/>
      <c r="AD39" s="172"/>
      <c r="AE39" s="172"/>
      <c r="AF39" s="276"/>
      <c r="AG39" s="172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ht="13.5" customHeight="1">
      <c r="A40" s="1"/>
      <c r="B40" s="188"/>
      <c r="C40" s="188"/>
      <c r="D40" s="172"/>
      <c r="E40" s="172"/>
      <c r="F40" s="172"/>
      <c r="G40" s="172"/>
      <c r="H40" s="172"/>
      <c r="I40" s="172"/>
      <c r="J40" s="172"/>
      <c r="K40" s="172"/>
      <c r="L40" s="277"/>
      <c r="M40" s="277"/>
      <c r="N40" s="277"/>
      <c r="O40" s="277"/>
      <c r="P40" s="278"/>
      <c r="Q40" s="301"/>
      <c r="R40" s="278"/>
      <c r="S40" s="278"/>
      <c r="T40" s="172"/>
      <c r="U40" s="282"/>
      <c r="V40" s="282"/>
      <c r="W40" s="283"/>
      <c r="X40" s="284"/>
      <c r="Y40" s="285"/>
      <c r="Z40" s="178"/>
      <c r="AA40" s="172"/>
      <c r="AB40" s="172"/>
      <c r="AC40" s="172"/>
      <c r="AD40" s="172"/>
      <c r="AE40" s="172"/>
      <c r="AF40" s="276"/>
      <c r="AG40" s="172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ht="13.5" customHeight="1">
      <c r="A41" s="1"/>
      <c r="B41" s="188"/>
      <c r="C41" s="188"/>
      <c r="D41" s="172"/>
      <c r="E41" s="172"/>
      <c r="F41" s="172"/>
      <c r="G41" s="172"/>
      <c r="H41" s="172"/>
      <c r="I41" s="172"/>
      <c r="J41" s="172"/>
      <c r="K41" s="172"/>
      <c r="L41" s="277"/>
      <c r="M41" s="277"/>
      <c r="N41" s="277"/>
      <c r="O41" s="277"/>
      <c r="P41" s="278"/>
      <c r="Q41" s="278"/>
      <c r="R41" s="278"/>
      <c r="S41" s="278"/>
      <c r="T41" s="172"/>
      <c r="U41" s="282"/>
      <c r="V41" s="282"/>
      <c r="W41" s="283"/>
      <c r="X41" s="284"/>
      <c r="Y41" s="285"/>
      <c r="Z41" s="178"/>
      <c r="AA41" s="172"/>
      <c r="AB41" s="172"/>
      <c r="AC41" s="172"/>
      <c r="AD41" s="172"/>
      <c r="AE41" s="172"/>
      <c r="AF41" s="276"/>
      <c r="AG41" s="172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ht="13.5" customHeight="1">
      <c r="A42" s="1"/>
      <c r="B42" s="188"/>
      <c r="C42" s="188"/>
      <c r="D42" s="172"/>
      <c r="E42" s="172"/>
      <c r="F42" s="172"/>
      <c r="G42" s="172"/>
      <c r="H42" s="172"/>
      <c r="I42" s="172"/>
      <c r="J42" s="172"/>
      <c r="K42" s="172"/>
      <c r="L42" s="277"/>
      <c r="M42" s="277"/>
      <c r="N42" s="277"/>
      <c r="O42" s="277"/>
      <c r="P42" s="278"/>
      <c r="Q42" s="278"/>
      <c r="R42" s="278"/>
      <c r="S42" s="278"/>
      <c r="T42" s="172"/>
      <c r="U42" s="282"/>
      <c r="V42" s="282"/>
      <c r="W42" s="283"/>
      <c r="X42" s="284"/>
      <c r="Y42" s="285"/>
      <c r="Z42" s="178"/>
      <c r="AA42" s="172"/>
      <c r="AB42" s="172"/>
      <c r="AC42" s="172"/>
      <c r="AD42" s="172"/>
      <c r="AE42" s="172"/>
      <c r="AF42" s="276"/>
      <c r="AG42" s="172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ht="13.5" customHeight="1">
      <c r="A43" s="1"/>
      <c r="B43" s="188"/>
      <c r="C43" s="188"/>
      <c r="D43" s="172"/>
      <c r="E43" s="172"/>
      <c r="F43" s="172"/>
      <c r="G43" s="172"/>
      <c r="H43" s="172"/>
      <c r="I43" s="172"/>
      <c r="J43" s="172"/>
      <c r="K43" s="172"/>
      <c r="L43" s="277"/>
      <c r="M43" s="277"/>
      <c r="N43" s="277"/>
      <c r="O43" s="277"/>
      <c r="P43" s="278"/>
      <c r="Q43" s="278"/>
      <c r="R43" s="278"/>
      <c r="S43" s="278"/>
      <c r="T43" s="172"/>
      <c r="U43" s="282"/>
      <c r="V43" s="282"/>
      <c r="W43" s="283"/>
      <c r="X43" s="284"/>
      <c r="Y43" s="285"/>
      <c r="Z43" s="178"/>
      <c r="AA43" s="276"/>
      <c r="AB43" s="172"/>
      <c r="AC43" s="172"/>
      <c r="AD43" s="172"/>
      <c r="AE43" s="172"/>
      <c r="AF43" s="276"/>
      <c r="AG43" s="172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ht="13.5" customHeight="1">
      <c r="A44" s="1"/>
      <c r="B44" s="188"/>
      <c r="C44" s="188"/>
      <c r="D44" s="172"/>
      <c r="E44" s="172"/>
      <c r="F44" s="172"/>
      <c r="G44" s="172"/>
      <c r="H44" s="172"/>
      <c r="I44" s="172"/>
      <c r="J44" s="172"/>
      <c r="K44" s="172"/>
      <c r="L44" s="277"/>
      <c r="M44" s="277"/>
      <c r="N44" s="277"/>
      <c r="O44" s="277"/>
      <c r="P44" s="278"/>
      <c r="Q44" s="278"/>
      <c r="R44" s="278"/>
      <c r="S44" s="278"/>
      <c r="T44" s="172"/>
      <c r="U44" s="282"/>
      <c r="V44" s="282"/>
      <c r="W44" s="283"/>
      <c r="X44" s="284"/>
      <c r="Y44" s="285"/>
      <c r="Z44" s="178"/>
      <c r="AA44" s="276"/>
      <c r="AB44" s="172"/>
      <c r="AC44" s="172"/>
      <c r="AD44" s="172"/>
      <c r="AE44" s="172"/>
      <c r="AF44" s="276"/>
      <c r="AG44" s="172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ht="13.5" customHeight="1">
      <c r="A45" s="1"/>
      <c r="B45" s="188"/>
      <c r="C45" s="188"/>
      <c r="D45" s="172"/>
      <c r="E45" s="172"/>
      <c r="F45" s="172"/>
      <c r="G45" s="172"/>
      <c r="H45" s="172"/>
      <c r="I45" s="172"/>
      <c r="J45" s="172"/>
      <c r="K45" s="172"/>
      <c r="L45" s="277"/>
      <c r="M45" s="277"/>
      <c r="N45" s="277"/>
      <c r="O45" s="277"/>
      <c r="P45" s="278"/>
      <c r="Q45" s="278"/>
      <c r="R45" s="278"/>
      <c r="S45" s="278"/>
      <c r="T45" s="172"/>
      <c r="U45" s="282"/>
      <c r="V45" s="282"/>
      <c r="W45" s="283"/>
      <c r="X45" s="284"/>
      <c r="Y45" s="285"/>
      <c r="Z45" s="178"/>
      <c r="AA45" s="276"/>
      <c r="AB45" s="172"/>
      <c r="AC45" s="172"/>
      <c r="AD45" s="172"/>
      <c r="AE45" s="172"/>
      <c r="AF45" s="276"/>
      <c r="AG45" s="172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ht="13.5" customHeight="1">
      <c r="A46" s="1"/>
      <c r="B46" s="188"/>
      <c r="C46" s="188"/>
      <c r="D46" s="172"/>
      <c r="E46" s="172"/>
      <c r="F46" s="172"/>
      <c r="G46" s="172"/>
      <c r="H46" s="172"/>
      <c r="I46" s="172"/>
      <c r="J46" s="172"/>
      <c r="K46" s="172"/>
      <c r="L46" s="277"/>
      <c r="M46" s="277"/>
      <c r="N46" s="277"/>
      <c r="O46" s="277"/>
      <c r="P46" s="278"/>
      <c r="Q46" s="278"/>
      <c r="R46" s="278"/>
      <c r="S46" s="278"/>
      <c r="T46" s="172"/>
      <c r="U46" s="282"/>
      <c r="V46" s="282"/>
      <c r="W46" s="283"/>
      <c r="X46" s="284"/>
      <c r="Y46" s="285"/>
      <c r="Z46" s="178"/>
      <c r="AA46" s="172"/>
      <c r="AB46" s="172"/>
      <c r="AC46" s="172"/>
      <c r="AD46" s="172"/>
      <c r="AE46" s="172"/>
      <c r="AF46" s="276"/>
      <c r="AG46" s="172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ht="13.5" customHeight="1">
      <c r="A47" s="1"/>
      <c r="B47" s="188"/>
      <c r="C47" s="188"/>
      <c r="D47" s="172"/>
      <c r="E47" s="172"/>
      <c r="F47" s="172"/>
      <c r="G47" s="172"/>
      <c r="H47" s="172"/>
      <c r="I47" s="172"/>
      <c r="J47" s="172"/>
      <c r="K47" s="172"/>
      <c r="L47" s="277"/>
      <c r="M47" s="277"/>
      <c r="N47" s="277"/>
      <c r="O47" s="277"/>
      <c r="P47" s="278"/>
      <c r="Q47" s="278"/>
      <c r="R47" s="278"/>
      <c r="S47" s="278"/>
      <c r="T47" s="172"/>
      <c r="U47" s="282"/>
      <c r="V47" s="282"/>
      <c r="W47" s="283"/>
      <c r="X47" s="284"/>
      <c r="Y47" s="285"/>
      <c r="Z47" s="178"/>
      <c r="AA47" s="172"/>
      <c r="AB47" s="172"/>
      <c r="AC47" s="172"/>
      <c r="AD47" s="172"/>
      <c r="AE47" s="172"/>
      <c r="AF47" s="276"/>
      <c r="AG47" s="172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ht="13.5" customHeight="1">
      <c r="A48" s="1"/>
      <c r="B48" s="188"/>
      <c r="C48" s="188"/>
      <c r="D48" s="172"/>
      <c r="E48" s="172"/>
      <c r="F48" s="172"/>
      <c r="G48" s="172"/>
      <c r="H48" s="172"/>
      <c r="I48" s="172"/>
      <c r="J48" s="172"/>
      <c r="K48" s="172"/>
      <c r="L48" s="277"/>
      <c r="M48" s="277"/>
      <c r="N48" s="277"/>
      <c r="O48" s="277"/>
      <c r="P48" s="278"/>
      <c r="Q48" s="278"/>
      <c r="R48" s="278"/>
      <c r="S48" s="278"/>
      <c r="T48" s="172"/>
      <c r="U48" s="282"/>
      <c r="V48" s="282"/>
      <c r="W48" s="283"/>
      <c r="X48" s="284"/>
      <c r="Y48" s="285"/>
      <c r="Z48" s="178"/>
      <c r="AA48" s="172"/>
      <c r="AB48" s="172"/>
      <c r="AC48" s="172"/>
      <c r="AD48" s="172"/>
      <c r="AE48" s="172"/>
      <c r="AF48" s="276"/>
      <c r="AG48" s="172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ht="13.5" customHeight="1">
      <c r="A49" s="1"/>
      <c r="B49" s="188"/>
      <c r="C49" s="188"/>
      <c r="D49" s="172"/>
      <c r="E49" s="172"/>
      <c r="F49" s="172"/>
      <c r="G49" s="172"/>
      <c r="H49" s="172"/>
      <c r="I49" s="172"/>
      <c r="J49" s="172"/>
      <c r="K49" s="172"/>
      <c r="L49" s="277"/>
      <c r="M49" s="277"/>
      <c r="N49" s="277"/>
      <c r="O49" s="277"/>
      <c r="P49" s="278"/>
      <c r="Q49" s="278"/>
      <c r="R49" s="278"/>
      <c r="S49" s="278"/>
      <c r="T49" s="172"/>
      <c r="U49" s="282"/>
      <c r="V49" s="282"/>
      <c r="W49" s="283"/>
      <c r="X49" s="284"/>
      <c r="Y49" s="285"/>
      <c r="Z49" s="178"/>
      <c r="AA49" s="172"/>
      <c r="AB49" s="172"/>
      <c r="AC49" s="172"/>
      <c r="AD49" s="172"/>
      <c r="AE49" s="172"/>
      <c r="AF49" s="276"/>
      <c r="AG49" s="172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ht="13.5" customHeight="1">
      <c r="A50" s="1"/>
      <c r="B50" s="188"/>
      <c r="C50" s="188"/>
      <c r="D50" s="172"/>
      <c r="E50" s="172"/>
      <c r="F50" s="172"/>
      <c r="G50" s="172"/>
      <c r="H50" s="172"/>
      <c r="I50" s="172"/>
      <c r="J50" s="172"/>
      <c r="K50" s="172"/>
      <c r="L50" s="277"/>
      <c r="M50" s="277"/>
      <c r="N50" s="277"/>
      <c r="O50" s="277"/>
      <c r="P50" s="278"/>
      <c r="Q50" s="278"/>
      <c r="R50" s="278"/>
      <c r="S50" s="278"/>
      <c r="T50" s="172"/>
      <c r="U50" s="282"/>
      <c r="V50" s="282"/>
      <c r="W50" s="283"/>
      <c r="X50" s="284"/>
      <c r="Y50" s="285"/>
      <c r="Z50" s="178"/>
      <c r="AA50" s="172"/>
      <c r="AB50" s="172"/>
      <c r="AC50" s="172"/>
      <c r="AD50" s="172"/>
      <c r="AE50" s="172"/>
      <c r="AF50" s="276"/>
      <c r="AG50" s="172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ht="13.5" customHeight="1">
      <c r="A51" s="1"/>
      <c r="B51" s="188"/>
      <c r="C51" s="188"/>
      <c r="D51" s="172"/>
      <c r="E51" s="172"/>
      <c r="F51" s="172"/>
      <c r="G51" s="172"/>
      <c r="H51" s="172"/>
      <c r="I51" s="172"/>
      <c r="J51" s="172"/>
      <c r="K51" s="172"/>
      <c r="L51" s="277"/>
      <c r="M51" s="277"/>
      <c r="N51" s="277"/>
      <c r="O51" s="277"/>
      <c r="P51" s="278"/>
      <c r="Q51" s="278"/>
      <c r="R51" s="278"/>
      <c r="S51" s="278"/>
      <c r="T51" s="172"/>
      <c r="U51" s="282"/>
      <c r="V51" s="282"/>
      <c r="W51" s="283"/>
      <c r="X51" s="284"/>
      <c r="Y51" s="285"/>
      <c r="Z51" s="178"/>
      <c r="AA51" s="172"/>
      <c r="AB51" s="172"/>
      <c r="AC51" s="172"/>
      <c r="AD51" s="172"/>
      <c r="AE51" s="172"/>
      <c r="AF51" s="276"/>
      <c r="AG51" s="17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ht="13.5" customHeight="1">
      <c r="A52" s="1"/>
      <c r="B52" s="188"/>
      <c r="C52" s="188"/>
      <c r="D52" s="172"/>
      <c r="E52" s="172"/>
      <c r="F52" s="172"/>
      <c r="G52" s="172"/>
      <c r="H52" s="172"/>
      <c r="I52" s="172"/>
      <c r="J52" s="172"/>
      <c r="K52" s="172"/>
      <c r="L52" s="277"/>
      <c r="M52" s="277"/>
      <c r="N52" s="277"/>
      <c r="O52" s="277"/>
      <c r="P52" s="278"/>
      <c r="Q52" s="278"/>
      <c r="R52" s="278"/>
      <c r="S52" s="278"/>
      <c r="T52" s="172"/>
      <c r="U52" s="282"/>
      <c r="V52" s="282"/>
      <c r="W52" s="283"/>
      <c r="X52" s="284"/>
      <c r="Y52" s="285"/>
      <c r="Z52" s="178"/>
      <c r="AA52" s="172"/>
      <c r="AB52" s="172"/>
      <c r="AC52" s="172"/>
      <c r="AD52" s="172"/>
      <c r="AE52" s="172"/>
      <c r="AF52" s="276"/>
      <c r="AG52" s="172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ht="13.5" customHeight="1">
      <c r="A53" s="1"/>
      <c r="B53" s="188"/>
      <c r="C53" s="188"/>
      <c r="D53" s="172"/>
      <c r="E53" s="172"/>
      <c r="F53" s="172"/>
      <c r="G53" s="172"/>
      <c r="H53" s="172"/>
      <c r="I53" s="172"/>
      <c r="J53" s="172"/>
      <c r="K53" s="172"/>
      <c r="L53" s="277"/>
      <c r="M53" s="277"/>
      <c r="N53" s="277"/>
      <c r="O53" s="277"/>
      <c r="P53" s="278"/>
      <c r="Q53" s="278"/>
      <c r="R53" s="278"/>
      <c r="S53" s="278"/>
      <c r="T53" s="172"/>
      <c r="U53" s="282"/>
      <c r="V53" s="282"/>
      <c r="W53" s="283"/>
      <c r="X53" s="284"/>
      <c r="Y53" s="285"/>
      <c r="Z53" s="178"/>
      <c r="AA53" s="172"/>
      <c r="AB53" s="172"/>
      <c r="AC53" s="172"/>
      <c r="AD53" s="172"/>
      <c r="AE53" s="172"/>
      <c r="AF53" s="276"/>
      <c r="AG53" s="17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ht="13.5" customHeight="1">
      <c r="A54" s="1"/>
      <c r="B54" s="188"/>
      <c r="C54" s="188"/>
      <c r="D54" s="172"/>
      <c r="E54" s="172"/>
      <c r="F54" s="172"/>
      <c r="G54" s="172"/>
      <c r="H54" s="172"/>
      <c r="I54" s="172"/>
      <c r="J54" s="172"/>
      <c r="K54" s="172"/>
      <c r="L54" s="277"/>
      <c r="M54" s="277"/>
      <c r="N54" s="277"/>
      <c r="O54" s="277"/>
      <c r="P54" s="278"/>
      <c r="Q54" s="278"/>
      <c r="R54" s="278"/>
      <c r="S54" s="278"/>
      <c r="T54" s="172"/>
      <c r="U54" s="282"/>
      <c r="V54" s="282"/>
      <c r="W54" s="283"/>
      <c r="X54" s="284"/>
      <c r="Y54" s="285"/>
      <c r="Z54" s="178"/>
      <c r="AA54" s="172"/>
      <c r="AB54" s="172"/>
      <c r="AC54" s="172"/>
      <c r="AD54" s="172"/>
      <c r="AE54" s="172"/>
      <c r="AF54" s="276"/>
      <c r="AG54" s="172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ht="13.5" customHeight="1">
      <c r="A55" s="1"/>
      <c r="B55" s="188"/>
      <c r="C55" s="188"/>
      <c r="D55" s="172"/>
      <c r="E55" s="172"/>
      <c r="F55" s="172"/>
      <c r="G55" s="172"/>
      <c r="H55" s="172"/>
      <c r="I55" s="172"/>
      <c r="J55" s="172"/>
      <c r="K55" s="172"/>
      <c r="L55" s="277"/>
      <c r="M55" s="277"/>
      <c r="N55" s="277"/>
      <c r="O55" s="277"/>
      <c r="P55" s="278"/>
      <c r="Q55" s="278"/>
      <c r="R55" s="278"/>
      <c r="S55" s="278"/>
      <c r="T55" s="172"/>
      <c r="U55" s="282"/>
      <c r="V55" s="282"/>
      <c r="W55" s="283"/>
      <c r="X55" s="284"/>
      <c r="Y55" s="285"/>
      <c r="Z55" s="178"/>
      <c r="AA55" s="172"/>
      <c r="AB55" s="172"/>
      <c r="AC55" s="172"/>
      <c r="AD55" s="172"/>
      <c r="AE55" s="172"/>
      <c r="AF55" s="276"/>
      <c r="AG55" s="172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ht="13.5" customHeight="1">
      <c r="A56" s="1"/>
      <c r="B56" s="188"/>
      <c r="C56" s="188"/>
      <c r="D56" s="172"/>
      <c r="E56" s="172"/>
      <c r="F56" s="172"/>
      <c r="G56" s="172"/>
      <c r="H56" s="172"/>
      <c r="I56" s="172"/>
      <c r="J56" s="172"/>
      <c r="K56" s="172"/>
      <c r="L56" s="277"/>
      <c r="M56" s="277"/>
      <c r="N56" s="277"/>
      <c r="O56" s="277"/>
      <c r="P56" s="278"/>
      <c r="Q56" s="278"/>
      <c r="R56" s="278"/>
      <c r="S56" s="278"/>
      <c r="T56" s="172"/>
      <c r="U56" s="282"/>
      <c r="V56" s="282"/>
      <c r="W56" s="283"/>
      <c r="X56" s="284"/>
      <c r="Y56" s="285"/>
      <c r="Z56" s="178"/>
      <c r="AA56" s="172"/>
      <c r="AB56" s="172"/>
      <c r="AC56" s="172"/>
      <c r="AD56" s="172"/>
      <c r="AE56" s="172"/>
      <c r="AF56" s="276"/>
      <c r="AG56" s="172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ht="13.5" customHeight="1">
      <c r="A57" s="1"/>
      <c r="B57" s="188"/>
      <c r="C57" s="188"/>
      <c r="D57" s="172"/>
      <c r="E57" s="172"/>
      <c r="F57" s="172"/>
      <c r="G57" s="172"/>
      <c r="H57" s="172"/>
      <c r="I57" s="172"/>
      <c r="J57" s="172"/>
      <c r="K57" s="172"/>
      <c r="L57" s="277"/>
      <c r="M57" s="277"/>
      <c r="N57" s="277"/>
      <c r="O57" s="277"/>
      <c r="P57" s="278"/>
      <c r="Q57" s="278"/>
      <c r="R57" s="278"/>
      <c r="S57" s="278"/>
      <c r="T57" s="172"/>
      <c r="U57" s="282"/>
      <c r="V57" s="282"/>
      <c r="W57" s="283"/>
      <c r="X57" s="284"/>
      <c r="Y57" s="285"/>
      <c r="Z57" s="178"/>
      <c r="AA57" s="172"/>
      <c r="AB57" s="172"/>
      <c r="AC57" s="172"/>
      <c r="AD57" s="172"/>
      <c r="AE57" s="172"/>
      <c r="AF57" s="276"/>
      <c r="AG57" s="172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ht="13.5" customHeight="1">
      <c r="A58" s="1"/>
      <c r="B58" s="188"/>
      <c r="C58" s="188"/>
      <c r="D58" s="172"/>
      <c r="E58" s="172"/>
      <c r="F58" s="172"/>
      <c r="G58" s="172"/>
      <c r="H58" s="172"/>
      <c r="I58" s="172"/>
      <c r="J58" s="172"/>
      <c r="K58" s="172"/>
      <c r="L58" s="277"/>
      <c r="M58" s="277"/>
      <c r="N58" s="277"/>
      <c r="O58" s="277"/>
      <c r="P58" s="278"/>
      <c r="Q58" s="278"/>
      <c r="R58" s="278"/>
      <c r="S58" s="278"/>
      <c r="T58" s="172"/>
      <c r="U58" s="282"/>
      <c r="V58" s="282"/>
      <c r="W58" s="283"/>
      <c r="X58" s="284"/>
      <c r="Y58" s="285"/>
      <c r="Z58" s="178"/>
      <c r="AA58" s="172"/>
      <c r="AB58" s="172"/>
      <c r="AC58" s="172"/>
      <c r="AD58" s="172"/>
      <c r="AE58" s="172"/>
      <c r="AF58" s="276"/>
      <c r="AG58" s="172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ht="13.5" customHeight="1">
      <c r="A59" s="1"/>
      <c r="B59" s="188"/>
      <c r="C59" s="188"/>
      <c r="D59" s="172"/>
      <c r="E59" s="172"/>
      <c r="F59" s="172"/>
      <c r="G59" s="172"/>
      <c r="H59" s="172"/>
      <c r="I59" s="172"/>
      <c r="J59" s="172"/>
      <c r="K59" s="172"/>
      <c r="L59" s="277"/>
      <c r="M59" s="277"/>
      <c r="N59" s="277"/>
      <c r="O59" s="277"/>
      <c r="P59" s="278"/>
      <c r="Q59" s="278"/>
      <c r="R59" s="278"/>
      <c r="S59" s="278"/>
      <c r="T59" s="172"/>
      <c r="U59" s="282"/>
      <c r="V59" s="282"/>
      <c r="W59" s="283"/>
      <c r="X59" s="284"/>
      <c r="Y59" s="285"/>
      <c r="Z59" s="178"/>
      <c r="AA59" s="172"/>
      <c r="AB59" s="172"/>
      <c r="AC59" s="172"/>
      <c r="AD59" s="172"/>
      <c r="AE59" s="172"/>
      <c r="AF59" s="276"/>
      <c r="AG59" s="172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ht="13.5" customHeight="1">
      <c r="A60" s="1"/>
      <c r="B60" s="188"/>
      <c r="C60" s="188"/>
      <c r="D60" s="172"/>
      <c r="E60" s="172"/>
      <c r="F60" s="172"/>
      <c r="G60" s="172"/>
      <c r="H60" s="172"/>
      <c r="I60" s="172"/>
      <c r="J60" s="172"/>
      <c r="K60" s="172"/>
      <c r="L60" s="277"/>
      <c r="M60" s="277"/>
      <c r="N60" s="277"/>
      <c r="O60" s="277"/>
      <c r="P60" s="278"/>
      <c r="Q60" s="278"/>
      <c r="R60" s="278"/>
      <c r="S60" s="278"/>
      <c r="T60" s="172"/>
      <c r="U60" s="282"/>
      <c r="V60" s="282"/>
      <c r="W60" s="283"/>
      <c r="X60" s="284"/>
      <c r="Y60" s="285"/>
      <c r="Z60" s="178"/>
      <c r="AA60" s="172"/>
      <c r="AB60" s="172"/>
      <c r="AC60" s="172"/>
      <c r="AD60" s="172"/>
      <c r="AE60" s="172"/>
      <c r="AF60" s="276"/>
      <c r="AG60" s="172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ht="13.5" customHeight="1">
      <c r="A61" s="1"/>
      <c r="B61" s="188"/>
      <c r="C61" s="188"/>
      <c r="D61" s="172"/>
      <c r="E61" s="172"/>
      <c r="F61" s="172"/>
      <c r="G61" s="172"/>
      <c r="H61" s="172"/>
      <c r="I61" s="172"/>
      <c r="J61" s="172"/>
      <c r="K61" s="172"/>
      <c r="L61" s="277"/>
      <c r="M61" s="277"/>
      <c r="N61" s="277"/>
      <c r="O61" s="277"/>
      <c r="P61" s="278"/>
      <c r="Q61" s="278"/>
      <c r="R61" s="278"/>
      <c r="S61" s="278"/>
      <c r="T61" s="172"/>
      <c r="U61" s="282"/>
      <c r="V61" s="282"/>
      <c r="W61" s="283"/>
      <c r="X61" s="284"/>
      <c r="Y61" s="285"/>
      <c r="Z61" s="178"/>
      <c r="AA61" s="172"/>
      <c r="AB61" s="172"/>
      <c r="AC61" s="172"/>
      <c r="AD61" s="172"/>
      <c r="AE61" s="172"/>
      <c r="AF61" s="276"/>
      <c r="AG61" s="172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ht="13.5" customHeight="1">
      <c r="A62" s="1"/>
      <c r="B62" s="188"/>
      <c r="C62" s="188"/>
      <c r="D62" s="172"/>
      <c r="E62" s="172"/>
      <c r="F62" s="172"/>
      <c r="G62" s="172"/>
      <c r="H62" s="172"/>
      <c r="I62" s="172"/>
      <c r="J62" s="172"/>
      <c r="K62" s="172"/>
      <c r="L62" s="277"/>
      <c r="M62" s="277"/>
      <c r="N62" s="277"/>
      <c r="O62" s="277"/>
      <c r="P62" s="278"/>
      <c r="Q62" s="278"/>
      <c r="R62" s="278"/>
      <c r="S62" s="278"/>
      <c r="T62" s="172"/>
      <c r="U62" s="282"/>
      <c r="V62" s="282"/>
      <c r="W62" s="283"/>
      <c r="X62" s="284"/>
      <c r="Y62" s="285"/>
      <c r="Z62" s="178"/>
      <c r="AA62" s="172"/>
      <c r="AB62" s="172"/>
      <c r="AC62" s="172"/>
      <c r="AD62" s="172"/>
      <c r="AE62" s="172"/>
      <c r="AF62" s="276"/>
      <c r="AG62" s="172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ht="13.5" customHeight="1">
      <c r="A63" s="1"/>
      <c r="B63" s="188"/>
      <c r="C63" s="188"/>
      <c r="D63" s="172"/>
      <c r="E63" s="172"/>
      <c r="F63" s="172"/>
      <c r="G63" s="172"/>
      <c r="H63" s="172"/>
      <c r="I63" s="172"/>
      <c r="J63" s="172"/>
      <c r="K63" s="172"/>
      <c r="L63" s="277"/>
      <c r="M63" s="277"/>
      <c r="N63" s="277"/>
      <c r="O63" s="277"/>
      <c r="P63" s="278"/>
      <c r="Q63" s="278"/>
      <c r="R63" s="278"/>
      <c r="S63" s="278"/>
      <c r="T63" s="172"/>
      <c r="U63" s="282"/>
      <c r="V63" s="282"/>
      <c r="W63" s="283"/>
      <c r="X63" s="284"/>
      <c r="Y63" s="285"/>
      <c r="Z63" s="178"/>
      <c r="AA63" s="172"/>
      <c r="AB63" s="172"/>
      <c r="AC63" s="172"/>
      <c r="AD63" s="172"/>
      <c r="AE63" s="172"/>
      <c r="AF63" s="276"/>
      <c r="AG63" s="172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13.5" customHeight="1">
      <c r="A64" s="1"/>
      <c r="B64" s="188"/>
      <c r="C64" s="188"/>
      <c r="D64" s="172"/>
      <c r="E64" s="172"/>
      <c r="F64" s="172"/>
      <c r="G64" s="172"/>
      <c r="H64" s="172"/>
      <c r="I64" s="172"/>
      <c r="J64" s="172"/>
      <c r="K64" s="172"/>
      <c r="L64" s="277"/>
      <c r="M64" s="277"/>
      <c r="N64" s="277"/>
      <c r="O64" s="277"/>
      <c r="P64" s="278"/>
      <c r="Q64" s="278"/>
      <c r="R64" s="278"/>
      <c r="S64" s="278"/>
      <c r="T64" s="172"/>
      <c r="U64" s="282"/>
      <c r="V64" s="282"/>
      <c r="W64" s="283"/>
      <c r="X64" s="284"/>
      <c r="Y64" s="285"/>
      <c r="Z64" s="178"/>
      <c r="AA64" s="172"/>
      <c r="AB64" s="172"/>
      <c r="AC64" s="172"/>
      <c r="AD64" s="172"/>
      <c r="AE64" s="172"/>
      <c r="AF64" s="276"/>
      <c r="AG64" s="172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13.5" customHeight="1">
      <c r="A65" s="1"/>
      <c r="B65" s="188"/>
      <c r="C65" s="188"/>
      <c r="D65" s="172"/>
      <c r="E65" s="172"/>
      <c r="F65" s="172"/>
      <c r="G65" s="172"/>
      <c r="H65" s="172"/>
      <c r="I65" s="172"/>
      <c r="J65" s="172"/>
      <c r="K65" s="172"/>
      <c r="L65" s="277"/>
      <c r="M65" s="277"/>
      <c r="N65" s="277"/>
      <c r="O65" s="277"/>
      <c r="P65" s="278"/>
      <c r="Q65" s="278"/>
      <c r="R65" s="278"/>
      <c r="S65" s="278"/>
      <c r="T65" s="172"/>
      <c r="U65" s="282"/>
      <c r="V65" s="282"/>
      <c r="W65" s="283"/>
      <c r="X65" s="284"/>
      <c r="Y65" s="285"/>
      <c r="Z65" s="178"/>
      <c r="AA65" s="172"/>
      <c r="AB65" s="172"/>
      <c r="AC65" s="172"/>
      <c r="AD65" s="172"/>
      <c r="AE65" s="172"/>
      <c r="AF65" s="276"/>
      <c r="AG65" s="172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13.5" customHeight="1">
      <c r="A66" s="1"/>
      <c r="B66" s="188"/>
      <c r="C66" s="188"/>
      <c r="D66" s="172"/>
      <c r="E66" s="172"/>
      <c r="F66" s="172"/>
      <c r="G66" s="172"/>
      <c r="H66" s="172"/>
      <c r="I66" s="172"/>
      <c r="J66" s="172"/>
      <c r="K66" s="172"/>
      <c r="L66" s="277"/>
      <c r="M66" s="277"/>
      <c r="N66" s="277"/>
      <c r="O66" s="277"/>
      <c r="P66" s="278"/>
      <c r="Q66" s="278"/>
      <c r="R66" s="278"/>
      <c r="S66" s="278"/>
      <c r="T66" s="172"/>
      <c r="U66" s="282"/>
      <c r="V66" s="282"/>
      <c r="W66" s="283"/>
      <c r="X66" s="284"/>
      <c r="Y66" s="285"/>
      <c r="Z66" s="178"/>
      <c r="AA66" s="172"/>
      <c r="AB66" s="172"/>
      <c r="AC66" s="172"/>
      <c r="AD66" s="172"/>
      <c r="AE66" s="172"/>
      <c r="AF66" s="276"/>
      <c r="AG66" s="17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ht="13.5" customHeight="1">
      <c r="A67" s="1"/>
      <c r="B67" s="188"/>
      <c r="C67" s="188"/>
      <c r="D67" s="172"/>
      <c r="E67" s="172"/>
      <c r="F67" s="172"/>
      <c r="G67" s="172"/>
      <c r="H67" s="172"/>
      <c r="I67" s="172"/>
      <c r="J67" s="172"/>
      <c r="K67" s="172"/>
      <c r="L67" s="277"/>
      <c r="M67" s="277"/>
      <c r="N67" s="277"/>
      <c r="O67" s="277"/>
      <c r="P67" s="278"/>
      <c r="Q67" s="278"/>
      <c r="R67" s="278"/>
      <c r="S67" s="278"/>
      <c r="T67" s="172"/>
      <c r="U67" s="282"/>
      <c r="V67" s="282"/>
      <c r="W67" s="283"/>
      <c r="X67" s="284"/>
      <c r="Y67" s="285"/>
      <c r="Z67" s="178"/>
      <c r="AA67" s="172"/>
      <c r="AB67" s="172"/>
      <c r="AC67" s="172"/>
      <c r="AD67" s="172"/>
      <c r="AE67" s="172"/>
      <c r="AF67" s="276"/>
      <c r="AG67" s="172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ht="13.5" customHeight="1">
      <c r="A68" s="1"/>
      <c r="B68" s="188"/>
      <c r="C68" s="188"/>
      <c r="D68" s="172"/>
      <c r="E68" s="172"/>
      <c r="F68" s="172"/>
      <c r="G68" s="172"/>
      <c r="H68" s="172"/>
      <c r="I68" s="172"/>
      <c r="J68" s="172"/>
      <c r="K68" s="172"/>
      <c r="L68" s="277"/>
      <c r="M68" s="277"/>
      <c r="N68" s="277"/>
      <c r="O68" s="277"/>
      <c r="P68" s="278"/>
      <c r="Q68" s="278"/>
      <c r="R68" s="278"/>
      <c r="S68" s="278"/>
      <c r="T68" s="172"/>
      <c r="U68" s="282"/>
      <c r="V68" s="282"/>
      <c r="W68" s="283"/>
      <c r="X68" s="284"/>
      <c r="Y68" s="285"/>
      <c r="Z68" s="178"/>
      <c r="AA68" s="172"/>
      <c r="AB68" s="172"/>
      <c r="AC68" s="172"/>
      <c r="AD68" s="172"/>
      <c r="AE68" s="172"/>
      <c r="AF68" s="276"/>
      <c r="AG68" s="17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ht="13.5" customHeight="1">
      <c r="A69" s="1"/>
      <c r="B69" s="188"/>
      <c r="C69" s="188"/>
      <c r="D69" s="172"/>
      <c r="E69" s="172"/>
      <c r="F69" s="172"/>
      <c r="G69" s="172"/>
      <c r="H69" s="172"/>
      <c r="I69" s="172"/>
      <c r="J69" s="172"/>
      <c r="K69" s="172"/>
      <c r="L69" s="277"/>
      <c r="M69" s="277"/>
      <c r="N69" s="277"/>
      <c r="O69" s="277"/>
      <c r="P69" s="278"/>
      <c r="Q69" s="278"/>
      <c r="R69" s="278"/>
      <c r="S69" s="278"/>
      <c r="T69" s="172"/>
      <c r="U69" s="282"/>
      <c r="V69" s="282"/>
      <c r="W69" s="283"/>
      <c r="X69" s="284"/>
      <c r="Y69" s="285"/>
      <c r="Z69" s="178"/>
      <c r="AA69" s="172"/>
      <c r="AB69" s="172"/>
      <c r="AC69" s="172"/>
      <c r="AD69" s="172"/>
      <c r="AE69" s="172"/>
      <c r="AF69" s="276"/>
      <c r="AG69" s="17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13.5" customHeight="1">
      <c r="A70" s="1"/>
      <c r="B70" s="188"/>
      <c r="C70" s="188"/>
      <c r="D70" s="172"/>
      <c r="E70" s="172"/>
      <c r="F70" s="172"/>
      <c r="G70" s="172"/>
      <c r="H70" s="172"/>
      <c r="I70" s="172"/>
      <c r="J70" s="172"/>
      <c r="K70" s="172"/>
      <c r="L70" s="277"/>
      <c r="M70" s="277"/>
      <c r="N70" s="277"/>
      <c r="O70" s="277"/>
      <c r="P70" s="278"/>
      <c r="Q70" s="278"/>
      <c r="R70" s="278"/>
      <c r="S70" s="278"/>
      <c r="T70" s="172"/>
      <c r="U70" s="282"/>
      <c r="V70" s="282"/>
      <c r="W70" s="283"/>
      <c r="X70" s="284"/>
      <c r="Y70" s="285"/>
      <c r="Z70" s="178"/>
      <c r="AA70" s="172"/>
      <c r="AB70" s="172"/>
      <c r="AC70" s="172"/>
      <c r="AD70" s="172"/>
      <c r="AE70" s="172"/>
      <c r="AF70" s="276"/>
      <c r="AG70" s="172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13.5" customHeight="1">
      <c r="A71" s="1"/>
      <c r="B71" s="188"/>
      <c r="C71" s="188"/>
      <c r="D71" s="172"/>
      <c r="E71" s="172"/>
      <c r="F71" s="172"/>
      <c r="G71" s="172"/>
      <c r="H71" s="172"/>
      <c r="I71" s="172"/>
      <c r="J71" s="172"/>
      <c r="K71" s="172"/>
      <c r="L71" s="277"/>
      <c r="M71" s="277"/>
      <c r="N71" s="277"/>
      <c r="O71" s="277"/>
      <c r="P71" s="278"/>
      <c r="Q71" s="278"/>
      <c r="R71" s="278"/>
      <c r="S71" s="278"/>
      <c r="T71" s="172"/>
      <c r="U71" s="282"/>
      <c r="V71" s="282"/>
      <c r="W71" s="283"/>
      <c r="X71" s="284"/>
      <c r="Y71" s="285"/>
      <c r="Z71" s="178"/>
      <c r="AA71" s="172"/>
      <c r="AB71" s="172"/>
      <c r="AC71" s="172"/>
      <c r="AD71" s="172"/>
      <c r="AE71" s="172"/>
      <c r="AF71" s="276"/>
      <c r="AG71" s="172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13.5" customHeight="1">
      <c r="A72" s="1"/>
      <c r="B72" s="188"/>
      <c r="C72" s="188"/>
      <c r="D72" s="172"/>
      <c r="E72" s="172"/>
      <c r="F72" s="172"/>
      <c r="G72" s="172"/>
      <c r="H72" s="172"/>
      <c r="I72" s="172"/>
      <c r="J72" s="172"/>
      <c r="K72" s="172"/>
      <c r="L72" s="277"/>
      <c r="M72" s="277"/>
      <c r="N72" s="277"/>
      <c r="O72" s="277"/>
      <c r="P72" s="278"/>
      <c r="Q72" s="278"/>
      <c r="R72" s="278"/>
      <c r="S72" s="278"/>
      <c r="T72" s="172"/>
      <c r="U72" s="282"/>
      <c r="V72" s="282"/>
      <c r="W72" s="283"/>
      <c r="X72" s="284"/>
      <c r="Y72" s="285"/>
      <c r="Z72" s="178"/>
      <c r="AA72" s="172"/>
      <c r="AB72" s="172"/>
      <c r="AC72" s="172"/>
      <c r="AD72" s="172"/>
      <c r="AE72" s="172"/>
      <c r="AF72" s="276"/>
      <c r="AG72" s="172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13.5" customHeight="1">
      <c r="A73" s="1"/>
      <c r="B73" s="188"/>
      <c r="C73" s="188"/>
      <c r="D73" s="172"/>
      <c r="E73" s="172"/>
      <c r="F73" s="172"/>
      <c r="G73" s="172"/>
      <c r="H73" s="172"/>
      <c r="I73" s="172"/>
      <c r="J73" s="172"/>
      <c r="K73" s="172"/>
      <c r="L73" s="277"/>
      <c r="M73" s="277"/>
      <c r="N73" s="277"/>
      <c r="O73" s="277"/>
      <c r="P73" s="278"/>
      <c r="Q73" s="278"/>
      <c r="R73" s="278"/>
      <c r="S73" s="278"/>
      <c r="T73" s="172"/>
      <c r="U73" s="282"/>
      <c r="V73" s="282"/>
      <c r="W73" s="283"/>
      <c r="X73" s="284"/>
      <c r="Y73" s="285"/>
      <c r="Z73" s="178"/>
      <c r="AA73" s="172"/>
      <c r="AB73" s="172"/>
      <c r="AC73" s="172"/>
      <c r="AD73" s="172"/>
      <c r="AE73" s="172"/>
      <c r="AF73" s="276"/>
      <c r="AG73" s="172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13.5" customHeight="1">
      <c r="A74" s="1"/>
      <c r="B74" s="188"/>
      <c r="C74" s="188"/>
      <c r="D74" s="172"/>
      <c r="E74" s="172"/>
      <c r="F74" s="172"/>
      <c r="G74" s="172"/>
      <c r="H74" s="172"/>
      <c r="I74" s="172"/>
      <c r="J74" s="172"/>
      <c r="K74" s="172"/>
      <c r="L74" s="277"/>
      <c r="M74" s="277"/>
      <c r="N74" s="277"/>
      <c r="O74" s="277"/>
      <c r="P74" s="278"/>
      <c r="Q74" s="278"/>
      <c r="R74" s="278"/>
      <c r="S74" s="278"/>
      <c r="T74" s="172"/>
      <c r="U74" s="282"/>
      <c r="V74" s="282"/>
      <c r="W74" s="283"/>
      <c r="X74" s="284"/>
      <c r="Y74" s="285"/>
      <c r="Z74" s="178"/>
      <c r="AA74" s="172"/>
      <c r="AB74" s="172"/>
      <c r="AC74" s="172"/>
      <c r="AD74" s="172"/>
      <c r="AE74" s="172"/>
      <c r="AF74" s="276"/>
      <c r="AG74" s="172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13.5" customHeight="1">
      <c r="A75" s="1"/>
      <c r="B75" s="188"/>
      <c r="C75" s="188"/>
      <c r="D75" s="172"/>
      <c r="E75" s="172"/>
      <c r="F75" s="172"/>
      <c r="G75" s="172"/>
      <c r="H75" s="172"/>
      <c r="I75" s="172"/>
      <c r="J75" s="172"/>
      <c r="K75" s="172"/>
      <c r="L75" s="277"/>
      <c r="M75" s="277"/>
      <c r="N75" s="277"/>
      <c r="O75" s="277"/>
      <c r="P75" s="278"/>
      <c r="Q75" s="278"/>
      <c r="R75" s="278"/>
      <c r="S75" s="278"/>
      <c r="T75" s="172"/>
      <c r="U75" s="282"/>
      <c r="V75" s="282"/>
      <c r="W75" s="283"/>
      <c r="X75" s="284"/>
      <c r="Y75" s="285"/>
      <c r="Z75" s="178"/>
      <c r="AA75" s="172"/>
      <c r="AB75" s="172"/>
      <c r="AC75" s="172"/>
      <c r="AD75" s="172"/>
      <c r="AE75" s="172"/>
      <c r="AF75" s="276"/>
      <c r="AG75" s="172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13.5" customHeight="1">
      <c r="A76" s="1"/>
      <c r="B76" s="188"/>
      <c r="C76" s="188"/>
      <c r="D76" s="172"/>
      <c r="E76" s="172"/>
      <c r="F76" s="172"/>
      <c r="G76" s="172"/>
      <c r="H76" s="172"/>
      <c r="I76" s="172"/>
      <c r="J76" s="172"/>
      <c r="K76" s="172"/>
      <c r="L76" s="277"/>
      <c r="M76" s="277"/>
      <c r="N76" s="277"/>
      <c r="O76" s="277"/>
      <c r="P76" s="278"/>
      <c r="Q76" s="278"/>
      <c r="R76" s="278"/>
      <c r="S76" s="278"/>
      <c r="T76" s="172"/>
      <c r="U76" s="282"/>
      <c r="V76" s="282"/>
      <c r="W76" s="283"/>
      <c r="X76" s="284"/>
      <c r="Y76" s="285"/>
      <c r="Z76" s="178"/>
      <c r="AA76" s="172"/>
      <c r="AB76" s="172"/>
      <c r="AC76" s="172"/>
      <c r="AD76" s="172"/>
      <c r="AE76" s="172"/>
      <c r="AF76" s="276"/>
      <c r="AG76" s="172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13.5" customHeight="1">
      <c r="A77" s="1"/>
      <c r="B77" s="188"/>
      <c r="C77" s="188"/>
      <c r="D77" s="172"/>
      <c r="E77" s="172"/>
      <c r="F77" s="172"/>
      <c r="G77" s="172"/>
      <c r="H77" s="172"/>
      <c r="I77" s="172"/>
      <c r="J77" s="172"/>
      <c r="K77" s="172"/>
      <c r="L77" s="277"/>
      <c r="M77" s="277"/>
      <c r="N77" s="277"/>
      <c r="O77" s="277"/>
      <c r="P77" s="278"/>
      <c r="Q77" s="278"/>
      <c r="R77" s="278"/>
      <c r="S77" s="278"/>
      <c r="T77" s="172"/>
      <c r="U77" s="282"/>
      <c r="V77" s="282"/>
      <c r="W77" s="283"/>
      <c r="X77" s="284"/>
      <c r="Y77" s="285"/>
      <c r="Z77" s="178"/>
      <c r="AA77" s="172"/>
      <c r="AB77" s="172"/>
      <c r="AC77" s="172"/>
      <c r="AD77" s="172"/>
      <c r="AE77" s="172"/>
      <c r="AF77" s="276"/>
      <c r="AG77" s="172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13.5" customHeight="1">
      <c r="A78" s="1"/>
      <c r="B78" s="188"/>
      <c r="C78" s="188"/>
      <c r="D78" s="172"/>
      <c r="E78" s="172"/>
      <c r="F78" s="172"/>
      <c r="G78" s="172"/>
      <c r="H78" s="172"/>
      <c r="I78" s="172"/>
      <c r="J78" s="172"/>
      <c r="K78" s="172"/>
      <c r="L78" s="277"/>
      <c r="M78" s="277"/>
      <c r="N78" s="277"/>
      <c r="O78" s="277"/>
      <c r="P78" s="278"/>
      <c r="Q78" s="278"/>
      <c r="R78" s="278"/>
      <c r="S78" s="278"/>
      <c r="T78" s="172"/>
      <c r="U78" s="282"/>
      <c r="V78" s="282"/>
      <c r="W78" s="283"/>
      <c r="X78" s="284"/>
      <c r="Y78" s="285"/>
      <c r="Z78" s="178"/>
      <c r="AA78" s="172"/>
      <c r="AB78" s="172"/>
      <c r="AC78" s="172"/>
      <c r="AD78" s="172"/>
      <c r="AE78" s="172"/>
      <c r="AF78" s="276"/>
      <c r="AG78" s="17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13.5" customHeight="1">
      <c r="A79" s="1"/>
      <c r="B79" s="188"/>
      <c r="C79" s="188"/>
      <c r="D79" s="172"/>
      <c r="E79" s="172"/>
      <c r="F79" s="172"/>
      <c r="G79" s="172"/>
      <c r="H79" s="172"/>
      <c r="I79" s="172"/>
      <c r="J79" s="172"/>
      <c r="K79" s="172"/>
      <c r="L79" s="277"/>
      <c r="M79" s="277"/>
      <c r="N79" s="277"/>
      <c r="O79" s="277"/>
      <c r="P79" s="278"/>
      <c r="Q79" s="278"/>
      <c r="R79" s="278"/>
      <c r="S79" s="278"/>
      <c r="T79" s="172"/>
      <c r="U79" s="282"/>
      <c r="V79" s="282"/>
      <c r="W79" s="283"/>
      <c r="X79" s="284"/>
      <c r="Y79" s="285"/>
      <c r="Z79" s="178"/>
      <c r="AA79" s="172"/>
      <c r="AB79" s="172"/>
      <c r="AC79" s="172"/>
      <c r="AD79" s="172"/>
      <c r="AE79" s="172"/>
      <c r="AF79" s="276"/>
      <c r="AG79" s="172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ht="13.5" customHeight="1">
      <c r="A80" s="1"/>
      <c r="B80" s="188"/>
      <c r="C80" s="188"/>
      <c r="D80" s="172"/>
      <c r="E80" s="172"/>
      <c r="F80" s="172"/>
      <c r="G80" s="172"/>
      <c r="H80" s="172"/>
      <c r="I80" s="172"/>
      <c r="J80" s="172"/>
      <c r="K80" s="172"/>
      <c r="L80" s="277"/>
      <c r="M80" s="277"/>
      <c r="N80" s="277"/>
      <c r="O80" s="277"/>
      <c r="P80" s="278"/>
      <c r="Q80" s="278"/>
      <c r="R80" s="278"/>
      <c r="S80" s="278"/>
      <c r="T80" s="172"/>
      <c r="U80" s="282"/>
      <c r="V80" s="282"/>
      <c r="W80" s="283"/>
      <c r="X80" s="284"/>
      <c r="Y80" s="285"/>
      <c r="Z80" s="178"/>
      <c r="AA80" s="172"/>
      <c r="AB80" s="172"/>
      <c r="AC80" s="172"/>
      <c r="AD80" s="172"/>
      <c r="AE80" s="172"/>
      <c r="AF80" s="276"/>
      <c r="AG80" s="172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13.5" customHeight="1">
      <c r="A81" s="1"/>
      <c r="B81" s="188"/>
      <c r="C81" s="188"/>
      <c r="D81" s="172"/>
      <c r="E81" s="172"/>
      <c r="F81" s="172"/>
      <c r="G81" s="172"/>
      <c r="H81" s="172"/>
      <c r="I81" s="172"/>
      <c r="J81" s="172"/>
      <c r="K81" s="172"/>
      <c r="L81" s="277"/>
      <c r="M81" s="277"/>
      <c r="N81" s="277"/>
      <c r="O81" s="277"/>
      <c r="P81" s="278"/>
      <c r="Q81" s="278"/>
      <c r="R81" s="278"/>
      <c r="S81" s="278"/>
      <c r="T81" s="172"/>
      <c r="U81" s="282"/>
      <c r="V81" s="282"/>
      <c r="W81" s="283"/>
      <c r="X81" s="284"/>
      <c r="Y81" s="285"/>
      <c r="Z81" s="178"/>
      <c r="AA81" s="172"/>
      <c r="AB81" s="172"/>
      <c r="AC81" s="172"/>
      <c r="AD81" s="172"/>
      <c r="AE81" s="172"/>
      <c r="AF81" s="276"/>
      <c r="AG81" s="172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ht="13.5" customHeight="1">
      <c r="A82" s="1"/>
      <c r="B82" s="188"/>
      <c r="C82" s="188"/>
      <c r="D82" s="172"/>
      <c r="E82" s="172"/>
      <c r="F82" s="172"/>
      <c r="G82" s="172"/>
      <c r="H82" s="172"/>
      <c r="I82" s="172"/>
      <c r="J82" s="172"/>
      <c r="K82" s="172"/>
      <c r="L82" s="277"/>
      <c r="M82" s="277"/>
      <c r="N82" s="277"/>
      <c r="O82" s="277"/>
      <c r="P82" s="278"/>
      <c r="Q82" s="278"/>
      <c r="R82" s="278"/>
      <c r="S82" s="278"/>
      <c r="T82" s="172"/>
      <c r="U82" s="282"/>
      <c r="V82" s="282"/>
      <c r="W82" s="283"/>
      <c r="X82" s="284"/>
      <c r="Y82" s="285"/>
      <c r="Z82" s="178"/>
      <c r="AA82" s="172"/>
      <c r="AB82" s="172"/>
      <c r="AC82" s="172"/>
      <c r="AD82" s="172"/>
      <c r="AE82" s="172"/>
      <c r="AF82" s="276"/>
      <c r="AG82" s="172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13.5" customHeight="1">
      <c r="A83" s="1"/>
      <c r="B83" s="188"/>
      <c r="C83" s="188"/>
      <c r="D83" s="172"/>
      <c r="E83" s="172"/>
      <c r="F83" s="172"/>
      <c r="G83" s="172"/>
      <c r="H83" s="172"/>
      <c r="I83" s="172"/>
      <c r="J83" s="172"/>
      <c r="K83" s="172"/>
      <c r="L83" s="277"/>
      <c r="M83" s="277"/>
      <c r="N83" s="277"/>
      <c r="O83" s="277"/>
      <c r="P83" s="278"/>
      <c r="Q83" s="278"/>
      <c r="R83" s="278"/>
      <c r="S83" s="278"/>
      <c r="T83" s="172"/>
      <c r="U83" s="282"/>
      <c r="V83" s="282"/>
      <c r="W83" s="283"/>
      <c r="X83" s="284"/>
      <c r="Y83" s="285"/>
      <c r="Z83" s="178"/>
      <c r="AA83" s="172"/>
      <c r="AB83" s="172"/>
      <c r="AC83" s="172"/>
      <c r="AD83" s="172"/>
      <c r="AE83" s="172"/>
      <c r="AF83" s="276"/>
      <c r="AG83" s="172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ht="13.5" customHeight="1">
      <c r="A84" s="1"/>
      <c r="B84" s="188"/>
      <c r="C84" s="188"/>
      <c r="D84" s="172"/>
      <c r="E84" s="172"/>
      <c r="F84" s="172"/>
      <c r="G84" s="172"/>
      <c r="H84" s="172"/>
      <c r="I84" s="172"/>
      <c r="J84" s="172"/>
      <c r="K84" s="172"/>
      <c r="L84" s="277"/>
      <c r="M84" s="277"/>
      <c r="N84" s="277"/>
      <c r="O84" s="277"/>
      <c r="P84" s="278"/>
      <c r="Q84" s="278"/>
      <c r="R84" s="278"/>
      <c r="S84" s="278"/>
      <c r="T84" s="172"/>
      <c r="U84" s="282"/>
      <c r="V84" s="282"/>
      <c r="W84" s="283"/>
      <c r="X84" s="284"/>
      <c r="Y84" s="285"/>
      <c r="Z84" s="178"/>
      <c r="AA84" s="172"/>
      <c r="AB84" s="172"/>
      <c r="AC84" s="172"/>
      <c r="AD84" s="172"/>
      <c r="AE84" s="172"/>
      <c r="AF84" s="276"/>
      <c r="AG84" s="172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ht="13.5" customHeight="1">
      <c r="A85" s="1"/>
      <c r="B85" s="188"/>
      <c r="C85" s="188"/>
      <c r="D85" s="172"/>
      <c r="E85" s="172"/>
      <c r="F85" s="172"/>
      <c r="G85" s="172"/>
      <c r="H85" s="172"/>
      <c r="I85" s="172"/>
      <c r="J85" s="172"/>
      <c r="K85" s="172"/>
      <c r="L85" s="277"/>
      <c r="M85" s="277"/>
      <c r="N85" s="277"/>
      <c r="O85" s="277"/>
      <c r="P85" s="278"/>
      <c r="Q85" s="278"/>
      <c r="R85" s="278"/>
      <c r="S85" s="278"/>
      <c r="T85" s="172"/>
      <c r="U85" s="282"/>
      <c r="V85" s="282"/>
      <c r="W85" s="283"/>
      <c r="X85" s="284"/>
      <c r="Y85" s="285"/>
      <c r="Z85" s="178"/>
      <c r="AA85" s="172"/>
      <c r="AB85" s="172"/>
      <c r="AC85" s="172"/>
      <c r="AD85" s="172"/>
      <c r="AE85" s="172"/>
      <c r="AF85" s="276"/>
      <c r="AG85" s="172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ht="13.5" customHeight="1">
      <c r="A86" s="1"/>
      <c r="B86" s="188"/>
      <c r="C86" s="188"/>
      <c r="D86" s="172"/>
      <c r="E86" s="172"/>
      <c r="F86" s="172"/>
      <c r="G86" s="172"/>
      <c r="H86" s="172"/>
      <c r="I86" s="172"/>
      <c r="J86" s="172"/>
      <c r="K86" s="172"/>
      <c r="L86" s="277"/>
      <c r="M86" s="277"/>
      <c r="N86" s="277"/>
      <c r="O86" s="277"/>
      <c r="P86" s="278"/>
      <c r="Q86" s="278"/>
      <c r="R86" s="278"/>
      <c r="S86" s="278"/>
      <c r="T86" s="172"/>
      <c r="U86" s="282"/>
      <c r="V86" s="282"/>
      <c r="W86" s="283"/>
      <c r="X86" s="284"/>
      <c r="Y86" s="285"/>
      <c r="Z86" s="178"/>
      <c r="AA86" s="172"/>
      <c r="AB86" s="172"/>
      <c r="AC86" s="172"/>
      <c r="AD86" s="172"/>
      <c r="AE86" s="172"/>
      <c r="AF86" s="276"/>
      <c r="AG86" s="172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13.5" customHeight="1">
      <c r="A87" s="1"/>
      <c r="B87" s="188"/>
      <c r="C87" s="188"/>
      <c r="D87" s="172"/>
      <c r="E87" s="172"/>
      <c r="F87" s="172"/>
      <c r="G87" s="172"/>
      <c r="H87" s="172"/>
      <c r="I87" s="172"/>
      <c r="J87" s="172"/>
      <c r="K87" s="172"/>
      <c r="L87" s="277"/>
      <c r="M87" s="277"/>
      <c r="N87" s="277"/>
      <c r="O87" s="277"/>
      <c r="P87" s="278"/>
      <c r="Q87" s="278"/>
      <c r="R87" s="278"/>
      <c r="S87" s="278"/>
      <c r="T87" s="172"/>
      <c r="U87" s="282"/>
      <c r="V87" s="282"/>
      <c r="W87" s="283"/>
      <c r="X87" s="284"/>
      <c r="Y87" s="285"/>
      <c r="Z87" s="178"/>
      <c r="AA87" s="172"/>
      <c r="AB87" s="172"/>
      <c r="AC87" s="172"/>
      <c r="AD87" s="172"/>
      <c r="AE87" s="172"/>
      <c r="AF87" s="276"/>
      <c r="AG87" s="17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13.5" customHeight="1">
      <c r="A88" s="1"/>
      <c r="B88" s="188"/>
      <c r="C88" s="188"/>
      <c r="D88" s="172"/>
      <c r="E88" s="172"/>
      <c r="F88" s="172"/>
      <c r="G88" s="172"/>
      <c r="H88" s="172"/>
      <c r="I88" s="172"/>
      <c r="J88" s="172"/>
      <c r="K88" s="172"/>
      <c r="L88" s="277"/>
      <c r="M88" s="277"/>
      <c r="N88" s="277"/>
      <c r="O88" s="277"/>
      <c r="P88" s="278"/>
      <c r="Q88" s="278"/>
      <c r="R88" s="278"/>
      <c r="S88" s="278"/>
      <c r="T88" s="172"/>
      <c r="U88" s="282"/>
      <c r="V88" s="282"/>
      <c r="W88" s="283"/>
      <c r="X88" s="284"/>
      <c r="Y88" s="285"/>
      <c r="Z88" s="178"/>
      <c r="AA88" s="172"/>
      <c r="AB88" s="172"/>
      <c r="AC88" s="172"/>
      <c r="AD88" s="172"/>
      <c r="AE88" s="172"/>
      <c r="AF88" s="276"/>
      <c r="AG88" s="17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13.5" customHeight="1">
      <c r="A89" s="1"/>
      <c r="B89" s="188"/>
      <c r="C89" s="188"/>
      <c r="D89" s="172"/>
      <c r="E89" s="172"/>
      <c r="F89" s="172"/>
      <c r="G89" s="172"/>
      <c r="H89" s="172"/>
      <c r="I89" s="172"/>
      <c r="J89" s="172"/>
      <c r="K89" s="172"/>
      <c r="L89" s="277"/>
      <c r="M89" s="277"/>
      <c r="N89" s="277"/>
      <c r="O89" s="277"/>
      <c r="P89" s="278"/>
      <c r="Q89" s="278"/>
      <c r="R89" s="278"/>
      <c r="S89" s="278"/>
      <c r="T89" s="172"/>
      <c r="U89" s="282"/>
      <c r="V89" s="282"/>
      <c r="W89" s="283"/>
      <c r="X89" s="284"/>
      <c r="Y89" s="285"/>
      <c r="Z89" s="178"/>
      <c r="AA89" s="172"/>
      <c r="AB89" s="172"/>
      <c r="AC89" s="172"/>
      <c r="AD89" s="172"/>
      <c r="AE89" s="172"/>
      <c r="AF89" s="276"/>
      <c r="AG89" s="172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13.5" customHeight="1">
      <c r="A90" s="1"/>
      <c r="B90" s="188"/>
      <c r="C90" s="188"/>
      <c r="D90" s="172"/>
      <c r="E90" s="172"/>
      <c r="F90" s="172"/>
      <c r="G90" s="172"/>
      <c r="H90" s="172"/>
      <c r="I90" s="172"/>
      <c r="J90" s="172"/>
      <c r="K90" s="172"/>
      <c r="L90" s="277"/>
      <c r="M90" s="277"/>
      <c r="N90" s="277"/>
      <c r="O90" s="277"/>
      <c r="P90" s="278"/>
      <c r="Q90" s="278"/>
      <c r="R90" s="278"/>
      <c r="S90" s="278"/>
      <c r="T90" s="172"/>
      <c r="U90" s="282"/>
      <c r="V90" s="282"/>
      <c r="W90" s="283"/>
      <c r="X90" s="284"/>
      <c r="Y90" s="285"/>
      <c r="Z90" s="178"/>
      <c r="AA90" s="172"/>
      <c r="AB90" s="172"/>
      <c r="AC90" s="172"/>
      <c r="AD90" s="172"/>
      <c r="AE90" s="172"/>
      <c r="AF90" s="276"/>
      <c r="AG90" s="172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13.5" customHeight="1">
      <c r="A91" s="1"/>
      <c r="B91" s="188"/>
      <c r="C91" s="188"/>
      <c r="D91" s="172"/>
      <c r="E91" s="172"/>
      <c r="F91" s="172"/>
      <c r="G91" s="172"/>
      <c r="H91" s="172"/>
      <c r="I91" s="172"/>
      <c r="J91" s="172"/>
      <c r="K91" s="172"/>
      <c r="L91" s="277"/>
      <c r="M91" s="277"/>
      <c r="N91" s="277"/>
      <c r="O91" s="277"/>
      <c r="P91" s="278"/>
      <c r="Q91" s="278"/>
      <c r="R91" s="278"/>
      <c r="S91" s="278"/>
      <c r="T91" s="172"/>
      <c r="U91" s="282"/>
      <c r="V91" s="282"/>
      <c r="W91" s="283"/>
      <c r="X91" s="284"/>
      <c r="Y91" s="285"/>
      <c r="Z91" s="178"/>
      <c r="AA91" s="172"/>
      <c r="AB91" s="172"/>
      <c r="AC91" s="172"/>
      <c r="AD91" s="172"/>
      <c r="AE91" s="172"/>
      <c r="AF91" s="276"/>
      <c r="AG91" s="172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13.5" customHeight="1">
      <c r="A92" s="1"/>
      <c r="B92" s="188"/>
      <c r="C92" s="188"/>
      <c r="D92" s="172"/>
      <c r="E92" s="172"/>
      <c r="F92" s="172"/>
      <c r="G92" s="172"/>
      <c r="H92" s="172"/>
      <c r="I92" s="172"/>
      <c r="J92" s="172"/>
      <c r="K92" s="172"/>
      <c r="L92" s="277"/>
      <c r="M92" s="277"/>
      <c r="N92" s="277"/>
      <c r="O92" s="277"/>
      <c r="P92" s="278"/>
      <c r="Q92" s="278"/>
      <c r="R92" s="278"/>
      <c r="S92" s="278"/>
      <c r="T92" s="172"/>
      <c r="U92" s="282"/>
      <c r="V92" s="282"/>
      <c r="W92" s="283"/>
      <c r="X92" s="284"/>
      <c r="Y92" s="285"/>
      <c r="Z92" s="178"/>
      <c r="AA92" s="172"/>
      <c r="AB92" s="172"/>
      <c r="AC92" s="172"/>
      <c r="AD92" s="172"/>
      <c r="AE92" s="172"/>
      <c r="AF92" s="276"/>
      <c r="AG92" s="172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13.5" customHeight="1">
      <c r="A93" s="1"/>
      <c r="B93" s="188"/>
      <c r="C93" s="188"/>
      <c r="D93" s="172"/>
      <c r="E93" s="172"/>
      <c r="F93" s="172"/>
      <c r="G93" s="172"/>
      <c r="H93" s="172"/>
      <c r="I93" s="172"/>
      <c r="J93" s="172"/>
      <c r="K93" s="172"/>
      <c r="L93" s="277"/>
      <c r="M93" s="277"/>
      <c r="N93" s="277"/>
      <c r="O93" s="277"/>
      <c r="P93" s="278"/>
      <c r="Q93" s="278"/>
      <c r="R93" s="278"/>
      <c r="S93" s="278"/>
      <c r="T93" s="172"/>
      <c r="U93" s="282"/>
      <c r="V93" s="282"/>
      <c r="W93" s="283"/>
      <c r="X93" s="284"/>
      <c r="Y93" s="285"/>
      <c r="Z93" s="178"/>
      <c r="AA93" s="172"/>
      <c r="AB93" s="172"/>
      <c r="AC93" s="172"/>
      <c r="AD93" s="172"/>
      <c r="AE93" s="172"/>
      <c r="AF93" s="276"/>
      <c r="AG93" s="17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13.5" customHeight="1">
      <c r="A94" s="1"/>
      <c r="B94" s="188"/>
      <c r="C94" s="188"/>
      <c r="D94" s="172"/>
      <c r="E94" s="172"/>
      <c r="F94" s="172"/>
      <c r="G94" s="172"/>
      <c r="H94" s="172"/>
      <c r="I94" s="172"/>
      <c r="J94" s="172"/>
      <c r="K94" s="172"/>
      <c r="L94" s="277"/>
      <c r="M94" s="277"/>
      <c r="N94" s="277"/>
      <c r="O94" s="277"/>
      <c r="P94" s="278"/>
      <c r="Q94" s="278"/>
      <c r="R94" s="278"/>
      <c r="S94" s="278"/>
      <c r="T94" s="172"/>
      <c r="U94" s="282"/>
      <c r="V94" s="282"/>
      <c r="W94" s="283"/>
      <c r="X94" s="284"/>
      <c r="Y94" s="285"/>
      <c r="Z94" s="178"/>
      <c r="AA94" s="172"/>
      <c r="AB94" s="172"/>
      <c r="AC94" s="172"/>
      <c r="AD94" s="172"/>
      <c r="AE94" s="172"/>
      <c r="AF94" s="276"/>
      <c r="AG94" s="17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13.5" customHeight="1">
      <c r="A95" s="1"/>
      <c r="B95" s="188"/>
      <c r="C95" s="188"/>
      <c r="D95" s="172"/>
      <c r="E95" s="172"/>
      <c r="F95" s="172"/>
      <c r="G95" s="172"/>
      <c r="H95" s="172"/>
      <c r="I95" s="172"/>
      <c r="J95" s="172"/>
      <c r="K95" s="172"/>
      <c r="L95" s="277"/>
      <c r="M95" s="277"/>
      <c r="N95" s="277"/>
      <c r="O95" s="277"/>
      <c r="P95" s="278"/>
      <c r="Q95" s="278"/>
      <c r="R95" s="278"/>
      <c r="S95" s="278"/>
      <c r="T95" s="172"/>
      <c r="U95" s="282"/>
      <c r="V95" s="282"/>
      <c r="W95" s="283"/>
      <c r="X95" s="284"/>
      <c r="Y95" s="285"/>
      <c r="Z95" s="178"/>
      <c r="AA95" s="172"/>
      <c r="AB95" s="172"/>
      <c r="AC95" s="172"/>
      <c r="AD95" s="172"/>
      <c r="AE95" s="172"/>
      <c r="AF95" s="276"/>
      <c r="AG95" s="172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13.5" customHeight="1">
      <c r="A96" s="1"/>
      <c r="B96" s="188"/>
      <c r="C96" s="188"/>
      <c r="D96" s="172"/>
      <c r="E96" s="172"/>
      <c r="F96" s="172"/>
      <c r="G96" s="172"/>
      <c r="H96" s="172"/>
      <c r="I96" s="172"/>
      <c r="J96" s="172"/>
      <c r="K96" s="172"/>
      <c r="L96" s="277"/>
      <c r="M96" s="277"/>
      <c r="N96" s="277"/>
      <c r="O96" s="277"/>
      <c r="P96" s="278"/>
      <c r="Q96" s="278"/>
      <c r="R96" s="278"/>
      <c r="S96" s="278"/>
      <c r="T96" s="172"/>
      <c r="U96" s="282"/>
      <c r="V96" s="282"/>
      <c r="W96" s="283"/>
      <c r="X96" s="284"/>
      <c r="Y96" s="285"/>
      <c r="Z96" s="178"/>
      <c r="AA96" s="172"/>
      <c r="AB96" s="172"/>
      <c r="AC96" s="172"/>
      <c r="AD96" s="172"/>
      <c r="AE96" s="172"/>
      <c r="AF96" s="276"/>
      <c r="AG96" s="172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13.5" customHeight="1">
      <c r="A97" s="1"/>
      <c r="B97" s="188"/>
      <c r="C97" s="188"/>
      <c r="D97" s="172"/>
      <c r="E97" s="172"/>
      <c r="F97" s="172"/>
      <c r="G97" s="172"/>
      <c r="H97" s="172"/>
      <c r="I97" s="172"/>
      <c r="J97" s="172"/>
      <c r="K97" s="172"/>
      <c r="L97" s="277"/>
      <c r="M97" s="277"/>
      <c r="N97" s="277"/>
      <c r="O97" s="277"/>
      <c r="P97" s="278"/>
      <c r="Q97" s="278"/>
      <c r="R97" s="278"/>
      <c r="S97" s="278"/>
      <c r="T97" s="172"/>
      <c r="U97" s="282"/>
      <c r="V97" s="282"/>
      <c r="W97" s="283"/>
      <c r="X97" s="284"/>
      <c r="Y97" s="285"/>
      <c r="Z97" s="178"/>
      <c r="AA97" s="172"/>
      <c r="AB97" s="172"/>
      <c r="AC97" s="172"/>
      <c r="AD97" s="172"/>
      <c r="AE97" s="172"/>
      <c r="AF97" s="276"/>
      <c r="AG97" s="172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13.5" customHeight="1">
      <c r="A98" s="1"/>
      <c r="B98" s="188"/>
      <c r="C98" s="188"/>
      <c r="D98" s="172"/>
      <c r="E98" s="172"/>
      <c r="F98" s="172"/>
      <c r="G98" s="172"/>
      <c r="H98" s="172"/>
      <c r="I98" s="172"/>
      <c r="J98" s="172"/>
      <c r="K98" s="172"/>
      <c r="L98" s="277"/>
      <c r="M98" s="277"/>
      <c r="N98" s="277"/>
      <c r="O98" s="277"/>
      <c r="P98" s="278"/>
      <c r="Q98" s="278"/>
      <c r="R98" s="278"/>
      <c r="S98" s="278"/>
      <c r="T98" s="172"/>
      <c r="U98" s="282"/>
      <c r="V98" s="282"/>
      <c r="W98" s="283"/>
      <c r="X98" s="284"/>
      <c r="Y98" s="285"/>
      <c r="Z98" s="178"/>
      <c r="AA98" s="172"/>
      <c r="AB98" s="172"/>
      <c r="AC98" s="172"/>
      <c r="AD98" s="172"/>
      <c r="AE98" s="172"/>
      <c r="AF98" s="276"/>
      <c r="AG98" s="172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13.5" customHeight="1">
      <c r="A99" s="1"/>
      <c r="B99" s="188"/>
      <c r="C99" s="188"/>
      <c r="D99" s="172"/>
      <c r="E99" s="172"/>
      <c r="F99" s="172"/>
      <c r="G99" s="172"/>
      <c r="H99" s="172"/>
      <c r="I99" s="172"/>
      <c r="J99" s="172"/>
      <c r="K99" s="172"/>
      <c r="L99" s="277"/>
      <c r="M99" s="277"/>
      <c r="N99" s="277"/>
      <c r="O99" s="277"/>
      <c r="P99" s="278"/>
      <c r="Q99" s="278"/>
      <c r="R99" s="278"/>
      <c r="S99" s="278"/>
      <c r="T99" s="172"/>
      <c r="U99" s="282"/>
      <c r="V99" s="282"/>
      <c r="W99" s="283"/>
      <c r="X99" s="284"/>
      <c r="Y99" s="285"/>
      <c r="Z99" s="178"/>
      <c r="AA99" s="172"/>
      <c r="AB99" s="172"/>
      <c r="AC99" s="172"/>
      <c r="AD99" s="172"/>
      <c r="AE99" s="172"/>
      <c r="AF99" s="276"/>
      <c r="AG99" s="172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13.5" customHeight="1">
      <c r="A100" s="1"/>
      <c r="B100" s="188"/>
      <c r="C100" s="188"/>
      <c r="D100" s="172"/>
      <c r="E100" s="172"/>
      <c r="F100" s="172"/>
      <c r="G100" s="172"/>
      <c r="H100" s="172"/>
      <c r="I100" s="172"/>
      <c r="J100" s="172"/>
      <c r="K100" s="172"/>
      <c r="L100" s="277"/>
      <c r="M100" s="277"/>
      <c r="N100" s="277"/>
      <c r="O100" s="277"/>
      <c r="P100" s="278"/>
      <c r="Q100" s="278"/>
      <c r="R100" s="278"/>
      <c r="S100" s="278"/>
      <c r="T100" s="172"/>
      <c r="U100" s="282"/>
      <c r="V100" s="282"/>
      <c r="W100" s="283"/>
      <c r="X100" s="284"/>
      <c r="Y100" s="285"/>
      <c r="Z100" s="178"/>
      <c r="AA100" s="172"/>
      <c r="AB100" s="172"/>
      <c r="AC100" s="172"/>
      <c r="AD100" s="172"/>
      <c r="AE100" s="172"/>
      <c r="AF100" s="276"/>
      <c r="AG100" s="172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13.5" customHeight="1">
      <c r="A101" s="1"/>
      <c r="B101" s="188"/>
      <c r="C101" s="188"/>
      <c r="D101" s="172"/>
      <c r="E101" s="172"/>
      <c r="F101" s="172"/>
      <c r="G101" s="172"/>
      <c r="H101" s="172"/>
      <c r="I101" s="172"/>
      <c r="J101" s="172"/>
      <c r="K101" s="172"/>
      <c r="L101" s="277"/>
      <c r="M101" s="277"/>
      <c r="N101" s="277"/>
      <c r="O101" s="277"/>
      <c r="P101" s="278"/>
      <c r="Q101" s="278"/>
      <c r="R101" s="278"/>
      <c r="S101" s="278"/>
      <c r="T101" s="172"/>
      <c r="U101" s="282"/>
      <c r="V101" s="282"/>
      <c r="W101" s="283"/>
      <c r="X101" s="284"/>
      <c r="Y101" s="285"/>
      <c r="Z101" s="178"/>
      <c r="AA101" s="172"/>
      <c r="AB101" s="172"/>
      <c r="AC101" s="172"/>
      <c r="AD101" s="172"/>
      <c r="AE101" s="172"/>
      <c r="AF101" s="276"/>
      <c r="AG101" s="172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13.5" customHeight="1">
      <c r="A102" s="1"/>
      <c r="B102" s="188"/>
      <c r="C102" s="188"/>
      <c r="D102" s="172"/>
      <c r="E102" s="172"/>
      <c r="F102" s="172"/>
      <c r="G102" s="172"/>
      <c r="H102" s="172"/>
      <c r="I102" s="172"/>
      <c r="J102" s="172"/>
      <c r="K102" s="172"/>
      <c r="L102" s="277"/>
      <c r="M102" s="277"/>
      <c r="N102" s="277"/>
      <c r="O102" s="277"/>
      <c r="P102" s="278"/>
      <c r="Q102" s="278"/>
      <c r="R102" s="278"/>
      <c r="S102" s="278"/>
      <c r="T102" s="172"/>
      <c r="U102" s="282"/>
      <c r="V102" s="282"/>
      <c r="W102" s="283"/>
      <c r="X102" s="284"/>
      <c r="Y102" s="285"/>
      <c r="Z102" s="178"/>
      <c r="AA102" s="172"/>
      <c r="AB102" s="172"/>
      <c r="AC102" s="172"/>
      <c r="AD102" s="172"/>
      <c r="AE102" s="172"/>
      <c r="AF102" s="276"/>
      <c r="AG102" s="172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13.5" customHeight="1">
      <c r="A103" s="1"/>
      <c r="B103" s="188"/>
      <c r="C103" s="188"/>
      <c r="D103" s="172"/>
      <c r="E103" s="172"/>
      <c r="F103" s="172"/>
      <c r="G103" s="172"/>
      <c r="H103" s="172"/>
      <c r="I103" s="172"/>
      <c r="J103" s="172"/>
      <c r="K103" s="172"/>
      <c r="L103" s="277"/>
      <c r="M103" s="277"/>
      <c r="N103" s="277"/>
      <c r="O103" s="277"/>
      <c r="P103" s="278"/>
      <c r="Q103" s="278"/>
      <c r="R103" s="278"/>
      <c r="S103" s="278"/>
      <c r="T103" s="172"/>
      <c r="U103" s="282"/>
      <c r="V103" s="282"/>
      <c r="W103" s="283"/>
      <c r="X103" s="284"/>
      <c r="Y103" s="285"/>
      <c r="Z103" s="178"/>
      <c r="AA103" s="172"/>
      <c r="AB103" s="172"/>
      <c r="AC103" s="172"/>
      <c r="AD103" s="172"/>
      <c r="AE103" s="172"/>
      <c r="AF103" s="276"/>
      <c r="AG103" s="172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13.5" customHeight="1">
      <c r="A104" s="1"/>
      <c r="B104" s="188"/>
      <c r="C104" s="188"/>
      <c r="D104" s="172"/>
      <c r="E104" s="172"/>
      <c r="F104" s="172"/>
      <c r="G104" s="172"/>
      <c r="H104" s="172"/>
      <c r="I104" s="172"/>
      <c r="J104" s="172"/>
      <c r="K104" s="172"/>
      <c r="L104" s="277"/>
      <c r="M104" s="277"/>
      <c r="N104" s="277"/>
      <c r="O104" s="277"/>
      <c r="P104" s="278"/>
      <c r="Q104" s="278"/>
      <c r="R104" s="278"/>
      <c r="S104" s="278"/>
      <c r="T104" s="172"/>
      <c r="U104" s="282"/>
      <c r="V104" s="282"/>
      <c r="W104" s="283"/>
      <c r="X104" s="284"/>
      <c r="Y104" s="285"/>
      <c r="Z104" s="178"/>
      <c r="AA104" s="172"/>
      <c r="AB104" s="172"/>
      <c r="AC104" s="172"/>
      <c r="AD104" s="172"/>
      <c r="AE104" s="172"/>
      <c r="AF104" s="276"/>
      <c r="AG104" s="172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13.5" customHeight="1">
      <c r="A105" s="1"/>
      <c r="B105" s="188"/>
      <c r="C105" s="188"/>
      <c r="D105" s="172"/>
      <c r="E105" s="172"/>
      <c r="F105" s="172"/>
      <c r="G105" s="172"/>
      <c r="H105" s="172"/>
      <c r="I105" s="172"/>
      <c r="J105" s="172"/>
      <c r="K105" s="172"/>
      <c r="L105" s="277"/>
      <c r="M105" s="277"/>
      <c r="N105" s="277"/>
      <c r="O105" s="277"/>
      <c r="P105" s="278"/>
      <c r="Q105" s="278"/>
      <c r="R105" s="278"/>
      <c r="S105" s="278"/>
      <c r="T105" s="172"/>
      <c r="U105" s="282"/>
      <c r="V105" s="282"/>
      <c r="W105" s="283"/>
      <c r="X105" s="284"/>
      <c r="Y105" s="285"/>
      <c r="Z105" s="178"/>
      <c r="AA105" s="172"/>
      <c r="AB105" s="172"/>
      <c r="AC105" s="172"/>
      <c r="AD105" s="172"/>
      <c r="AE105" s="172"/>
      <c r="AF105" s="276"/>
      <c r="AG105" s="172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13.5" customHeight="1">
      <c r="A106" s="1"/>
      <c r="B106" s="188"/>
      <c r="C106" s="188"/>
      <c r="D106" s="172"/>
      <c r="E106" s="172"/>
      <c r="F106" s="172"/>
      <c r="G106" s="172"/>
      <c r="H106" s="172"/>
      <c r="I106" s="172"/>
      <c r="J106" s="172"/>
      <c r="K106" s="172"/>
      <c r="L106" s="277"/>
      <c r="M106" s="277"/>
      <c r="N106" s="277"/>
      <c r="O106" s="277"/>
      <c r="P106" s="278"/>
      <c r="Q106" s="278"/>
      <c r="R106" s="278"/>
      <c r="S106" s="278"/>
      <c r="T106" s="172"/>
      <c r="U106" s="282"/>
      <c r="V106" s="282"/>
      <c r="W106" s="283"/>
      <c r="X106" s="284"/>
      <c r="Y106" s="285"/>
      <c r="Z106" s="178"/>
      <c r="AA106" s="172"/>
      <c r="AB106" s="172"/>
      <c r="AC106" s="172"/>
      <c r="AD106" s="172"/>
      <c r="AE106" s="172"/>
      <c r="AF106" s="276"/>
      <c r="AG106" s="172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13.5" customHeight="1">
      <c r="A107" s="1"/>
      <c r="B107" s="188"/>
      <c r="C107" s="188"/>
      <c r="D107" s="172"/>
      <c r="E107" s="172"/>
      <c r="F107" s="172"/>
      <c r="G107" s="172"/>
      <c r="H107" s="172"/>
      <c r="I107" s="172"/>
      <c r="J107" s="172"/>
      <c r="K107" s="172"/>
      <c r="L107" s="277"/>
      <c r="M107" s="277"/>
      <c r="N107" s="277"/>
      <c r="O107" s="277"/>
      <c r="P107" s="278"/>
      <c r="Q107" s="278"/>
      <c r="R107" s="278"/>
      <c r="S107" s="278"/>
      <c r="T107" s="172"/>
      <c r="U107" s="282"/>
      <c r="V107" s="282"/>
      <c r="W107" s="283"/>
      <c r="X107" s="284"/>
      <c r="Y107" s="285"/>
      <c r="Z107" s="178"/>
      <c r="AA107" s="172"/>
      <c r="AB107" s="172"/>
      <c r="AC107" s="172"/>
      <c r="AD107" s="172"/>
      <c r="AE107" s="172"/>
      <c r="AF107" s="276"/>
      <c r="AG107" s="172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13.5" customHeight="1">
      <c r="A108" s="1"/>
      <c r="B108" s="188"/>
      <c r="C108" s="188"/>
      <c r="D108" s="172"/>
      <c r="E108" s="172"/>
      <c r="F108" s="172"/>
      <c r="G108" s="172"/>
      <c r="H108" s="172"/>
      <c r="I108" s="172"/>
      <c r="J108" s="172"/>
      <c r="K108" s="172"/>
      <c r="L108" s="277"/>
      <c r="M108" s="277"/>
      <c r="N108" s="277"/>
      <c r="O108" s="277"/>
      <c r="P108" s="278"/>
      <c r="Q108" s="278"/>
      <c r="R108" s="278"/>
      <c r="S108" s="278"/>
      <c r="T108" s="172"/>
      <c r="U108" s="282"/>
      <c r="V108" s="282"/>
      <c r="W108" s="283"/>
      <c r="X108" s="284"/>
      <c r="Y108" s="285"/>
      <c r="Z108" s="178"/>
      <c r="AA108" s="172"/>
      <c r="AB108" s="172"/>
      <c r="AC108" s="172"/>
      <c r="AD108" s="172"/>
      <c r="AE108" s="172"/>
      <c r="AF108" s="276"/>
      <c r="AG108" s="172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13.5" customHeight="1">
      <c r="A109" s="1"/>
      <c r="B109" s="188"/>
      <c r="C109" s="188"/>
      <c r="D109" s="172"/>
      <c r="E109" s="172"/>
      <c r="F109" s="172"/>
      <c r="G109" s="172"/>
      <c r="H109" s="172"/>
      <c r="I109" s="172"/>
      <c r="J109" s="172"/>
      <c r="K109" s="172"/>
      <c r="L109" s="277"/>
      <c r="M109" s="277"/>
      <c r="N109" s="277"/>
      <c r="O109" s="277"/>
      <c r="P109" s="278"/>
      <c r="Q109" s="278"/>
      <c r="R109" s="278"/>
      <c r="S109" s="278"/>
      <c r="T109" s="172"/>
      <c r="U109" s="282"/>
      <c r="V109" s="282"/>
      <c r="W109" s="283"/>
      <c r="X109" s="284"/>
      <c r="Y109" s="285"/>
      <c r="Z109" s="178"/>
      <c r="AA109" s="172"/>
      <c r="AB109" s="172"/>
      <c r="AC109" s="172"/>
      <c r="AD109" s="172"/>
      <c r="AE109" s="172"/>
      <c r="AF109" s="276"/>
      <c r="AG109" s="172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13.5" customHeight="1">
      <c r="A110" s="1"/>
      <c r="B110" s="188"/>
      <c r="C110" s="188"/>
      <c r="D110" s="172"/>
      <c r="E110" s="172"/>
      <c r="F110" s="172"/>
      <c r="G110" s="172"/>
      <c r="H110" s="172"/>
      <c r="I110" s="172"/>
      <c r="J110" s="172"/>
      <c r="K110" s="172"/>
      <c r="L110" s="277"/>
      <c r="M110" s="277"/>
      <c r="N110" s="277"/>
      <c r="O110" s="277"/>
      <c r="P110" s="278"/>
      <c r="Q110" s="278"/>
      <c r="R110" s="278"/>
      <c r="S110" s="278"/>
      <c r="T110" s="172"/>
      <c r="U110" s="282"/>
      <c r="V110" s="282"/>
      <c r="W110" s="283"/>
      <c r="X110" s="284"/>
      <c r="Y110" s="285"/>
      <c r="Z110" s="178"/>
      <c r="AA110" s="172"/>
      <c r="AB110" s="172"/>
      <c r="AC110" s="172"/>
      <c r="AD110" s="172"/>
      <c r="AE110" s="172"/>
      <c r="AF110" s="276"/>
      <c r="AG110" s="172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13.5" customHeight="1">
      <c r="A111" s="1"/>
      <c r="B111" s="188"/>
      <c r="C111" s="188"/>
      <c r="D111" s="172"/>
      <c r="E111" s="172"/>
      <c r="F111" s="172"/>
      <c r="G111" s="172"/>
      <c r="H111" s="172"/>
      <c r="I111" s="172"/>
      <c r="J111" s="172"/>
      <c r="K111" s="172"/>
      <c r="L111" s="277"/>
      <c r="M111" s="277"/>
      <c r="N111" s="277"/>
      <c r="O111" s="277"/>
      <c r="P111" s="278"/>
      <c r="Q111" s="278"/>
      <c r="R111" s="278"/>
      <c r="S111" s="278"/>
      <c r="T111" s="172"/>
      <c r="U111" s="282"/>
      <c r="V111" s="282"/>
      <c r="W111" s="283"/>
      <c r="X111" s="284"/>
      <c r="Y111" s="285"/>
      <c r="Z111" s="178"/>
      <c r="AA111" s="172"/>
      <c r="AB111" s="172"/>
      <c r="AC111" s="172"/>
      <c r="AD111" s="172"/>
      <c r="AE111" s="172"/>
      <c r="AF111" s="276"/>
      <c r="AG111" s="172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13.5" customHeight="1">
      <c r="A112" s="1"/>
      <c r="B112" s="188"/>
      <c r="C112" s="188"/>
      <c r="D112" s="172"/>
      <c r="E112" s="172"/>
      <c r="F112" s="172"/>
      <c r="G112" s="172"/>
      <c r="H112" s="172"/>
      <c r="I112" s="172"/>
      <c r="J112" s="172"/>
      <c r="K112" s="172"/>
      <c r="L112" s="277"/>
      <c r="M112" s="277"/>
      <c r="N112" s="277"/>
      <c r="O112" s="277"/>
      <c r="P112" s="278"/>
      <c r="Q112" s="278"/>
      <c r="R112" s="278"/>
      <c r="S112" s="278"/>
      <c r="T112" s="172"/>
      <c r="U112" s="282"/>
      <c r="V112" s="282"/>
      <c r="W112" s="283"/>
      <c r="X112" s="284"/>
      <c r="Y112" s="285"/>
      <c r="Z112" s="178"/>
      <c r="AA112" s="172"/>
      <c r="AB112" s="172"/>
      <c r="AC112" s="172"/>
      <c r="AD112" s="172"/>
      <c r="AE112" s="172"/>
      <c r="AF112" s="276"/>
      <c r="AG112" s="172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13.5" customHeight="1">
      <c r="A113" s="1"/>
      <c r="B113" s="188"/>
      <c r="C113" s="188"/>
      <c r="D113" s="172"/>
      <c r="E113" s="172"/>
      <c r="F113" s="172"/>
      <c r="G113" s="172"/>
      <c r="H113" s="172"/>
      <c r="I113" s="172"/>
      <c r="J113" s="172"/>
      <c r="K113" s="172"/>
      <c r="L113" s="277"/>
      <c r="M113" s="277"/>
      <c r="N113" s="277"/>
      <c r="O113" s="277"/>
      <c r="P113" s="278"/>
      <c r="Q113" s="278"/>
      <c r="R113" s="278"/>
      <c r="S113" s="278"/>
      <c r="T113" s="172"/>
      <c r="U113" s="282"/>
      <c r="V113" s="282"/>
      <c r="W113" s="283"/>
      <c r="X113" s="284"/>
      <c r="Y113" s="285"/>
      <c r="Z113" s="178"/>
      <c r="AA113" s="172"/>
      <c r="AB113" s="172"/>
      <c r="AC113" s="172"/>
      <c r="AD113" s="172"/>
      <c r="AE113" s="172"/>
      <c r="AF113" s="276"/>
      <c r="AG113" s="172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13.5" customHeight="1">
      <c r="A114" s="1"/>
      <c r="B114" s="188"/>
      <c r="C114" s="188"/>
      <c r="D114" s="172"/>
      <c r="E114" s="172"/>
      <c r="F114" s="172"/>
      <c r="G114" s="172"/>
      <c r="H114" s="172"/>
      <c r="I114" s="172"/>
      <c r="J114" s="172"/>
      <c r="K114" s="172"/>
      <c r="L114" s="277"/>
      <c r="M114" s="277"/>
      <c r="N114" s="277"/>
      <c r="O114" s="277"/>
      <c r="P114" s="278"/>
      <c r="Q114" s="278"/>
      <c r="R114" s="278"/>
      <c r="S114" s="278"/>
      <c r="T114" s="172"/>
      <c r="U114" s="282"/>
      <c r="V114" s="282"/>
      <c r="W114" s="283"/>
      <c r="X114" s="284"/>
      <c r="Y114" s="285"/>
      <c r="Z114" s="178"/>
      <c r="AA114" s="172"/>
      <c r="AB114" s="172"/>
      <c r="AC114" s="172"/>
      <c r="AD114" s="172"/>
      <c r="AE114" s="172"/>
      <c r="AF114" s="276"/>
      <c r="AG114" s="172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13.5" customHeight="1">
      <c r="A115" s="1"/>
      <c r="B115" s="188"/>
      <c r="C115" s="188"/>
      <c r="D115" s="172"/>
      <c r="E115" s="172"/>
      <c r="F115" s="172"/>
      <c r="G115" s="172"/>
      <c r="H115" s="172"/>
      <c r="I115" s="172"/>
      <c r="J115" s="172"/>
      <c r="K115" s="172"/>
      <c r="L115" s="277"/>
      <c r="M115" s="277"/>
      <c r="N115" s="277"/>
      <c r="O115" s="277"/>
      <c r="P115" s="278"/>
      <c r="Q115" s="278"/>
      <c r="R115" s="278"/>
      <c r="S115" s="278"/>
      <c r="T115" s="172"/>
      <c r="U115" s="282"/>
      <c r="V115" s="282"/>
      <c r="W115" s="283"/>
      <c r="X115" s="284"/>
      <c r="Y115" s="285"/>
      <c r="Z115" s="178"/>
      <c r="AA115" s="172"/>
      <c r="AB115" s="172"/>
      <c r="AC115" s="172"/>
      <c r="AD115" s="172"/>
      <c r="AE115" s="172"/>
      <c r="AF115" s="276"/>
      <c r="AG115" s="172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13.5" customHeight="1">
      <c r="A116" s="1"/>
      <c r="B116" s="188"/>
      <c r="C116" s="188"/>
      <c r="D116" s="172"/>
      <c r="E116" s="172"/>
      <c r="F116" s="172"/>
      <c r="G116" s="172"/>
      <c r="H116" s="172"/>
      <c r="I116" s="172"/>
      <c r="J116" s="172"/>
      <c r="K116" s="172"/>
      <c r="L116" s="277"/>
      <c r="M116" s="277"/>
      <c r="N116" s="277"/>
      <c r="O116" s="277"/>
      <c r="P116" s="278"/>
      <c r="Q116" s="278"/>
      <c r="R116" s="278"/>
      <c r="S116" s="278"/>
      <c r="T116" s="172"/>
      <c r="U116" s="282"/>
      <c r="V116" s="282"/>
      <c r="W116" s="283"/>
      <c r="X116" s="284"/>
      <c r="Y116" s="285"/>
      <c r="Z116" s="178"/>
      <c r="AA116" s="172"/>
      <c r="AB116" s="172"/>
      <c r="AC116" s="172"/>
      <c r="AD116" s="172"/>
      <c r="AE116" s="172"/>
      <c r="AF116" s="276"/>
      <c r="AG116" s="172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13.5" customHeight="1">
      <c r="A117" s="1"/>
      <c r="B117" s="188"/>
      <c r="C117" s="188"/>
      <c r="D117" s="172"/>
      <c r="E117" s="172"/>
      <c r="F117" s="172"/>
      <c r="G117" s="172"/>
      <c r="H117" s="172"/>
      <c r="I117" s="172"/>
      <c r="J117" s="172"/>
      <c r="K117" s="172"/>
      <c r="L117" s="277"/>
      <c r="M117" s="277"/>
      <c r="N117" s="277"/>
      <c r="O117" s="277"/>
      <c r="P117" s="278"/>
      <c r="Q117" s="278"/>
      <c r="R117" s="278"/>
      <c r="S117" s="278"/>
      <c r="T117" s="172"/>
      <c r="U117" s="282"/>
      <c r="V117" s="282"/>
      <c r="W117" s="283"/>
      <c r="X117" s="284"/>
      <c r="Y117" s="285"/>
      <c r="Z117" s="178"/>
      <c r="AA117" s="172"/>
      <c r="AB117" s="172"/>
      <c r="AC117" s="172"/>
      <c r="AD117" s="172"/>
      <c r="AE117" s="172"/>
      <c r="AF117" s="276"/>
      <c r="AG117" s="172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13.5" customHeight="1">
      <c r="A118" s="1"/>
      <c r="B118" s="188"/>
      <c r="C118" s="188"/>
      <c r="D118" s="172"/>
      <c r="E118" s="172"/>
      <c r="F118" s="172"/>
      <c r="G118" s="172"/>
      <c r="H118" s="172"/>
      <c r="I118" s="172"/>
      <c r="J118" s="172"/>
      <c r="K118" s="172"/>
      <c r="L118" s="277"/>
      <c r="M118" s="277"/>
      <c r="N118" s="277"/>
      <c r="O118" s="277"/>
      <c r="P118" s="278"/>
      <c r="Q118" s="278"/>
      <c r="R118" s="278"/>
      <c r="S118" s="278"/>
      <c r="T118" s="172"/>
      <c r="U118" s="282"/>
      <c r="V118" s="282"/>
      <c r="W118" s="283"/>
      <c r="X118" s="284"/>
      <c r="Y118" s="285"/>
      <c r="Z118" s="178"/>
      <c r="AA118" s="172"/>
      <c r="AB118" s="172"/>
      <c r="AC118" s="172"/>
      <c r="AD118" s="172"/>
      <c r="AE118" s="172"/>
      <c r="AF118" s="276"/>
      <c r="AG118" s="172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13.5" customHeight="1">
      <c r="A119" s="1"/>
      <c r="B119" s="188"/>
      <c r="C119" s="188"/>
      <c r="D119" s="172"/>
      <c r="E119" s="172"/>
      <c r="F119" s="172"/>
      <c r="G119" s="172"/>
      <c r="H119" s="172"/>
      <c r="I119" s="172"/>
      <c r="J119" s="172"/>
      <c r="K119" s="172"/>
      <c r="L119" s="277"/>
      <c r="M119" s="277"/>
      <c r="N119" s="277"/>
      <c r="O119" s="277"/>
      <c r="P119" s="278"/>
      <c r="Q119" s="278"/>
      <c r="R119" s="278"/>
      <c r="S119" s="278"/>
      <c r="T119" s="172"/>
      <c r="U119" s="282"/>
      <c r="V119" s="282"/>
      <c r="W119" s="283"/>
      <c r="X119" s="284"/>
      <c r="Y119" s="285"/>
      <c r="Z119" s="178"/>
      <c r="AA119" s="172"/>
      <c r="AB119" s="172"/>
      <c r="AC119" s="172"/>
      <c r="AD119" s="172"/>
      <c r="AE119" s="172"/>
      <c r="AF119" s="276"/>
      <c r="AG119" s="172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13.5" customHeight="1">
      <c r="A120" s="1"/>
      <c r="B120" s="188"/>
      <c r="C120" s="188"/>
      <c r="D120" s="172"/>
      <c r="E120" s="172"/>
      <c r="F120" s="172"/>
      <c r="G120" s="172"/>
      <c r="H120" s="172"/>
      <c r="I120" s="172"/>
      <c r="J120" s="172"/>
      <c r="K120" s="172"/>
      <c r="L120" s="277"/>
      <c r="M120" s="277"/>
      <c r="N120" s="277"/>
      <c r="O120" s="277"/>
      <c r="P120" s="278"/>
      <c r="Q120" s="278"/>
      <c r="R120" s="278"/>
      <c r="S120" s="278"/>
      <c r="T120" s="172"/>
      <c r="U120" s="282"/>
      <c r="V120" s="282"/>
      <c r="W120" s="283"/>
      <c r="X120" s="284"/>
      <c r="Y120" s="285"/>
      <c r="Z120" s="178"/>
      <c r="AA120" s="172"/>
      <c r="AB120" s="172"/>
      <c r="AC120" s="172"/>
      <c r="AD120" s="172"/>
      <c r="AE120" s="172"/>
      <c r="AF120" s="276"/>
      <c r="AG120" s="172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13.5" customHeight="1">
      <c r="A121" s="1"/>
      <c r="B121" s="188"/>
      <c r="C121" s="188"/>
      <c r="D121" s="172"/>
      <c r="E121" s="172"/>
      <c r="F121" s="172"/>
      <c r="G121" s="172"/>
      <c r="H121" s="172"/>
      <c r="I121" s="172"/>
      <c r="J121" s="172"/>
      <c r="K121" s="172"/>
      <c r="L121" s="277"/>
      <c r="M121" s="277"/>
      <c r="N121" s="277"/>
      <c r="O121" s="277"/>
      <c r="P121" s="278"/>
      <c r="Q121" s="278"/>
      <c r="R121" s="278"/>
      <c r="S121" s="278"/>
      <c r="T121" s="172"/>
      <c r="U121" s="282"/>
      <c r="V121" s="282"/>
      <c r="W121" s="283"/>
      <c r="X121" s="284"/>
      <c r="Y121" s="285"/>
      <c r="Z121" s="178"/>
      <c r="AA121" s="172"/>
      <c r="AB121" s="172"/>
      <c r="AC121" s="172"/>
      <c r="AD121" s="172"/>
      <c r="AE121" s="172"/>
      <c r="AF121" s="276"/>
      <c r="AG121" s="172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13.5" customHeight="1">
      <c r="A122" s="1"/>
      <c r="B122" s="188"/>
      <c r="C122" s="188"/>
      <c r="D122" s="172"/>
      <c r="E122" s="172"/>
      <c r="F122" s="172"/>
      <c r="G122" s="172"/>
      <c r="H122" s="172"/>
      <c r="I122" s="172"/>
      <c r="J122" s="172"/>
      <c r="K122" s="172"/>
      <c r="L122" s="277"/>
      <c r="M122" s="277"/>
      <c r="N122" s="277"/>
      <c r="O122" s="277"/>
      <c r="P122" s="278"/>
      <c r="Q122" s="278"/>
      <c r="R122" s="278"/>
      <c r="S122" s="278"/>
      <c r="T122" s="172"/>
      <c r="U122" s="282"/>
      <c r="V122" s="282"/>
      <c r="W122" s="283"/>
      <c r="X122" s="284"/>
      <c r="Y122" s="285"/>
      <c r="Z122" s="178"/>
      <c r="AA122" s="172"/>
      <c r="AB122" s="172"/>
      <c r="AC122" s="172"/>
      <c r="AD122" s="172"/>
      <c r="AE122" s="172"/>
      <c r="AF122" s="276"/>
      <c r="AG122" s="172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13.5" customHeight="1">
      <c r="A123" s="1"/>
      <c r="B123" s="188"/>
      <c r="C123" s="188"/>
      <c r="D123" s="172"/>
      <c r="E123" s="172"/>
      <c r="F123" s="172"/>
      <c r="G123" s="172"/>
      <c r="H123" s="172"/>
      <c r="I123" s="172"/>
      <c r="J123" s="172"/>
      <c r="K123" s="172"/>
      <c r="L123" s="277"/>
      <c r="M123" s="277"/>
      <c r="N123" s="277"/>
      <c r="O123" s="277"/>
      <c r="P123" s="278"/>
      <c r="Q123" s="278"/>
      <c r="R123" s="278"/>
      <c r="S123" s="278"/>
      <c r="T123" s="172"/>
      <c r="U123" s="282"/>
      <c r="V123" s="282"/>
      <c r="W123" s="283"/>
      <c r="X123" s="284"/>
      <c r="Y123" s="285"/>
      <c r="Z123" s="178"/>
      <c r="AA123" s="172"/>
      <c r="AB123" s="172"/>
      <c r="AC123" s="172"/>
      <c r="AD123" s="172"/>
      <c r="AE123" s="172"/>
      <c r="AF123" s="276"/>
      <c r="AG123" s="172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13.5" customHeight="1">
      <c r="A124" s="1"/>
      <c r="B124" s="188"/>
      <c r="C124" s="188"/>
      <c r="D124" s="172"/>
      <c r="E124" s="172"/>
      <c r="F124" s="172"/>
      <c r="G124" s="172"/>
      <c r="H124" s="172"/>
      <c r="I124" s="172"/>
      <c r="J124" s="172"/>
      <c r="K124" s="172"/>
      <c r="L124" s="277"/>
      <c r="M124" s="277"/>
      <c r="N124" s="277"/>
      <c r="O124" s="277"/>
      <c r="P124" s="278"/>
      <c r="Q124" s="278"/>
      <c r="R124" s="278"/>
      <c r="S124" s="278"/>
      <c r="T124" s="172"/>
      <c r="U124" s="282"/>
      <c r="V124" s="282"/>
      <c r="W124" s="283"/>
      <c r="X124" s="284"/>
      <c r="Y124" s="285"/>
      <c r="Z124" s="178"/>
      <c r="AA124" s="172"/>
      <c r="AB124" s="172"/>
      <c r="AC124" s="172"/>
      <c r="AD124" s="172"/>
      <c r="AE124" s="172"/>
      <c r="AF124" s="276"/>
      <c r="AG124" s="172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13.5" customHeight="1">
      <c r="A125" s="1"/>
      <c r="B125" s="188"/>
      <c r="C125" s="188"/>
      <c r="D125" s="172"/>
      <c r="E125" s="172"/>
      <c r="F125" s="172"/>
      <c r="G125" s="172"/>
      <c r="H125" s="172"/>
      <c r="I125" s="172"/>
      <c r="J125" s="172"/>
      <c r="K125" s="172"/>
      <c r="L125" s="277"/>
      <c r="M125" s="277"/>
      <c r="N125" s="277"/>
      <c r="O125" s="277"/>
      <c r="P125" s="278"/>
      <c r="Q125" s="278"/>
      <c r="R125" s="278"/>
      <c r="S125" s="278"/>
      <c r="T125" s="172"/>
      <c r="U125" s="282"/>
      <c r="V125" s="282"/>
      <c r="W125" s="283"/>
      <c r="X125" s="284"/>
      <c r="Y125" s="285"/>
      <c r="Z125" s="178"/>
      <c r="AA125" s="172"/>
      <c r="AB125" s="172"/>
      <c r="AC125" s="172"/>
      <c r="AD125" s="172"/>
      <c r="AE125" s="172"/>
      <c r="AF125" s="276"/>
      <c r="AG125" s="172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13.5" customHeight="1">
      <c r="A126" s="1"/>
      <c r="B126" s="188"/>
      <c r="C126" s="188"/>
      <c r="D126" s="172"/>
      <c r="E126" s="172"/>
      <c r="F126" s="172"/>
      <c r="G126" s="172"/>
      <c r="H126" s="172"/>
      <c r="I126" s="172"/>
      <c r="J126" s="172"/>
      <c r="K126" s="172"/>
      <c r="L126" s="277"/>
      <c r="M126" s="277"/>
      <c r="N126" s="277"/>
      <c r="O126" s="277"/>
      <c r="P126" s="278"/>
      <c r="Q126" s="278"/>
      <c r="R126" s="278"/>
      <c r="S126" s="278"/>
      <c r="T126" s="172"/>
      <c r="U126" s="282"/>
      <c r="V126" s="282"/>
      <c r="W126" s="283"/>
      <c r="X126" s="284"/>
      <c r="Y126" s="285"/>
      <c r="Z126" s="178"/>
      <c r="AA126" s="172"/>
      <c r="AB126" s="172"/>
      <c r="AC126" s="172"/>
      <c r="AD126" s="172"/>
      <c r="AE126" s="172"/>
      <c r="AF126" s="276"/>
      <c r="AG126" s="172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13.5" customHeight="1">
      <c r="A127" s="1"/>
      <c r="B127" s="188"/>
      <c r="C127" s="188"/>
      <c r="D127" s="172"/>
      <c r="E127" s="172"/>
      <c r="F127" s="172"/>
      <c r="G127" s="172"/>
      <c r="H127" s="172"/>
      <c r="I127" s="172"/>
      <c r="J127" s="172"/>
      <c r="K127" s="172"/>
      <c r="L127" s="277"/>
      <c r="M127" s="277"/>
      <c r="N127" s="277"/>
      <c r="O127" s="277"/>
      <c r="P127" s="278"/>
      <c r="Q127" s="278"/>
      <c r="R127" s="278"/>
      <c r="S127" s="278"/>
      <c r="T127" s="172"/>
      <c r="U127" s="282"/>
      <c r="V127" s="282"/>
      <c r="W127" s="283"/>
      <c r="X127" s="284"/>
      <c r="Y127" s="285"/>
      <c r="Z127" s="178"/>
      <c r="AA127" s="172"/>
      <c r="AB127" s="172"/>
      <c r="AC127" s="172"/>
      <c r="AD127" s="172"/>
      <c r="AE127" s="172"/>
      <c r="AF127" s="276"/>
      <c r="AG127" s="172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13.5" customHeight="1">
      <c r="A128" s="1"/>
      <c r="B128" s="188"/>
      <c r="C128" s="188"/>
      <c r="D128" s="172"/>
      <c r="E128" s="172"/>
      <c r="F128" s="172"/>
      <c r="G128" s="172"/>
      <c r="H128" s="172"/>
      <c r="I128" s="172"/>
      <c r="J128" s="172"/>
      <c r="K128" s="172"/>
      <c r="L128" s="277"/>
      <c r="M128" s="277"/>
      <c r="N128" s="277"/>
      <c r="O128" s="277"/>
      <c r="P128" s="278"/>
      <c r="Q128" s="278"/>
      <c r="R128" s="278"/>
      <c r="S128" s="278"/>
      <c r="T128" s="172"/>
      <c r="U128" s="282"/>
      <c r="V128" s="282"/>
      <c r="W128" s="283"/>
      <c r="X128" s="284"/>
      <c r="Y128" s="285"/>
      <c r="Z128" s="178"/>
      <c r="AA128" s="172"/>
      <c r="AB128" s="172"/>
      <c r="AC128" s="172"/>
      <c r="AD128" s="172"/>
      <c r="AE128" s="172"/>
      <c r="AF128" s="276"/>
      <c r="AG128" s="172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13.5" customHeight="1">
      <c r="A129" s="1"/>
      <c r="B129" s="188"/>
      <c r="C129" s="188"/>
      <c r="D129" s="172"/>
      <c r="E129" s="172"/>
      <c r="F129" s="172"/>
      <c r="G129" s="172"/>
      <c r="H129" s="172"/>
      <c r="I129" s="172"/>
      <c r="J129" s="172"/>
      <c r="K129" s="172"/>
      <c r="L129" s="277"/>
      <c r="M129" s="277"/>
      <c r="N129" s="277"/>
      <c r="O129" s="277"/>
      <c r="P129" s="278"/>
      <c r="Q129" s="278"/>
      <c r="R129" s="278"/>
      <c r="S129" s="278"/>
      <c r="T129" s="172"/>
      <c r="U129" s="282"/>
      <c r="V129" s="282"/>
      <c r="W129" s="283"/>
      <c r="X129" s="284"/>
      <c r="Y129" s="285"/>
      <c r="Z129" s="178"/>
      <c r="AA129" s="172"/>
      <c r="AB129" s="172"/>
      <c r="AC129" s="172"/>
      <c r="AD129" s="172"/>
      <c r="AE129" s="172"/>
      <c r="AF129" s="276"/>
      <c r="AG129" s="172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13.5" customHeight="1">
      <c r="A130" s="1"/>
      <c r="B130" s="188"/>
      <c r="C130" s="188"/>
      <c r="D130" s="172"/>
      <c r="E130" s="172"/>
      <c r="F130" s="172"/>
      <c r="G130" s="172"/>
      <c r="H130" s="172"/>
      <c r="I130" s="172"/>
      <c r="J130" s="172"/>
      <c r="K130" s="172"/>
      <c r="L130" s="277"/>
      <c r="M130" s="277"/>
      <c r="N130" s="277"/>
      <c r="O130" s="277"/>
      <c r="P130" s="278"/>
      <c r="Q130" s="278"/>
      <c r="R130" s="278"/>
      <c r="S130" s="278"/>
      <c r="T130" s="172"/>
      <c r="U130" s="282"/>
      <c r="V130" s="282"/>
      <c r="W130" s="283"/>
      <c r="X130" s="284"/>
      <c r="Y130" s="285"/>
      <c r="Z130" s="178"/>
      <c r="AA130" s="172"/>
      <c r="AB130" s="172"/>
      <c r="AC130" s="172"/>
      <c r="AD130" s="172"/>
      <c r="AE130" s="172"/>
      <c r="AF130" s="276"/>
      <c r="AG130" s="172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13.5" customHeight="1">
      <c r="A131" s="1"/>
      <c r="B131" s="188"/>
      <c r="C131" s="188"/>
      <c r="D131" s="172"/>
      <c r="E131" s="172"/>
      <c r="F131" s="172"/>
      <c r="G131" s="172"/>
      <c r="H131" s="172"/>
      <c r="I131" s="172"/>
      <c r="J131" s="172"/>
      <c r="K131" s="172"/>
      <c r="L131" s="277"/>
      <c r="M131" s="277"/>
      <c r="N131" s="277"/>
      <c r="O131" s="277"/>
      <c r="P131" s="278"/>
      <c r="Q131" s="278"/>
      <c r="R131" s="278"/>
      <c r="S131" s="278"/>
      <c r="T131" s="172"/>
      <c r="U131" s="282"/>
      <c r="V131" s="282"/>
      <c r="W131" s="283"/>
      <c r="X131" s="284"/>
      <c r="Y131" s="285"/>
      <c r="Z131" s="178"/>
      <c r="AA131" s="172"/>
      <c r="AB131" s="172"/>
      <c r="AC131" s="172"/>
      <c r="AD131" s="172"/>
      <c r="AE131" s="172"/>
      <c r="AF131" s="276"/>
      <c r="AG131" s="172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13.5" customHeight="1">
      <c r="A132" s="1"/>
      <c r="B132" s="188"/>
      <c r="C132" s="188"/>
      <c r="D132" s="172"/>
      <c r="E132" s="172"/>
      <c r="F132" s="172"/>
      <c r="G132" s="172"/>
      <c r="H132" s="172"/>
      <c r="I132" s="172"/>
      <c r="J132" s="172"/>
      <c r="K132" s="172"/>
      <c r="L132" s="277"/>
      <c r="M132" s="277"/>
      <c r="N132" s="277"/>
      <c r="O132" s="277"/>
      <c r="P132" s="278"/>
      <c r="Q132" s="278"/>
      <c r="R132" s="278"/>
      <c r="S132" s="278"/>
      <c r="T132" s="172"/>
      <c r="U132" s="282"/>
      <c r="V132" s="282"/>
      <c r="W132" s="283"/>
      <c r="X132" s="284"/>
      <c r="Y132" s="285"/>
      <c r="Z132" s="178"/>
      <c r="AA132" s="172"/>
      <c r="AB132" s="172"/>
      <c r="AC132" s="172"/>
      <c r="AD132" s="172"/>
      <c r="AE132" s="172"/>
      <c r="AF132" s="276"/>
      <c r="AG132" s="172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13.5" customHeight="1">
      <c r="A133" s="1"/>
      <c r="B133" s="188"/>
      <c r="C133" s="188"/>
      <c r="D133" s="172"/>
      <c r="E133" s="172"/>
      <c r="F133" s="172"/>
      <c r="G133" s="172"/>
      <c r="H133" s="172"/>
      <c r="I133" s="172"/>
      <c r="J133" s="172"/>
      <c r="K133" s="172"/>
      <c r="L133" s="277"/>
      <c r="M133" s="277"/>
      <c r="N133" s="277"/>
      <c r="O133" s="277"/>
      <c r="P133" s="278"/>
      <c r="Q133" s="278"/>
      <c r="R133" s="278"/>
      <c r="S133" s="278"/>
      <c r="T133" s="172"/>
      <c r="U133" s="282"/>
      <c r="V133" s="282"/>
      <c r="W133" s="283"/>
      <c r="X133" s="284"/>
      <c r="Y133" s="285"/>
      <c r="Z133" s="178"/>
      <c r="AA133" s="172"/>
      <c r="AB133" s="172"/>
      <c r="AC133" s="172"/>
      <c r="AD133" s="172"/>
      <c r="AE133" s="172"/>
      <c r="AF133" s="276"/>
      <c r="AG133" s="172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13.5" customHeight="1">
      <c r="A134" s="1"/>
      <c r="B134" s="188"/>
      <c r="C134" s="188"/>
      <c r="D134" s="172"/>
      <c r="E134" s="172"/>
      <c r="F134" s="172"/>
      <c r="G134" s="172"/>
      <c r="H134" s="172"/>
      <c r="I134" s="172"/>
      <c r="J134" s="172"/>
      <c r="K134" s="172"/>
      <c r="L134" s="277"/>
      <c r="M134" s="277"/>
      <c r="N134" s="277"/>
      <c r="O134" s="277"/>
      <c r="P134" s="278"/>
      <c r="Q134" s="278"/>
      <c r="R134" s="278"/>
      <c r="S134" s="278"/>
      <c r="T134" s="172"/>
      <c r="U134" s="282"/>
      <c r="V134" s="282"/>
      <c r="W134" s="283"/>
      <c r="X134" s="284"/>
      <c r="Y134" s="285"/>
      <c r="Z134" s="178"/>
      <c r="AA134" s="172"/>
      <c r="AB134" s="172"/>
      <c r="AC134" s="172"/>
      <c r="AD134" s="172"/>
      <c r="AE134" s="172"/>
      <c r="AF134" s="276"/>
      <c r="AG134" s="172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13.5" customHeight="1">
      <c r="A135" s="1"/>
      <c r="B135" s="188"/>
      <c r="C135" s="188"/>
      <c r="D135" s="172"/>
      <c r="E135" s="172"/>
      <c r="F135" s="172"/>
      <c r="G135" s="172"/>
      <c r="H135" s="172"/>
      <c r="I135" s="172"/>
      <c r="J135" s="172"/>
      <c r="K135" s="172"/>
      <c r="L135" s="277"/>
      <c r="M135" s="277"/>
      <c r="N135" s="277"/>
      <c r="O135" s="277"/>
      <c r="P135" s="278"/>
      <c r="Q135" s="278"/>
      <c r="R135" s="278"/>
      <c r="S135" s="278"/>
      <c r="T135" s="172"/>
      <c r="U135" s="282"/>
      <c r="V135" s="282"/>
      <c r="W135" s="283"/>
      <c r="X135" s="284"/>
      <c r="Y135" s="285"/>
      <c r="Z135" s="178"/>
      <c r="AA135" s="172"/>
      <c r="AB135" s="172"/>
      <c r="AC135" s="172"/>
      <c r="AD135" s="172"/>
      <c r="AE135" s="172"/>
      <c r="AF135" s="276"/>
      <c r="AG135" s="172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13.5" customHeight="1">
      <c r="A136" s="1"/>
      <c r="B136" s="188"/>
      <c r="C136" s="188"/>
      <c r="D136" s="172"/>
      <c r="E136" s="172"/>
      <c r="F136" s="172"/>
      <c r="G136" s="172"/>
      <c r="H136" s="172"/>
      <c r="I136" s="172"/>
      <c r="J136" s="172"/>
      <c r="K136" s="172"/>
      <c r="L136" s="277"/>
      <c r="M136" s="277"/>
      <c r="N136" s="277"/>
      <c r="O136" s="277"/>
      <c r="P136" s="278"/>
      <c r="Q136" s="278"/>
      <c r="R136" s="278"/>
      <c r="S136" s="278"/>
      <c r="T136" s="172"/>
      <c r="U136" s="282"/>
      <c r="V136" s="282"/>
      <c r="W136" s="283"/>
      <c r="X136" s="284"/>
      <c r="Y136" s="285"/>
      <c r="Z136" s="178"/>
      <c r="AA136" s="172"/>
      <c r="AB136" s="172"/>
      <c r="AC136" s="172"/>
      <c r="AD136" s="172"/>
      <c r="AE136" s="172"/>
      <c r="AF136" s="276"/>
      <c r="AG136" s="172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13.5" customHeight="1">
      <c r="A137" s="1"/>
      <c r="B137" s="188"/>
      <c r="C137" s="188"/>
      <c r="D137" s="172"/>
      <c r="E137" s="172"/>
      <c r="F137" s="172"/>
      <c r="G137" s="172"/>
      <c r="H137" s="172"/>
      <c r="I137" s="172"/>
      <c r="J137" s="172"/>
      <c r="K137" s="172"/>
      <c r="L137" s="277"/>
      <c r="M137" s="277"/>
      <c r="N137" s="277"/>
      <c r="O137" s="277"/>
      <c r="P137" s="278"/>
      <c r="Q137" s="278"/>
      <c r="R137" s="278"/>
      <c r="S137" s="278"/>
      <c r="T137" s="172"/>
      <c r="U137" s="282"/>
      <c r="V137" s="282"/>
      <c r="W137" s="283"/>
      <c r="X137" s="284"/>
      <c r="Y137" s="285"/>
      <c r="Z137" s="178"/>
      <c r="AA137" s="172"/>
      <c r="AB137" s="172"/>
      <c r="AC137" s="172"/>
      <c r="AD137" s="172"/>
      <c r="AE137" s="172"/>
      <c r="AF137" s="276"/>
      <c r="AG137" s="172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13.5" customHeight="1">
      <c r="A138" s="1"/>
      <c r="B138" s="188"/>
      <c r="C138" s="188"/>
      <c r="D138" s="172"/>
      <c r="E138" s="172"/>
      <c r="F138" s="172"/>
      <c r="G138" s="172"/>
      <c r="H138" s="172"/>
      <c r="I138" s="172"/>
      <c r="J138" s="172"/>
      <c r="K138" s="172"/>
      <c r="L138" s="277"/>
      <c r="M138" s="277"/>
      <c r="N138" s="277"/>
      <c r="O138" s="277"/>
      <c r="P138" s="278"/>
      <c r="Q138" s="278"/>
      <c r="R138" s="278"/>
      <c r="S138" s="278"/>
      <c r="T138" s="172"/>
      <c r="U138" s="282"/>
      <c r="V138" s="282"/>
      <c r="W138" s="283"/>
      <c r="X138" s="284"/>
      <c r="Y138" s="285"/>
      <c r="Z138" s="178"/>
      <c r="AA138" s="172"/>
      <c r="AB138" s="172"/>
      <c r="AC138" s="172"/>
      <c r="AD138" s="172"/>
      <c r="AE138" s="172"/>
      <c r="AF138" s="276"/>
      <c r="AG138" s="172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13.5" customHeight="1">
      <c r="A139" s="1"/>
      <c r="B139" s="188"/>
      <c r="C139" s="188"/>
      <c r="D139" s="172"/>
      <c r="E139" s="172"/>
      <c r="F139" s="172"/>
      <c r="G139" s="172"/>
      <c r="H139" s="172"/>
      <c r="I139" s="172"/>
      <c r="J139" s="172"/>
      <c r="K139" s="172"/>
      <c r="L139" s="277"/>
      <c r="M139" s="277"/>
      <c r="N139" s="277"/>
      <c r="O139" s="277"/>
      <c r="P139" s="278"/>
      <c r="Q139" s="278"/>
      <c r="R139" s="278"/>
      <c r="S139" s="278"/>
      <c r="T139" s="172"/>
      <c r="U139" s="282"/>
      <c r="V139" s="282"/>
      <c r="W139" s="283"/>
      <c r="X139" s="284"/>
      <c r="Y139" s="285"/>
      <c r="Z139" s="178"/>
      <c r="AA139" s="172"/>
      <c r="AB139" s="172"/>
      <c r="AC139" s="172"/>
      <c r="AD139" s="172"/>
      <c r="AE139" s="172"/>
      <c r="AF139" s="276"/>
      <c r="AG139" s="172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13.5" customHeight="1">
      <c r="A140" s="1"/>
      <c r="B140" s="188"/>
      <c r="C140" s="188"/>
      <c r="D140" s="172"/>
      <c r="E140" s="172"/>
      <c r="F140" s="172"/>
      <c r="G140" s="172"/>
      <c r="H140" s="172"/>
      <c r="I140" s="172"/>
      <c r="J140" s="172"/>
      <c r="K140" s="172"/>
      <c r="L140" s="277"/>
      <c r="M140" s="277"/>
      <c r="N140" s="277"/>
      <c r="O140" s="277"/>
      <c r="P140" s="278"/>
      <c r="Q140" s="278"/>
      <c r="R140" s="278"/>
      <c r="S140" s="278"/>
      <c r="T140" s="172"/>
      <c r="U140" s="282"/>
      <c r="V140" s="282"/>
      <c r="W140" s="283"/>
      <c r="X140" s="284"/>
      <c r="Y140" s="285"/>
      <c r="Z140" s="178"/>
      <c r="AA140" s="172"/>
      <c r="AB140" s="172"/>
      <c r="AC140" s="172"/>
      <c r="AD140" s="172"/>
      <c r="AE140" s="172"/>
      <c r="AF140" s="276"/>
      <c r="AG140" s="172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13.5" customHeight="1">
      <c r="A141" s="1"/>
      <c r="B141" s="188"/>
      <c r="C141" s="188"/>
      <c r="D141" s="172"/>
      <c r="E141" s="172"/>
      <c r="F141" s="172"/>
      <c r="G141" s="172"/>
      <c r="H141" s="172"/>
      <c r="I141" s="172"/>
      <c r="J141" s="172"/>
      <c r="K141" s="172"/>
      <c r="L141" s="277"/>
      <c r="M141" s="277"/>
      <c r="N141" s="277"/>
      <c r="O141" s="277"/>
      <c r="P141" s="278"/>
      <c r="Q141" s="278"/>
      <c r="R141" s="278"/>
      <c r="S141" s="278"/>
      <c r="T141" s="172"/>
      <c r="U141" s="282"/>
      <c r="V141" s="282"/>
      <c r="W141" s="283"/>
      <c r="X141" s="284"/>
      <c r="Y141" s="285"/>
      <c r="Z141" s="178"/>
      <c r="AA141" s="172"/>
      <c r="AB141" s="172"/>
      <c r="AC141" s="172"/>
      <c r="AD141" s="172"/>
      <c r="AE141" s="172"/>
      <c r="AF141" s="276"/>
      <c r="AG141" s="172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13.5" customHeight="1">
      <c r="A142" s="1"/>
      <c r="B142" s="188"/>
      <c r="C142" s="188"/>
      <c r="D142" s="172"/>
      <c r="E142" s="172"/>
      <c r="F142" s="172"/>
      <c r="G142" s="172"/>
      <c r="H142" s="172"/>
      <c r="I142" s="172"/>
      <c r="J142" s="172"/>
      <c r="K142" s="172"/>
      <c r="L142" s="277"/>
      <c r="M142" s="277"/>
      <c r="N142" s="277"/>
      <c r="O142" s="277"/>
      <c r="P142" s="278"/>
      <c r="Q142" s="278"/>
      <c r="R142" s="278"/>
      <c r="S142" s="278"/>
      <c r="T142" s="172"/>
      <c r="U142" s="282"/>
      <c r="V142" s="282"/>
      <c r="W142" s="283"/>
      <c r="X142" s="284"/>
      <c r="Y142" s="285"/>
      <c r="Z142" s="178"/>
      <c r="AA142" s="172"/>
      <c r="AB142" s="172"/>
      <c r="AC142" s="172"/>
      <c r="AD142" s="172"/>
      <c r="AE142" s="172"/>
      <c r="AF142" s="276"/>
      <c r="AG142" s="172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13.5" customHeight="1">
      <c r="A143" s="1"/>
      <c r="B143" s="188"/>
      <c r="C143" s="188"/>
      <c r="D143" s="172"/>
      <c r="E143" s="172"/>
      <c r="F143" s="172"/>
      <c r="G143" s="172"/>
      <c r="H143" s="172"/>
      <c r="I143" s="172"/>
      <c r="J143" s="172"/>
      <c r="K143" s="172"/>
      <c r="L143" s="277"/>
      <c r="M143" s="277"/>
      <c r="N143" s="277"/>
      <c r="O143" s="277"/>
      <c r="P143" s="278"/>
      <c r="Q143" s="278"/>
      <c r="R143" s="278"/>
      <c r="S143" s="278"/>
      <c r="T143" s="172"/>
      <c r="U143" s="282"/>
      <c r="V143" s="282"/>
      <c r="W143" s="283"/>
      <c r="X143" s="284"/>
      <c r="Y143" s="285"/>
      <c r="Z143" s="178"/>
      <c r="AA143" s="172"/>
      <c r="AB143" s="172"/>
      <c r="AC143" s="172"/>
      <c r="AD143" s="172"/>
      <c r="AE143" s="172"/>
      <c r="AF143" s="276"/>
      <c r="AG143" s="172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13.5" customHeight="1">
      <c r="A144" s="1"/>
      <c r="B144" s="188"/>
      <c r="C144" s="188"/>
      <c r="D144" s="172"/>
      <c r="E144" s="172"/>
      <c r="F144" s="172"/>
      <c r="G144" s="172"/>
      <c r="H144" s="172"/>
      <c r="I144" s="172"/>
      <c r="J144" s="172"/>
      <c r="K144" s="172"/>
      <c r="L144" s="277"/>
      <c r="M144" s="277"/>
      <c r="N144" s="277"/>
      <c r="O144" s="277"/>
      <c r="P144" s="278"/>
      <c r="Q144" s="278"/>
      <c r="R144" s="278"/>
      <c r="S144" s="278"/>
      <c r="T144" s="172"/>
      <c r="U144" s="282"/>
      <c r="V144" s="282"/>
      <c r="W144" s="283"/>
      <c r="X144" s="284"/>
      <c r="Y144" s="285"/>
      <c r="Z144" s="178"/>
      <c r="AA144" s="172"/>
      <c r="AB144" s="172"/>
      <c r="AC144" s="172"/>
      <c r="AD144" s="172"/>
      <c r="AE144" s="172"/>
      <c r="AF144" s="276"/>
      <c r="AG144" s="172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13.5" customHeight="1">
      <c r="A145" s="1"/>
      <c r="B145" s="188"/>
      <c r="C145" s="188"/>
      <c r="D145" s="172"/>
      <c r="E145" s="172"/>
      <c r="F145" s="172"/>
      <c r="G145" s="172"/>
      <c r="H145" s="172"/>
      <c r="I145" s="172"/>
      <c r="J145" s="172"/>
      <c r="K145" s="172"/>
      <c r="L145" s="277"/>
      <c r="M145" s="277"/>
      <c r="N145" s="277"/>
      <c r="O145" s="277"/>
      <c r="P145" s="278"/>
      <c r="Q145" s="278"/>
      <c r="R145" s="278"/>
      <c r="S145" s="278"/>
      <c r="T145" s="172"/>
      <c r="U145" s="282"/>
      <c r="V145" s="282"/>
      <c r="W145" s="283"/>
      <c r="X145" s="284"/>
      <c r="Y145" s="285"/>
      <c r="Z145" s="178"/>
      <c r="AA145" s="172"/>
      <c r="AB145" s="172"/>
      <c r="AC145" s="172"/>
      <c r="AD145" s="172"/>
      <c r="AE145" s="172"/>
      <c r="AF145" s="276"/>
      <c r="AG145" s="172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13.5" customHeight="1">
      <c r="A146" s="1"/>
      <c r="B146" s="188"/>
      <c r="C146" s="188"/>
      <c r="D146" s="172"/>
      <c r="E146" s="172"/>
      <c r="F146" s="172"/>
      <c r="G146" s="172"/>
      <c r="H146" s="172"/>
      <c r="I146" s="172"/>
      <c r="J146" s="172"/>
      <c r="K146" s="172"/>
      <c r="L146" s="277"/>
      <c r="M146" s="277"/>
      <c r="N146" s="277"/>
      <c r="O146" s="277"/>
      <c r="P146" s="278"/>
      <c r="Q146" s="278"/>
      <c r="R146" s="278"/>
      <c r="S146" s="278"/>
      <c r="T146" s="172"/>
      <c r="U146" s="282"/>
      <c r="V146" s="282"/>
      <c r="W146" s="283"/>
      <c r="X146" s="284"/>
      <c r="Y146" s="285"/>
      <c r="Z146" s="178"/>
      <c r="AA146" s="172"/>
      <c r="AB146" s="172"/>
      <c r="AC146" s="172"/>
      <c r="AD146" s="172"/>
      <c r="AE146" s="172"/>
      <c r="AF146" s="276"/>
      <c r="AG146" s="172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13.5" customHeight="1">
      <c r="A147" s="1"/>
      <c r="B147" s="188"/>
      <c r="C147" s="188"/>
      <c r="D147" s="172"/>
      <c r="E147" s="172"/>
      <c r="F147" s="172"/>
      <c r="G147" s="172"/>
      <c r="H147" s="172"/>
      <c r="I147" s="172"/>
      <c r="J147" s="172"/>
      <c r="K147" s="172"/>
      <c r="L147" s="277"/>
      <c r="M147" s="277"/>
      <c r="N147" s="277"/>
      <c r="O147" s="277"/>
      <c r="P147" s="278"/>
      <c r="Q147" s="278"/>
      <c r="R147" s="278"/>
      <c r="S147" s="278"/>
      <c r="T147" s="172"/>
      <c r="U147" s="282"/>
      <c r="V147" s="282"/>
      <c r="W147" s="283"/>
      <c r="X147" s="284"/>
      <c r="Y147" s="285"/>
      <c r="Z147" s="178"/>
      <c r="AA147" s="172"/>
      <c r="AB147" s="172"/>
      <c r="AC147" s="172"/>
      <c r="AD147" s="172"/>
      <c r="AE147" s="172"/>
      <c r="AF147" s="276"/>
      <c r="AG147" s="172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13.5" customHeight="1">
      <c r="A148" s="1"/>
      <c r="B148" s="188"/>
      <c r="C148" s="188"/>
      <c r="D148" s="172"/>
      <c r="E148" s="172"/>
      <c r="F148" s="172"/>
      <c r="G148" s="172"/>
      <c r="H148" s="172"/>
      <c r="I148" s="172"/>
      <c r="J148" s="172"/>
      <c r="K148" s="172"/>
      <c r="L148" s="277"/>
      <c r="M148" s="277"/>
      <c r="N148" s="277"/>
      <c r="O148" s="277"/>
      <c r="P148" s="278"/>
      <c r="Q148" s="278"/>
      <c r="R148" s="278"/>
      <c r="S148" s="278"/>
      <c r="T148" s="172"/>
      <c r="U148" s="282"/>
      <c r="V148" s="282"/>
      <c r="W148" s="283"/>
      <c r="X148" s="284"/>
      <c r="Y148" s="285"/>
      <c r="Z148" s="178"/>
      <c r="AA148" s="172"/>
      <c r="AB148" s="172"/>
      <c r="AC148" s="172"/>
      <c r="AD148" s="172"/>
      <c r="AE148" s="172"/>
      <c r="AF148" s="276"/>
      <c r="AG148" s="172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13.5" customHeight="1">
      <c r="A149" s="1"/>
      <c r="B149" s="188"/>
      <c r="C149" s="188"/>
      <c r="D149" s="172"/>
      <c r="E149" s="172"/>
      <c r="F149" s="172"/>
      <c r="G149" s="172"/>
      <c r="H149" s="172"/>
      <c r="I149" s="172"/>
      <c r="J149" s="172"/>
      <c r="K149" s="172"/>
      <c r="L149" s="277"/>
      <c r="M149" s="277"/>
      <c r="N149" s="277"/>
      <c r="O149" s="277"/>
      <c r="P149" s="278"/>
      <c r="Q149" s="278"/>
      <c r="R149" s="278"/>
      <c r="S149" s="278"/>
      <c r="T149" s="172"/>
      <c r="U149" s="282"/>
      <c r="V149" s="282"/>
      <c r="W149" s="283"/>
      <c r="X149" s="284"/>
      <c r="Y149" s="285"/>
      <c r="Z149" s="178"/>
      <c r="AA149" s="172"/>
      <c r="AB149" s="172"/>
      <c r="AC149" s="172"/>
      <c r="AD149" s="172"/>
      <c r="AE149" s="172"/>
      <c r="AF149" s="276"/>
      <c r="AG149" s="172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13.5" customHeight="1">
      <c r="A150" s="1"/>
      <c r="B150" s="188"/>
      <c r="C150" s="188"/>
      <c r="D150" s="172"/>
      <c r="E150" s="172"/>
      <c r="F150" s="172"/>
      <c r="G150" s="172"/>
      <c r="H150" s="172"/>
      <c r="I150" s="172"/>
      <c r="J150" s="172"/>
      <c r="K150" s="172"/>
      <c r="L150" s="277"/>
      <c r="M150" s="277"/>
      <c r="N150" s="277"/>
      <c r="O150" s="277"/>
      <c r="P150" s="278"/>
      <c r="Q150" s="278"/>
      <c r="R150" s="278"/>
      <c r="S150" s="278"/>
      <c r="T150" s="172"/>
      <c r="U150" s="282"/>
      <c r="V150" s="282"/>
      <c r="W150" s="283"/>
      <c r="X150" s="284"/>
      <c r="Y150" s="285"/>
      <c r="Z150" s="178"/>
      <c r="AA150" s="172"/>
      <c r="AB150" s="172"/>
      <c r="AC150" s="172"/>
      <c r="AD150" s="172"/>
      <c r="AE150" s="172"/>
      <c r="AF150" s="276"/>
      <c r="AG150" s="172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13.5" customHeight="1">
      <c r="A151" s="1"/>
      <c r="B151" s="188"/>
      <c r="C151" s="188"/>
      <c r="D151" s="172"/>
      <c r="E151" s="172"/>
      <c r="F151" s="172"/>
      <c r="G151" s="172"/>
      <c r="H151" s="172"/>
      <c r="I151" s="172"/>
      <c r="J151" s="172"/>
      <c r="K151" s="172"/>
      <c r="L151" s="277"/>
      <c r="M151" s="277"/>
      <c r="N151" s="277"/>
      <c r="O151" s="277"/>
      <c r="P151" s="278"/>
      <c r="Q151" s="278"/>
      <c r="R151" s="278"/>
      <c r="S151" s="278"/>
      <c r="T151" s="172"/>
      <c r="U151" s="282"/>
      <c r="V151" s="282"/>
      <c r="W151" s="283"/>
      <c r="X151" s="284"/>
      <c r="Y151" s="285"/>
      <c r="Z151" s="178"/>
      <c r="AA151" s="172"/>
      <c r="AB151" s="172"/>
      <c r="AC151" s="172"/>
      <c r="AD151" s="172"/>
      <c r="AE151" s="172"/>
      <c r="AF151" s="276"/>
      <c r="AG151" s="172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13.5" customHeight="1">
      <c r="A152" s="1"/>
      <c r="B152" s="188"/>
      <c r="C152" s="188"/>
      <c r="D152" s="172"/>
      <c r="E152" s="172"/>
      <c r="F152" s="172"/>
      <c r="G152" s="172"/>
      <c r="H152" s="172"/>
      <c r="I152" s="172"/>
      <c r="J152" s="172"/>
      <c r="K152" s="172"/>
      <c r="L152" s="277"/>
      <c r="M152" s="277"/>
      <c r="N152" s="277"/>
      <c r="O152" s="277"/>
      <c r="P152" s="278"/>
      <c r="Q152" s="278"/>
      <c r="R152" s="278"/>
      <c r="S152" s="278"/>
      <c r="T152" s="172"/>
      <c r="U152" s="282"/>
      <c r="V152" s="282"/>
      <c r="W152" s="283"/>
      <c r="X152" s="284"/>
      <c r="Y152" s="285"/>
      <c r="Z152" s="178"/>
      <c r="AA152" s="172"/>
      <c r="AB152" s="172"/>
      <c r="AC152" s="172"/>
      <c r="AD152" s="172"/>
      <c r="AE152" s="172"/>
      <c r="AF152" s="276"/>
      <c r="AG152" s="172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13.5" customHeight="1">
      <c r="A153" s="1"/>
      <c r="B153" s="188"/>
      <c r="C153" s="188"/>
      <c r="D153" s="172"/>
      <c r="E153" s="172"/>
      <c r="F153" s="172"/>
      <c r="G153" s="172"/>
      <c r="H153" s="172"/>
      <c r="I153" s="172"/>
      <c r="J153" s="172"/>
      <c r="K153" s="172"/>
      <c r="L153" s="277"/>
      <c r="M153" s="277"/>
      <c r="N153" s="277"/>
      <c r="O153" s="277"/>
      <c r="P153" s="278"/>
      <c r="Q153" s="278"/>
      <c r="R153" s="278"/>
      <c r="S153" s="278"/>
      <c r="T153" s="172"/>
      <c r="U153" s="282"/>
      <c r="V153" s="282"/>
      <c r="W153" s="283"/>
      <c r="X153" s="284"/>
      <c r="Y153" s="285"/>
      <c r="Z153" s="178"/>
      <c r="AA153" s="172"/>
      <c r="AB153" s="172"/>
      <c r="AC153" s="172"/>
      <c r="AD153" s="172"/>
      <c r="AE153" s="172"/>
      <c r="AF153" s="276"/>
      <c r="AG153" s="172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13.5" customHeight="1">
      <c r="A154" s="1"/>
      <c r="B154" s="188"/>
      <c r="C154" s="188"/>
      <c r="D154" s="172"/>
      <c r="E154" s="172"/>
      <c r="F154" s="172"/>
      <c r="G154" s="172"/>
      <c r="H154" s="172"/>
      <c r="I154" s="172"/>
      <c r="J154" s="172"/>
      <c r="K154" s="172"/>
      <c r="L154" s="277"/>
      <c r="M154" s="277"/>
      <c r="N154" s="277"/>
      <c r="O154" s="277"/>
      <c r="P154" s="278"/>
      <c r="Q154" s="278"/>
      <c r="R154" s="278"/>
      <c r="S154" s="278"/>
      <c r="T154" s="172"/>
      <c r="U154" s="282"/>
      <c r="V154" s="282"/>
      <c r="W154" s="283"/>
      <c r="X154" s="284"/>
      <c r="Y154" s="285"/>
      <c r="Z154" s="178"/>
      <c r="AA154" s="172"/>
      <c r="AB154" s="172"/>
      <c r="AC154" s="172"/>
      <c r="AD154" s="172"/>
      <c r="AE154" s="172"/>
      <c r="AF154" s="276"/>
      <c r="AG154" s="172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13.5" customHeight="1">
      <c r="A155" s="1"/>
      <c r="B155" s="188"/>
      <c r="C155" s="188"/>
      <c r="D155" s="172"/>
      <c r="E155" s="172"/>
      <c r="F155" s="172"/>
      <c r="G155" s="172"/>
      <c r="H155" s="172"/>
      <c r="I155" s="172"/>
      <c r="J155" s="172"/>
      <c r="K155" s="172"/>
      <c r="L155" s="277"/>
      <c r="M155" s="277"/>
      <c r="N155" s="277"/>
      <c r="O155" s="277"/>
      <c r="P155" s="278"/>
      <c r="Q155" s="278"/>
      <c r="R155" s="278"/>
      <c r="S155" s="278"/>
      <c r="T155" s="172"/>
      <c r="U155" s="282"/>
      <c r="V155" s="282"/>
      <c r="W155" s="283"/>
      <c r="X155" s="284"/>
      <c r="Y155" s="285"/>
      <c r="Z155" s="178"/>
      <c r="AA155" s="172"/>
      <c r="AB155" s="172"/>
      <c r="AC155" s="172"/>
      <c r="AD155" s="172"/>
      <c r="AE155" s="172"/>
      <c r="AF155" s="276"/>
      <c r="AG155" s="172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13.5" customHeight="1">
      <c r="A156" s="1"/>
      <c r="B156" s="188"/>
      <c r="C156" s="188"/>
      <c r="D156" s="172"/>
      <c r="E156" s="172"/>
      <c r="F156" s="172"/>
      <c r="G156" s="172"/>
      <c r="H156" s="172"/>
      <c r="I156" s="172"/>
      <c r="J156" s="172"/>
      <c r="K156" s="172"/>
      <c r="L156" s="277"/>
      <c r="M156" s="277"/>
      <c r="N156" s="277"/>
      <c r="O156" s="277"/>
      <c r="P156" s="278"/>
      <c r="Q156" s="278"/>
      <c r="R156" s="278"/>
      <c r="S156" s="278"/>
      <c r="T156" s="172"/>
      <c r="U156" s="282"/>
      <c r="V156" s="282"/>
      <c r="W156" s="283"/>
      <c r="X156" s="284"/>
      <c r="Y156" s="285"/>
      <c r="Z156" s="178"/>
      <c r="AA156" s="172"/>
      <c r="AB156" s="172"/>
      <c r="AC156" s="172"/>
      <c r="AD156" s="172"/>
      <c r="AE156" s="172"/>
      <c r="AF156" s="276"/>
      <c r="AG156" s="172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13.5" customHeight="1">
      <c r="A157" s="1"/>
      <c r="B157" s="188"/>
      <c r="C157" s="188"/>
      <c r="D157" s="172"/>
      <c r="E157" s="172"/>
      <c r="F157" s="172"/>
      <c r="G157" s="172"/>
      <c r="H157" s="172"/>
      <c r="I157" s="172"/>
      <c r="J157" s="172"/>
      <c r="K157" s="172"/>
      <c r="L157" s="277"/>
      <c r="M157" s="277"/>
      <c r="N157" s="277"/>
      <c r="O157" s="277"/>
      <c r="P157" s="278"/>
      <c r="Q157" s="278"/>
      <c r="R157" s="278"/>
      <c r="S157" s="278"/>
      <c r="T157" s="172"/>
      <c r="U157" s="282"/>
      <c r="V157" s="282"/>
      <c r="W157" s="283"/>
      <c r="X157" s="284"/>
      <c r="Y157" s="285"/>
      <c r="Z157" s="178"/>
      <c r="AA157" s="172"/>
      <c r="AB157" s="172"/>
      <c r="AC157" s="172"/>
      <c r="AD157" s="172"/>
      <c r="AE157" s="172"/>
      <c r="AF157" s="276"/>
      <c r="AG157" s="172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13.5" customHeight="1">
      <c r="A158" s="1"/>
      <c r="B158" s="188"/>
      <c r="C158" s="188"/>
      <c r="D158" s="172"/>
      <c r="E158" s="172"/>
      <c r="F158" s="172"/>
      <c r="G158" s="172"/>
      <c r="H158" s="172"/>
      <c r="I158" s="172"/>
      <c r="J158" s="172"/>
      <c r="K158" s="172"/>
      <c r="L158" s="277"/>
      <c r="M158" s="277"/>
      <c r="N158" s="277"/>
      <c r="O158" s="277"/>
      <c r="P158" s="278"/>
      <c r="Q158" s="278"/>
      <c r="R158" s="278"/>
      <c r="S158" s="278"/>
      <c r="T158" s="172"/>
      <c r="U158" s="282"/>
      <c r="V158" s="282"/>
      <c r="W158" s="283"/>
      <c r="X158" s="284"/>
      <c r="Y158" s="285"/>
      <c r="Z158" s="178"/>
      <c r="AA158" s="172"/>
      <c r="AB158" s="172"/>
      <c r="AC158" s="172"/>
      <c r="AD158" s="172"/>
      <c r="AE158" s="172"/>
      <c r="AF158" s="276"/>
      <c r="AG158" s="172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13.5" customHeight="1">
      <c r="A159" s="1"/>
      <c r="B159" s="188"/>
      <c r="C159" s="188"/>
      <c r="D159" s="172"/>
      <c r="E159" s="172"/>
      <c r="F159" s="172"/>
      <c r="G159" s="172"/>
      <c r="H159" s="172"/>
      <c r="I159" s="172"/>
      <c r="J159" s="172"/>
      <c r="K159" s="172"/>
      <c r="L159" s="277"/>
      <c r="M159" s="277"/>
      <c r="N159" s="277"/>
      <c r="O159" s="277"/>
      <c r="P159" s="278"/>
      <c r="Q159" s="278"/>
      <c r="R159" s="278"/>
      <c r="S159" s="278"/>
      <c r="T159" s="172"/>
      <c r="U159" s="282"/>
      <c r="V159" s="282"/>
      <c r="W159" s="283"/>
      <c r="X159" s="284"/>
      <c r="Y159" s="285"/>
      <c r="Z159" s="178"/>
      <c r="AA159" s="172"/>
      <c r="AB159" s="172"/>
      <c r="AC159" s="172"/>
      <c r="AD159" s="172"/>
      <c r="AE159" s="172"/>
      <c r="AF159" s="276"/>
      <c r="AG159" s="172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13.5" customHeight="1">
      <c r="A160" s="1"/>
      <c r="B160" s="188"/>
      <c r="C160" s="188"/>
      <c r="D160" s="172"/>
      <c r="E160" s="172"/>
      <c r="F160" s="172"/>
      <c r="G160" s="172"/>
      <c r="H160" s="172"/>
      <c r="I160" s="172"/>
      <c r="J160" s="172"/>
      <c r="K160" s="172"/>
      <c r="L160" s="277"/>
      <c r="M160" s="277"/>
      <c r="N160" s="277"/>
      <c r="O160" s="277"/>
      <c r="P160" s="278"/>
      <c r="Q160" s="278"/>
      <c r="R160" s="278"/>
      <c r="S160" s="278"/>
      <c r="T160" s="172"/>
      <c r="U160" s="282"/>
      <c r="V160" s="282"/>
      <c r="W160" s="283"/>
      <c r="X160" s="284"/>
      <c r="Y160" s="285"/>
      <c r="Z160" s="178"/>
      <c r="AA160" s="172"/>
      <c r="AB160" s="172"/>
      <c r="AC160" s="172"/>
      <c r="AD160" s="172"/>
      <c r="AE160" s="172"/>
      <c r="AF160" s="276"/>
      <c r="AG160" s="172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13.5" customHeight="1">
      <c r="A161" s="1"/>
      <c r="B161" s="188"/>
      <c r="C161" s="188"/>
      <c r="D161" s="172"/>
      <c r="E161" s="172"/>
      <c r="F161" s="172"/>
      <c r="G161" s="172"/>
      <c r="H161" s="172"/>
      <c r="I161" s="172"/>
      <c r="J161" s="172"/>
      <c r="K161" s="172"/>
      <c r="L161" s="277"/>
      <c r="M161" s="277"/>
      <c r="N161" s="277"/>
      <c r="O161" s="277"/>
      <c r="P161" s="278"/>
      <c r="Q161" s="278"/>
      <c r="R161" s="278"/>
      <c r="S161" s="278"/>
      <c r="T161" s="172"/>
      <c r="U161" s="282"/>
      <c r="V161" s="282"/>
      <c r="W161" s="283"/>
      <c r="X161" s="284"/>
      <c r="Y161" s="285"/>
      <c r="Z161" s="178"/>
      <c r="AA161" s="172"/>
      <c r="AB161" s="172"/>
      <c r="AC161" s="172"/>
      <c r="AD161" s="172"/>
      <c r="AE161" s="172"/>
      <c r="AF161" s="276"/>
      <c r="AG161" s="172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13.5" customHeight="1">
      <c r="A162" s="1"/>
      <c r="B162" s="188"/>
      <c r="C162" s="188"/>
      <c r="D162" s="172"/>
      <c r="E162" s="172"/>
      <c r="F162" s="172"/>
      <c r="G162" s="172"/>
      <c r="H162" s="172"/>
      <c r="I162" s="172"/>
      <c r="J162" s="172"/>
      <c r="K162" s="172"/>
      <c r="L162" s="277"/>
      <c r="M162" s="277"/>
      <c r="N162" s="277"/>
      <c r="O162" s="277"/>
      <c r="P162" s="278"/>
      <c r="Q162" s="278"/>
      <c r="R162" s="278"/>
      <c r="S162" s="278"/>
      <c r="T162" s="172"/>
      <c r="U162" s="282"/>
      <c r="V162" s="282"/>
      <c r="W162" s="283"/>
      <c r="X162" s="284"/>
      <c r="Y162" s="285"/>
      <c r="Z162" s="178"/>
      <c r="AA162" s="172"/>
      <c r="AB162" s="172"/>
      <c r="AC162" s="172"/>
      <c r="AD162" s="172"/>
      <c r="AE162" s="172"/>
      <c r="AF162" s="276"/>
      <c r="AG162" s="172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13.5" customHeight="1">
      <c r="A163" s="1"/>
      <c r="B163" s="188"/>
      <c r="C163" s="188"/>
      <c r="D163" s="172"/>
      <c r="E163" s="172"/>
      <c r="F163" s="172"/>
      <c r="G163" s="172"/>
      <c r="H163" s="172"/>
      <c r="I163" s="172"/>
      <c r="J163" s="172"/>
      <c r="K163" s="172"/>
      <c r="L163" s="277"/>
      <c r="M163" s="277"/>
      <c r="N163" s="277"/>
      <c r="O163" s="277"/>
      <c r="P163" s="278"/>
      <c r="Q163" s="278"/>
      <c r="R163" s="278"/>
      <c r="S163" s="278"/>
      <c r="T163" s="172"/>
      <c r="U163" s="282"/>
      <c r="V163" s="282"/>
      <c r="W163" s="283"/>
      <c r="X163" s="284"/>
      <c r="Y163" s="285"/>
      <c r="Z163" s="178"/>
      <c r="AA163" s="172"/>
      <c r="AB163" s="172"/>
      <c r="AC163" s="172"/>
      <c r="AD163" s="172"/>
      <c r="AE163" s="172"/>
      <c r="AF163" s="276"/>
      <c r="AG163" s="172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13.5" customHeight="1">
      <c r="A164" s="1"/>
      <c r="B164" s="188"/>
      <c r="C164" s="188"/>
      <c r="D164" s="172"/>
      <c r="E164" s="172"/>
      <c r="F164" s="172"/>
      <c r="G164" s="172"/>
      <c r="H164" s="172"/>
      <c r="I164" s="172"/>
      <c r="J164" s="172"/>
      <c r="K164" s="172"/>
      <c r="L164" s="277"/>
      <c r="M164" s="277"/>
      <c r="N164" s="277"/>
      <c r="O164" s="277"/>
      <c r="P164" s="278"/>
      <c r="Q164" s="278"/>
      <c r="R164" s="278"/>
      <c r="S164" s="278"/>
      <c r="T164" s="172"/>
      <c r="U164" s="282"/>
      <c r="V164" s="282"/>
      <c r="W164" s="283"/>
      <c r="X164" s="284"/>
      <c r="Y164" s="285"/>
      <c r="Z164" s="178"/>
      <c r="AA164" s="172"/>
      <c r="AB164" s="172"/>
      <c r="AC164" s="172"/>
      <c r="AD164" s="172"/>
      <c r="AE164" s="172"/>
      <c r="AF164" s="276"/>
      <c r="AG164" s="172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13.5" customHeight="1">
      <c r="A165" s="1"/>
      <c r="B165" s="188"/>
      <c r="C165" s="188"/>
      <c r="D165" s="172"/>
      <c r="E165" s="172"/>
      <c r="F165" s="172"/>
      <c r="G165" s="172"/>
      <c r="H165" s="172"/>
      <c r="I165" s="172"/>
      <c r="J165" s="172"/>
      <c r="K165" s="172"/>
      <c r="L165" s="277"/>
      <c r="M165" s="277"/>
      <c r="N165" s="277"/>
      <c r="O165" s="277"/>
      <c r="P165" s="278"/>
      <c r="Q165" s="278"/>
      <c r="R165" s="278"/>
      <c r="S165" s="278"/>
      <c r="T165" s="172"/>
      <c r="U165" s="282"/>
      <c r="V165" s="282"/>
      <c r="W165" s="283"/>
      <c r="X165" s="284"/>
      <c r="Y165" s="285"/>
      <c r="Z165" s="178"/>
      <c r="AA165" s="172"/>
      <c r="AB165" s="172"/>
      <c r="AC165" s="172"/>
      <c r="AD165" s="172"/>
      <c r="AE165" s="172"/>
      <c r="AF165" s="276"/>
      <c r="AG165" s="172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13.5" customHeight="1">
      <c r="A166" s="1"/>
      <c r="B166" s="188"/>
      <c r="C166" s="188"/>
      <c r="D166" s="172"/>
      <c r="E166" s="172"/>
      <c r="F166" s="172"/>
      <c r="G166" s="172"/>
      <c r="H166" s="172"/>
      <c r="I166" s="172"/>
      <c r="J166" s="172"/>
      <c r="K166" s="172"/>
      <c r="L166" s="277"/>
      <c r="M166" s="277"/>
      <c r="N166" s="277"/>
      <c r="O166" s="277"/>
      <c r="P166" s="278"/>
      <c r="Q166" s="278"/>
      <c r="R166" s="278"/>
      <c r="S166" s="278"/>
      <c r="T166" s="172"/>
      <c r="U166" s="282"/>
      <c r="V166" s="282"/>
      <c r="W166" s="283"/>
      <c r="X166" s="284"/>
      <c r="Y166" s="285"/>
      <c r="Z166" s="178"/>
      <c r="AA166" s="172"/>
      <c r="AB166" s="172"/>
      <c r="AC166" s="172"/>
      <c r="AD166" s="172"/>
      <c r="AE166" s="172"/>
      <c r="AF166" s="276"/>
      <c r="AG166" s="172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13.5" customHeight="1">
      <c r="A167" s="1"/>
      <c r="B167" s="188"/>
      <c r="C167" s="188"/>
      <c r="D167" s="172"/>
      <c r="E167" s="172"/>
      <c r="F167" s="172"/>
      <c r="G167" s="172"/>
      <c r="H167" s="172"/>
      <c r="I167" s="172"/>
      <c r="J167" s="172"/>
      <c r="K167" s="172"/>
      <c r="L167" s="277"/>
      <c r="M167" s="277"/>
      <c r="N167" s="277"/>
      <c r="O167" s="277"/>
      <c r="P167" s="278"/>
      <c r="Q167" s="278"/>
      <c r="R167" s="278"/>
      <c r="S167" s="278"/>
      <c r="T167" s="172"/>
      <c r="U167" s="282"/>
      <c r="V167" s="282"/>
      <c r="W167" s="283"/>
      <c r="X167" s="284"/>
      <c r="Y167" s="285"/>
      <c r="Z167" s="178"/>
      <c r="AA167" s="172"/>
      <c r="AB167" s="172"/>
      <c r="AC167" s="172"/>
      <c r="AD167" s="172"/>
      <c r="AE167" s="172"/>
      <c r="AF167" s="276"/>
      <c r="AG167" s="172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13.5" customHeight="1">
      <c r="A168" s="1"/>
      <c r="B168" s="188"/>
      <c r="C168" s="188"/>
      <c r="D168" s="172"/>
      <c r="E168" s="172"/>
      <c r="F168" s="172"/>
      <c r="G168" s="172"/>
      <c r="H168" s="172"/>
      <c r="I168" s="172"/>
      <c r="J168" s="172"/>
      <c r="K168" s="172"/>
      <c r="L168" s="277"/>
      <c r="M168" s="277"/>
      <c r="N168" s="277"/>
      <c r="O168" s="277"/>
      <c r="P168" s="278"/>
      <c r="Q168" s="278"/>
      <c r="R168" s="278"/>
      <c r="S168" s="278"/>
      <c r="T168" s="172"/>
      <c r="U168" s="282"/>
      <c r="V168" s="282"/>
      <c r="W168" s="283"/>
      <c r="X168" s="284"/>
      <c r="Y168" s="285"/>
      <c r="Z168" s="178"/>
      <c r="AA168" s="172"/>
      <c r="AB168" s="172"/>
      <c r="AC168" s="172"/>
      <c r="AD168" s="172"/>
      <c r="AE168" s="172"/>
      <c r="AF168" s="276"/>
      <c r="AG168" s="172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13.5" customHeight="1">
      <c r="A169" s="1"/>
      <c r="B169" s="188"/>
      <c r="C169" s="188"/>
      <c r="D169" s="172"/>
      <c r="E169" s="172"/>
      <c r="F169" s="172"/>
      <c r="G169" s="172"/>
      <c r="H169" s="172"/>
      <c r="I169" s="172"/>
      <c r="J169" s="172"/>
      <c r="K169" s="172"/>
      <c r="L169" s="277"/>
      <c r="M169" s="277"/>
      <c r="N169" s="277"/>
      <c r="O169" s="277"/>
      <c r="P169" s="278"/>
      <c r="Q169" s="278"/>
      <c r="R169" s="278"/>
      <c r="S169" s="278"/>
      <c r="T169" s="172"/>
      <c r="U169" s="282"/>
      <c r="V169" s="282"/>
      <c r="W169" s="283"/>
      <c r="X169" s="284"/>
      <c r="Y169" s="285"/>
      <c r="Z169" s="178"/>
      <c r="AA169" s="172"/>
      <c r="AB169" s="172"/>
      <c r="AC169" s="172"/>
      <c r="AD169" s="172"/>
      <c r="AE169" s="172"/>
      <c r="AF169" s="276"/>
      <c r="AG169" s="172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13.5" customHeight="1">
      <c r="A170" s="1"/>
      <c r="B170" s="188"/>
      <c r="C170" s="188"/>
      <c r="D170" s="172"/>
      <c r="E170" s="172"/>
      <c r="F170" s="172"/>
      <c r="G170" s="172"/>
      <c r="H170" s="172"/>
      <c r="I170" s="172"/>
      <c r="J170" s="172"/>
      <c r="K170" s="172"/>
      <c r="L170" s="277"/>
      <c r="M170" s="277"/>
      <c r="N170" s="277"/>
      <c r="O170" s="277"/>
      <c r="P170" s="278"/>
      <c r="Q170" s="278"/>
      <c r="R170" s="278"/>
      <c r="S170" s="278"/>
      <c r="T170" s="172"/>
      <c r="U170" s="282"/>
      <c r="V170" s="282"/>
      <c r="W170" s="283"/>
      <c r="X170" s="284"/>
      <c r="Y170" s="285"/>
      <c r="Z170" s="178"/>
      <c r="AA170" s="172"/>
      <c r="AB170" s="172"/>
      <c r="AC170" s="172"/>
      <c r="AD170" s="172"/>
      <c r="AE170" s="172"/>
      <c r="AF170" s="276"/>
      <c r="AG170" s="172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13.5" customHeight="1">
      <c r="A171" s="1"/>
      <c r="B171" s="188"/>
      <c r="C171" s="188"/>
      <c r="D171" s="172"/>
      <c r="E171" s="172"/>
      <c r="F171" s="172"/>
      <c r="G171" s="172"/>
      <c r="H171" s="172"/>
      <c r="I171" s="172"/>
      <c r="J171" s="172"/>
      <c r="K171" s="172"/>
      <c r="L171" s="277"/>
      <c r="M171" s="277"/>
      <c r="N171" s="277"/>
      <c r="O171" s="277"/>
      <c r="P171" s="278"/>
      <c r="Q171" s="278"/>
      <c r="R171" s="278"/>
      <c r="S171" s="278"/>
      <c r="T171" s="172"/>
      <c r="U171" s="282"/>
      <c r="V171" s="282"/>
      <c r="W171" s="283"/>
      <c r="X171" s="284"/>
      <c r="Y171" s="285"/>
      <c r="Z171" s="178"/>
      <c r="AA171" s="172"/>
      <c r="AB171" s="172"/>
      <c r="AC171" s="172"/>
      <c r="AD171" s="172"/>
      <c r="AE171" s="172"/>
      <c r="AF171" s="276"/>
      <c r="AG171" s="172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13.5" customHeight="1">
      <c r="A172" s="1"/>
      <c r="B172" s="188"/>
      <c r="C172" s="188"/>
      <c r="D172" s="172"/>
      <c r="E172" s="172"/>
      <c r="F172" s="172"/>
      <c r="G172" s="172"/>
      <c r="H172" s="172"/>
      <c r="I172" s="172"/>
      <c r="J172" s="172"/>
      <c r="K172" s="172"/>
      <c r="L172" s="277"/>
      <c r="M172" s="277"/>
      <c r="N172" s="277"/>
      <c r="O172" s="277"/>
      <c r="P172" s="278"/>
      <c r="Q172" s="278"/>
      <c r="R172" s="278"/>
      <c r="S172" s="278"/>
      <c r="T172" s="172"/>
      <c r="U172" s="282"/>
      <c r="V172" s="282"/>
      <c r="W172" s="283"/>
      <c r="X172" s="284"/>
      <c r="Y172" s="285"/>
      <c r="Z172" s="178"/>
      <c r="AA172" s="172"/>
      <c r="AB172" s="172"/>
      <c r="AC172" s="172"/>
      <c r="AD172" s="172"/>
      <c r="AE172" s="172"/>
      <c r="AF172" s="276"/>
      <c r="AG172" s="172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13.5" customHeight="1">
      <c r="A173" s="1"/>
      <c r="B173" s="188"/>
      <c r="C173" s="188"/>
      <c r="D173" s="172"/>
      <c r="E173" s="172"/>
      <c r="F173" s="172"/>
      <c r="G173" s="172"/>
      <c r="H173" s="172"/>
      <c r="I173" s="172"/>
      <c r="J173" s="172"/>
      <c r="K173" s="172"/>
      <c r="L173" s="277"/>
      <c r="M173" s="277"/>
      <c r="N173" s="277"/>
      <c r="O173" s="277"/>
      <c r="P173" s="278"/>
      <c r="Q173" s="278"/>
      <c r="R173" s="278"/>
      <c r="S173" s="278"/>
      <c r="T173" s="172"/>
      <c r="U173" s="282"/>
      <c r="V173" s="282"/>
      <c r="W173" s="283"/>
      <c r="X173" s="284"/>
      <c r="Y173" s="285"/>
      <c r="Z173" s="178"/>
      <c r="AA173" s="172"/>
      <c r="AB173" s="172"/>
      <c r="AC173" s="172"/>
      <c r="AD173" s="172"/>
      <c r="AE173" s="172"/>
      <c r="AF173" s="276"/>
      <c r="AG173" s="172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13.5" customHeight="1">
      <c r="A174" s="1"/>
      <c r="B174" s="188"/>
      <c r="C174" s="188"/>
      <c r="D174" s="172"/>
      <c r="E174" s="172"/>
      <c r="F174" s="172"/>
      <c r="G174" s="172"/>
      <c r="H174" s="172"/>
      <c r="I174" s="172"/>
      <c r="J174" s="172"/>
      <c r="K174" s="172"/>
      <c r="L174" s="277"/>
      <c r="M174" s="277"/>
      <c r="N174" s="277"/>
      <c r="O174" s="277"/>
      <c r="P174" s="278"/>
      <c r="Q174" s="278"/>
      <c r="R174" s="278"/>
      <c r="S174" s="278"/>
      <c r="T174" s="172"/>
      <c r="U174" s="282"/>
      <c r="V174" s="282"/>
      <c r="W174" s="283"/>
      <c r="X174" s="284"/>
      <c r="Y174" s="285"/>
      <c r="Z174" s="178"/>
      <c r="AA174" s="172"/>
      <c r="AB174" s="172"/>
      <c r="AC174" s="172"/>
      <c r="AD174" s="172"/>
      <c r="AE174" s="172"/>
      <c r="AF174" s="276"/>
      <c r="AG174" s="172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13.5" customHeight="1">
      <c r="A175" s="1"/>
      <c r="B175" s="188"/>
      <c r="C175" s="188"/>
      <c r="D175" s="172"/>
      <c r="E175" s="172"/>
      <c r="F175" s="172"/>
      <c r="G175" s="172"/>
      <c r="H175" s="172"/>
      <c r="I175" s="172"/>
      <c r="J175" s="172"/>
      <c r="K175" s="172"/>
      <c r="L175" s="277"/>
      <c r="M175" s="277"/>
      <c r="N175" s="277"/>
      <c r="O175" s="277"/>
      <c r="P175" s="278"/>
      <c r="Q175" s="278"/>
      <c r="R175" s="278"/>
      <c r="S175" s="278"/>
      <c r="T175" s="172"/>
      <c r="U175" s="282"/>
      <c r="V175" s="282"/>
      <c r="W175" s="283"/>
      <c r="X175" s="284"/>
      <c r="Y175" s="285"/>
      <c r="Z175" s="178"/>
      <c r="AA175" s="172"/>
      <c r="AB175" s="172"/>
      <c r="AC175" s="172"/>
      <c r="AD175" s="172"/>
      <c r="AE175" s="172"/>
      <c r="AF175" s="276"/>
      <c r="AG175" s="172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13.5" customHeight="1">
      <c r="A176" s="1"/>
      <c r="B176" s="188"/>
      <c r="C176" s="188"/>
      <c r="D176" s="172"/>
      <c r="E176" s="172"/>
      <c r="F176" s="172"/>
      <c r="G176" s="172"/>
      <c r="H176" s="172"/>
      <c r="I176" s="172"/>
      <c r="J176" s="172"/>
      <c r="K176" s="172"/>
      <c r="L176" s="277"/>
      <c r="M176" s="277"/>
      <c r="N176" s="277"/>
      <c r="O176" s="277"/>
      <c r="P176" s="278"/>
      <c r="Q176" s="278"/>
      <c r="R176" s="278"/>
      <c r="S176" s="278"/>
      <c r="T176" s="172"/>
      <c r="U176" s="282"/>
      <c r="V176" s="282"/>
      <c r="W176" s="283"/>
      <c r="X176" s="284"/>
      <c r="Y176" s="285"/>
      <c r="Z176" s="178"/>
      <c r="AA176" s="172"/>
      <c r="AB176" s="172"/>
      <c r="AC176" s="172"/>
      <c r="AD176" s="172"/>
      <c r="AE176" s="172"/>
      <c r="AF176" s="276"/>
      <c r="AG176" s="172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13.5" customHeight="1">
      <c r="A177" s="1"/>
      <c r="B177" s="188"/>
      <c r="C177" s="188"/>
      <c r="D177" s="172"/>
      <c r="E177" s="172"/>
      <c r="F177" s="172"/>
      <c r="G177" s="172"/>
      <c r="H177" s="172"/>
      <c r="I177" s="172"/>
      <c r="J177" s="172"/>
      <c r="K177" s="172"/>
      <c r="L177" s="277"/>
      <c r="M177" s="277"/>
      <c r="N177" s="277"/>
      <c r="O177" s="277"/>
      <c r="P177" s="278"/>
      <c r="Q177" s="278"/>
      <c r="R177" s="278"/>
      <c r="S177" s="278"/>
      <c r="T177" s="172"/>
      <c r="U177" s="282"/>
      <c r="V177" s="282"/>
      <c r="W177" s="283"/>
      <c r="X177" s="284"/>
      <c r="Y177" s="285"/>
      <c r="Z177" s="178"/>
      <c r="AA177" s="172"/>
      <c r="AB177" s="172"/>
      <c r="AC177" s="172"/>
      <c r="AD177" s="172"/>
      <c r="AE177" s="172"/>
      <c r="AF177" s="276"/>
      <c r="AG177" s="172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13.5" customHeight="1">
      <c r="A178" s="1"/>
      <c r="B178" s="188"/>
      <c r="C178" s="188"/>
      <c r="D178" s="172"/>
      <c r="E178" s="172"/>
      <c r="F178" s="172"/>
      <c r="G178" s="172"/>
      <c r="H178" s="172"/>
      <c r="I178" s="172"/>
      <c r="J178" s="172"/>
      <c r="K178" s="172"/>
      <c r="L178" s="277"/>
      <c r="M178" s="277"/>
      <c r="N178" s="277"/>
      <c r="O178" s="277"/>
      <c r="P178" s="278"/>
      <c r="Q178" s="278"/>
      <c r="R178" s="278"/>
      <c r="S178" s="278"/>
      <c r="T178" s="172"/>
      <c r="U178" s="282"/>
      <c r="V178" s="282"/>
      <c r="W178" s="283"/>
      <c r="X178" s="284"/>
      <c r="Y178" s="285"/>
      <c r="Z178" s="178"/>
      <c r="AA178" s="172"/>
      <c r="AB178" s="172"/>
      <c r="AC178" s="172"/>
      <c r="AD178" s="172"/>
      <c r="AE178" s="172"/>
      <c r="AF178" s="276"/>
      <c r="AG178" s="172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13.5" customHeight="1">
      <c r="A179" s="1"/>
      <c r="B179" s="188"/>
      <c r="C179" s="188"/>
      <c r="D179" s="172"/>
      <c r="E179" s="172"/>
      <c r="F179" s="172"/>
      <c r="G179" s="172"/>
      <c r="H179" s="172"/>
      <c r="I179" s="172"/>
      <c r="J179" s="172"/>
      <c r="K179" s="172"/>
      <c r="L179" s="277"/>
      <c r="M179" s="277"/>
      <c r="N179" s="277"/>
      <c r="O179" s="277"/>
      <c r="P179" s="278"/>
      <c r="Q179" s="278"/>
      <c r="R179" s="278"/>
      <c r="S179" s="278"/>
      <c r="T179" s="172"/>
      <c r="U179" s="282"/>
      <c r="V179" s="282"/>
      <c r="W179" s="283"/>
      <c r="X179" s="284"/>
      <c r="Y179" s="285"/>
      <c r="Z179" s="178"/>
      <c r="AA179" s="172"/>
      <c r="AB179" s="172"/>
      <c r="AC179" s="172"/>
      <c r="AD179" s="172"/>
      <c r="AE179" s="172"/>
      <c r="AF179" s="276"/>
      <c r="AG179" s="172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13.5" customHeight="1">
      <c r="A180" s="1"/>
      <c r="B180" s="188"/>
      <c r="C180" s="188"/>
      <c r="D180" s="172"/>
      <c r="E180" s="172"/>
      <c r="F180" s="172"/>
      <c r="G180" s="172"/>
      <c r="H180" s="172"/>
      <c r="I180" s="172"/>
      <c r="J180" s="172"/>
      <c r="K180" s="172"/>
      <c r="L180" s="277"/>
      <c r="M180" s="277"/>
      <c r="N180" s="277"/>
      <c r="O180" s="277"/>
      <c r="P180" s="278"/>
      <c r="Q180" s="278"/>
      <c r="R180" s="278"/>
      <c r="S180" s="278"/>
      <c r="T180" s="172"/>
      <c r="U180" s="282"/>
      <c r="V180" s="282"/>
      <c r="W180" s="283"/>
      <c r="X180" s="284"/>
      <c r="Y180" s="285"/>
      <c r="Z180" s="178"/>
      <c r="AA180" s="172"/>
      <c r="AB180" s="172"/>
      <c r="AC180" s="172"/>
      <c r="AD180" s="172"/>
      <c r="AE180" s="172"/>
      <c r="AF180" s="276"/>
      <c r="AG180" s="172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13.5" customHeight="1">
      <c r="A181" s="1"/>
      <c r="B181" s="188"/>
      <c r="C181" s="188"/>
      <c r="D181" s="172"/>
      <c r="E181" s="172"/>
      <c r="F181" s="172"/>
      <c r="G181" s="172"/>
      <c r="H181" s="172"/>
      <c r="I181" s="172"/>
      <c r="J181" s="172"/>
      <c r="K181" s="172"/>
      <c r="L181" s="277"/>
      <c r="M181" s="277"/>
      <c r="N181" s="277"/>
      <c r="O181" s="277"/>
      <c r="P181" s="278"/>
      <c r="Q181" s="278"/>
      <c r="R181" s="278"/>
      <c r="S181" s="278"/>
      <c r="T181" s="172"/>
      <c r="U181" s="282"/>
      <c r="V181" s="282"/>
      <c r="W181" s="283"/>
      <c r="X181" s="284"/>
      <c r="Y181" s="285"/>
      <c r="Z181" s="178"/>
      <c r="AA181" s="172"/>
      <c r="AB181" s="172"/>
      <c r="AC181" s="172"/>
      <c r="AD181" s="172"/>
      <c r="AE181" s="172"/>
      <c r="AF181" s="276"/>
      <c r="AG181" s="172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13.5" customHeight="1">
      <c r="A182" s="1"/>
      <c r="B182" s="188"/>
      <c r="C182" s="188"/>
      <c r="D182" s="172"/>
      <c r="E182" s="172"/>
      <c r="F182" s="172"/>
      <c r="G182" s="172"/>
      <c r="H182" s="172"/>
      <c r="I182" s="172"/>
      <c r="J182" s="172"/>
      <c r="K182" s="172"/>
      <c r="L182" s="277"/>
      <c r="M182" s="277"/>
      <c r="N182" s="277"/>
      <c r="O182" s="277"/>
      <c r="P182" s="278"/>
      <c r="Q182" s="278"/>
      <c r="R182" s="278"/>
      <c r="S182" s="278"/>
      <c r="T182" s="172"/>
      <c r="U182" s="282"/>
      <c r="V182" s="282"/>
      <c r="W182" s="283"/>
      <c r="X182" s="284"/>
      <c r="Y182" s="285"/>
      <c r="Z182" s="178"/>
      <c r="AA182" s="172"/>
      <c r="AB182" s="172"/>
      <c r="AC182" s="172"/>
      <c r="AD182" s="172"/>
      <c r="AE182" s="172"/>
      <c r="AF182" s="276"/>
      <c r="AG182" s="172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13.5" customHeight="1">
      <c r="A183" s="1"/>
      <c r="B183" s="188"/>
      <c r="C183" s="188"/>
      <c r="D183" s="172"/>
      <c r="E183" s="172"/>
      <c r="F183" s="172"/>
      <c r="G183" s="172"/>
      <c r="H183" s="172"/>
      <c r="I183" s="172"/>
      <c r="J183" s="172"/>
      <c r="K183" s="172"/>
      <c r="L183" s="277"/>
      <c r="M183" s="277"/>
      <c r="N183" s="277"/>
      <c r="O183" s="277"/>
      <c r="P183" s="278"/>
      <c r="Q183" s="278"/>
      <c r="R183" s="278"/>
      <c r="S183" s="278"/>
      <c r="T183" s="172"/>
      <c r="U183" s="282"/>
      <c r="V183" s="282"/>
      <c r="W183" s="283"/>
      <c r="X183" s="284"/>
      <c r="Y183" s="285"/>
      <c r="Z183" s="178"/>
      <c r="AA183" s="172"/>
      <c r="AB183" s="172"/>
      <c r="AC183" s="172"/>
      <c r="AD183" s="172"/>
      <c r="AE183" s="172"/>
      <c r="AF183" s="276"/>
      <c r="AG183" s="172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13.5" customHeight="1">
      <c r="A184" s="1"/>
      <c r="B184" s="188"/>
      <c r="C184" s="188"/>
      <c r="D184" s="172"/>
      <c r="E184" s="172"/>
      <c r="F184" s="172"/>
      <c r="G184" s="172"/>
      <c r="H184" s="172"/>
      <c r="I184" s="172"/>
      <c r="J184" s="172"/>
      <c r="K184" s="172"/>
      <c r="L184" s="277"/>
      <c r="M184" s="277"/>
      <c r="N184" s="277"/>
      <c r="O184" s="277"/>
      <c r="P184" s="278"/>
      <c r="Q184" s="278"/>
      <c r="R184" s="278"/>
      <c r="S184" s="278"/>
      <c r="T184" s="172"/>
      <c r="U184" s="282"/>
      <c r="V184" s="282"/>
      <c r="W184" s="283"/>
      <c r="X184" s="284"/>
      <c r="Y184" s="285"/>
      <c r="Z184" s="178"/>
      <c r="AA184" s="172"/>
      <c r="AB184" s="172"/>
      <c r="AC184" s="172"/>
      <c r="AD184" s="172"/>
      <c r="AE184" s="172"/>
      <c r="AF184" s="276"/>
      <c r="AG184" s="172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13.5" customHeight="1">
      <c r="A185" s="1"/>
      <c r="B185" s="188"/>
      <c r="C185" s="188"/>
      <c r="D185" s="172"/>
      <c r="E185" s="172"/>
      <c r="F185" s="172"/>
      <c r="G185" s="172"/>
      <c r="H185" s="172"/>
      <c r="I185" s="172"/>
      <c r="J185" s="172"/>
      <c r="K185" s="172"/>
      <c r="L185" s="277"/>
      <c r="M185" s="277"/>
      <c r="N185" s="277"/>
      <c r="O185" s="277"/>
      <c r="P185" s="278"/>
      <c r="Q185" s="278"/>
      <c r="R185" s="278"/>
      <c r="S185" s="278"/>
      <c r="T185" s="172"/>
      <c r="U185" s="282"/>
      <c r="V185" s="282"/>
      <c r="W185" s="283"/>
      <c r="X185" s="284"/>
      <c r="Y185" s="285"/>
      <c r="Z185" s="178"/>
      <c r="AA185" s="172"/>
      <c r="AB185" s="172"/>
      <c r="AC185" s="172"/>
      <c r="AD185" s="172"/>
      <c r="AE185" s="172"/>
      <c r="AF185" s="276"/>
      <c r="AG185" s="172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13.5" customHeight="1">
      <c r="A186" s="1"/>
      <c r="B186" s="188"/>
      <c r="C186" s="188"/>
      <c r="D186" s="172"/>
      <c r="E186" s="172"/>
      <c r="F186" s="172"/>
      <c r="G186" s="172"/>
      <c r="H186" s="172"/>
      <c r="I186" s="172"/>
      <c r="J186" s="172"/>
      <c r="K186" s="172"/>
      <c r="L186" s="277"/>
      <c r="M186" s="277"/>
      <c r="N186" s="277"/>
      <c r="O186" s="277"/>
      <c r="P186" s="278"/>
      <c r="Q186" s="278"/>
      <c r="R186" s="278"/>
      <c r="S186" s="278"/>
      <c r="T186" s="172"/>
      <c r="U186" s="282"/>
      <c r="V186" s="282"/>
      <c r="W186" s="283"/>
      <c r="X186" s="284"/>
      <c r="Y186" s="285"/>
      <c r="Z186" s="178"/>
      <c r="AA186" s="172"/>
      <c r="AB186" s="172"/>
      <c r="AC186" s="172"/>
      <c r="AD186" s="172"/>
      <c r="AE186" s="172"/>
      <c r="AF186" s="276"/>
      <c r="AG186" s="172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13.5" customHeight="1">
      <c r="A187" s="1"/>
      <c r="B187" s="188"/>
      <c r="C187" s="188"/>
      <c r="D187" s="172"/>
      <c r="E187" s="172"/>
      <c r="F187" s="172"/>
      <c r="G187" s="172"/>
      <c r="H187" s="172"/>
      <c r="I187" s="172"/>
      <c r="J187" s="172"/>
      <c r="K187" s="172"/>
      <c r="L187" s="277"/>
      <c r="M187" s="277"/>
      <c r="N187" s="277"/>
      <c r="O187" s="277"/>
      <c r="P187" s="278"/>
      <c r="Q187" s="278"/>
      <c r="R187" s="278"/>
      <c r="S187" s="278"/>
      <c r="T187" s="172"/>
      <c r="U187" s="282"/>
      <c r="V187" s="282"/>
      <c r="W187" s="283"/>
      <c r="X187" s="284"/>
      <c r="Y187" s="285"/>
      <c r="Z187" s="178"/>
      <c r="AA187" s="172"/>
      <c r="AB187" s="172"/>
      <c r="AC187" s="172"/>
      <c r="AD187" s="172"/>
      <c r="AE187" s="172"/>
      <c r="AF187" s="276"/>
      <c r="AG187" s="172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13.5" customHeight="1">
      <c r="A188" s="1"/>
      <c r="B188" s="188"/>
      <c r="C188" s="188"/>
      <c r="D188" s="172"/>
      <c r="E188" s="172"/>
      <c r="F188" s="172"/>
      <c r="G188" s="172"/>
      <c r="H188" s="172"/>
      <c r="I188" s="172"/>
      <c r="J188" s="172"/>
      <c r="K188" s="172"/>
      <c r="L188" s="277"/>
      <c r="M188" s="277"/>
      <c r="N188" s="277"/>
      <c r="O188" s="277"/>
      <c r="P188" s="278"/>
      <c r="Q188" s="278"/>
      <c r="R188" s="278"/>
      <c r="S188" s="278"/>
      <c r="T188" s="172"/>
      <c r="U188" s="282"/>
      <c r="V188" s="282"/>
      <c r="W188" s="283"/>
      <c r="X188" s="284"/>
      <c r="Y188" s="285"/>
      <c r="Z188" s="178"/>
      <c r="AA188" s="172"/>
      <c r="AB188" s="172"/>
      <c r="AC188" s="172"/>
      <c r="AD188" s="172"/>
      <c r="AE188" s="172"/>
      <c r="AF188" s="276"/>
      <c r="AG188" s="172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13.5" customHeight="1">
      <c r="A189" s="1"/>
      <c r="B189" s="188"/>
      <c r="C189" s="188"/>
      <c r="D189" s="172"/>
      <c r="E189" s="172"/>
      <c r="F189" s="172"/>
      <c r="G189" s="172"/>
      <c r="H189" s="172"/>
      <c r="I189" s="172"/>
      <c r="J189" s="172"/>
      <c r="K189" s="172"/>
      <c r="L189" s="277"/>
      <c r="M189" s="277"/>
      <c r="N189" s="277"/>
      <c r="O189" s="277"/>
      <c r="P189" s="278"/>
      <c r="Q189" s="278"/>
      <c r="R189" s="278"/>
      <c r="S189" s="278"/>
      <c r="T189" s="172"/>
      <c r="U189" s="282"/>
      <c r="V189" s="282"/>
      <c r="W189" s="283"/>
      <c r="X189" s="284"/>
      <c r="Y189" s="285"/>
      <c r="Z189" s="178"/>
      <c r="AA189" s="172"/>
      <c r="AB189" s="172"/>
      <c r="AC189" s="172"/>
      <c r="AD189" s="172"/>
      <c r="AE189" s="172"/>
      <c r="AF189" s="276"/>
      <c r="AG189" s="172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13.5" customHeight="1">
      <c r="A190" s="1"/>
      <c r="B190" s="188"/>
      <c r="C190" s="188"/>
      <c r="D190" s="172"/>
      <c r="E190" s="172"/>
      <c r="F190" s="172"/>
      <c r="G190" s="172"/>
      <c r="H190" s="172"/>
      <c r="I190" s="172"/>
      <c r="J190" s="172"/>
      <c r="K190" s="172"/>
      <c r="L190" s="277"/>
      <c r="M190" s="277"/>
      <c r="N190" s="277"/>
      <c r="O190" s="277"/>
      <c r="P190" s="278"/>
      <c r="Q190" s="278"/>
      <c r="R190" s="278"/>
      <c r="S190" s="278"/>
      <c r="T190" s="172"/>
      <c r="U190" s="282"/>
      <c r="V190" s="282"/>
      <c r="W190" s="283"/>
      <c r="X190" s="284"/>
      <c r="Y190" s="285"/>
      <c r="Z190" s="178"/>
      <c r="AA190" s="172"/>
      <c r="AB190" s="172"/>
      <c r="AC190" s="172"/>
      <c r="AD190" s="172"/>
      <c r="AE190" s="172"/>
      <c r="AF190" s="276"/>
      <c r="AG190" s="172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13.5" customHeight="1">
      <c r="A191" s="1"/>
      <c r="B191" s="188"/>
      <c r="C191" s="188"/>
      <c r="D191" s="172"/>
      <c r="E191" s="172"/>
      <c r="F191" s="172"/>
      <c r="G191" s="172"/>
      <c r="H191" s="172"/>
      <c r="I191" s="172"/>
      <c r="J191" s="172"/>
      <c r="K191" s="172"/>
      <c r="L191" s="277"/>
      <c r="M191" s="277"/>
      <c r="N191" s="277"/>
      <c r="O191" s="277"/>
      <c r="P191" s="278"/>
      <c r="Q191" s="278"/>
      <c r="R191" s="278"/>
      <c r="S191" s="278"/>
      <c r="T191" s="172"/>
      <c r="U191" s="282"/>
      <c r="V191" s="282"/>
      <c r="W191" s="283"/>
      <c r="X191" s="284"/>
      <c r="Y191" s="285"/>
      <c r="Z191" s="178"/>
      <c r="AA191" s="172"/>
      <c r="AB191" s="172"/>
      <c r="AC191" s="172"/>
      <c r="AD191" s="172"/>
      <c r="AE191" s="172"/>
      <c r="AF191" s="276"/>
      <c r="AG191" s="172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13.5" customHeight="1">
      <c r="A192" s="1"/>
      <c r="B192" s="188"/>
      <c r="C192" s="188"/>
      <c r="D192" s="172"/>
      <c r="E192" s="172"/>
      <c r="F192" s="172"/>
      <c r="G192" s="172"/>
      <c r="H192" s="172"/>
      <c r="I192" s="172"/>
      <c r="J192" s="172"/>
      <c r="K192" s="172"/>
      <c r="L192" s="277"/>
      <c r="M192" s="277"/>
      <c r="N192" s="277"/>
      <c r="O192" s="277"/>
      <c r="P192" s="278"/>
      <c r="Q192" s="278"/>
      <c r="R192" s="278"/>
      <c r="S192" s="278"/>
      <c r="T192" s="172"/>
      <c r="U192" s="282"/>
      <c r="V192" s="282"/>
      <c r="W192" s="283"/>
      <c r="X192" s="284"/>
      <c r="Y192" s="285"/>
      <c r="Z192" s="178"/>
      <c r="AA192" s="172"/>
      <c r="AB192" s="172"/>
      <c r="AC192" s="172"/>
      <c r="AD192" s="172"/>
      <c r="AE192" s="172"/>
      <c r="AF192" s="276"/>
      <c r="AG192" s="172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13.5" customHeight="1">
      <c r="A193" s="1"/>
      <c r="B193" s="188"/>
      <c r="C193" s="188"/>
      <c r="D193" s="172"/>
      <c r="E193" s="172"/>
      <c r="F193" s="172"/>
      <c r="G193" s="172"/>
      <c r="H193" s="172"/>
      <c r="I193" s="172"/>
      <c r="J193" s="172"/>
      <c r="K193" s="172"/>
      <c r="L193" s="277"/>
      <c r="M193" s="277"/>
      <c r="N193" s="277"/>
      <c r="O193" s="277"/>
      <c r="P193" s="278"/>
      <c r="Q193" s="278"/>
      <c r="R193" s="278"/>
      <c r="S193" s="278"/>
      <c r="T193" s="172"/>
      <c r="U193" s="282"/>
      <c r="V193" s="282"/>
      <c r="W193" s="283"/>
      <c r="X193" s="284"/>
      <c r="Y193" s="285"/>
      <c r="Z193" s="178"/>
      <c r="AA193" s="172"/>
      <c r="AB193" s="172"/>
      <c r="AC193" s="172"/>
      <c r="AD193" s="172"/>
      <c r="AE193" s="172"/>
      <c r="AF193" s="276"/>
      <c r="AG193" s="172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13.5" customHeight="1">
      <c r="A194" s="1"/>
      <c r="B194" s="188"/>
      <c r="C194" s="188"/>
      <c r="D194" s="172"/>
      <c r="E194" s="172"/>
      <c r="F194" s="172"/>
      <c r="G194" s="172"/>
      <c r="H194" s="172"/>
      <c r="I194" s="172"/>
      <c r="J194" s="172"/>
      <c r="K194" s="172"/>
      <c r="L194" s="277"/>
      <c r="M194" s="277"/>
      <c r="N194" s="277"/>
      <c r="O194" s="277"/>
      <c r="P194" s="278"/>
      <c r="Q194" s="278"/>
      <c r="R194" s="278"/>
      <c r="S194" s="278"/>
      <c r="T194" s="172"/>
      <c r="U194" s="282"/>
      <c r="V194" s="282"/>
      <c r="W194" s="283"/>
      <c r="X194" s="284"/>
      <c r="Y194" s="285"/>
      <c r="Z194" s="178"/>
      <c r="AA194" s="172"/>
      <c r="AB194" s="172"/>
      <c r="AC194" s="172"/>
      <c r="AD194" s="172"/>
      <c r="AE194" s="172"/>
      <c r="AF194" s="276"/>
      <c r="AG194" s="172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13.5" customHeight="1">
      <c r="A195" s="1"/>
      <c r="B195" s="188"/>
      <c r="C195" s="188"/>
      <c r="D195" s="172"/>
      <c r="E195" s="172"/>
      <c r="F195" s="172"/>
      <c r="G195" s="172"/>
      <c r="H195" s="172"/>
      <c r="I195" s="172"/>
      <c r="J195" s="172"/>
      <c r="K195" s="172"/>
      <c r="L195" s="277"/>
      <c r="M195" s="277"/>
      <c r="N195" s="277"/>
      <c r="O195" s="277"/>
      <c r="P195" s="278"/>
      <c r="Q195" s="278"/>
      <c r="R195" s="278"/>
      <c r="S195" s="278"/>
      <c r="T195" s="172"/>
      <c r="U195" s="282"/>
      <c r="V195" s="282"/>
      <c r="W195" s="283"/>
      <c r="X195" s="284"/>
      <c r="Y195" s="285"/>
      <c r="Z195" s="178"/>
      <c r="AA195" s="172"/>
      <c r="AB195" s="172"/>
      <c r="AC195" s="172"/>
      <c r="AD195" s="172"/>
      <c r="AE195" s="172"/>
      <c r="AF195" s="276"/>
      <c r="AG195" s="172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13.5" customHeight="1">
      <c r="A196" s="1"/>
      <c r="B196" s="188"/>
      <c r="C196" s="188"/>
      <c r="D196" s="172"/>
      <c r="E196" s="172"/>
      <c r="F196" s="172"/>
      <c r="G196" s="172"/>
      <c r="H196" s="172"/>
      <c r="I196" s="172"/>
      <c r="J196" s="172"/>
      <c r="K196" s="172"/>
      <c r="L196" s="277"/>
      <c r="M196" s="277"/>
      <c r="N196" s="277"/>
      <c r="O196" s="277"/>
      <c r="P196" s="278"/>
      <c r="Q196" s="278"/>
      <c r="R196" s="278"/>
      <c r="S196" s="278"/>
      <c r="T196" s="172"/>
      <c r="U196" s="282"/>
      <c r="V196" s="282"/>
      <c r="W196" s="283"/>
      <c r="X196" s="284"/>
      <c r="Y196" s="285"/>
      <c r="Z196" s="178"/>
      <c r="AA196" s="172"/>
      <c r="AB196" s="172"/>
      <c r="AC196" s="172"/>
      <c r="AD196" s="172"/>
      <c r="AE196" s="172"/>
      <c r="AF196" s="276"/>
      <c r="AG196" s="172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13.5" customHeight="1">
      <c r="A197" s="1"/>
      <c r="B197" s="188"/>
      <c r="C197" s="188"/>
      <c r="D197" s="172"/>
      <c r="E197" s="172"/>
      <c r="F197" s="172"/>
      <c r="G197" s="172"/>
      <c r="H197" s="172"/>
      <c r="I197" s="172"/>
      <c r="J197" s="172"/>
      <c r="K197" s="172"/>
      <c r="L197" s="277"/>
      <c r="M197" s="277"/>
      <c r="N197" s="277"/>
      <c r="O197" s="277"/>
      <c r="P197" s="278"/>
      <c r="Q197" s="278"/>
      <c r="R197" s="278"/>
      <c r="S197" s="278"/>
      <c r="T197" s="172"/>
      <c r="U197" s="282"/>
      <c r="V197" s="282"/>
      <c r="W197" s="283"/>
      <c r="X197" s="284"/>
      <c r="Y197" s="285"/>
      <c r="Z197" s="178"/>
      <c r="AA197" s="172"/>
      <c r="AB197" s="172"/>
      <c r="AC197" s="172"/>
      <c r="AD197" s="172"/>
      <c r="AE197" s="172"/>
      <c r="AF197" s="276"/>
      <c r="AG197" s="172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13.5" customHeight="1">
      <c r="A198" s="1"/>
      <c r="B198" s="188"/>
      <c r="C198" s="188"/>
      <c r="D198" s="172"/>
      <c r="E198" s="172"/>
      <c r="F198" s="172"/>
      <c r="G198" s="172"/>
      <c r="H198" s="172"/>
      <c r="I198" s="172"/>
      <c r="J198" s="172"/>
      <c r="K198" s="172"/>
      <c r="L198" s="277"/>
      <c r="M198" s="277"/>
      <c r="N198" s="277"/>
      <c r="O198" s="277"/>
      <c r="P198" s="278"/>
      <c r="Q198" s="278"/>
      <c r="R198" s="278"/>
      <c r="S198" s="278"/>
      <c r="T198" s="172"/>
      <c r="U198" s="282"/>
      <c r="V198" s="282"/>
      <c r="W198" s="283"/>
      <c r="X198" s="284"/>
      <c r="Y198" s="285"/>
      <c r="Z198" s="178"/>
      <c r="AA198" s="172"/>
      <c r="AB198" s="172"/>
      <c r="AC198" s="172"/>
      <c r="AD198" s="172"/>
      <c r="AE198" s="172"/>
      <c r="AF198" s="276"/>
      <c r="AG198" s="172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13.5" customHeight="1">
      <c r="A199" s="1"/>
      <c r="B199" s="188"/>
      <c r="C199" s="188"/>
      <c r="D199" s="172"/>
      <c r="E199" s="172"/>
      <c r="F199" s="172"/>
      <c r="G199" s="172"/>
      <c r="H199" s="172"/>
      <c r="I199" s="172"/>
      <c r="J199" s="172"/>
      <c r="K199" s="172"/>
      <c r="L199" s="277"/>
      <c r="M199" s="277"/>
      <c r="N199" s="277"/>
      <c r="O199" s="277"/>
      <c r="P199" s="278"/>
      <c r="Q199" s="278"/>
      <c r="R199" s="278"/>
      <c r="S199" s="278"/>
      <c r="T199" s="172"/>
      <c r="U199" s="282"/>
      <c r="V199" s="282"/>
      <c r="W199" s="283"/>
      <c r="X199" s="284"/>
      <c r="Y199" s="285"/>
      <c r="Z199" s="178"/>
      <c r="AA199" s="172"/>
      <c r="AB199" s="172"/>
      <c r="AC199" s="172"/>
      <c r="AD199" s="172"/>
      <c r="AE199" s="172"/>
      <c r="AF199" s="276"/>
      <c r="AG199" s="172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13.5" customHeight="1">
      <c r="A200" s="1"/>
      <c r="B200" s="188"/>
      <c r="C200" s="188"/>
      <c r="D200" s="172"/>
      <c r="E200" s="172"/>
      <c r="F200" s="172"/>
      <c r="G200" s="172"/>
      <c r="H200" s="172"/>
      <c r="I200" s="172"/>
      <c r="J200" s="172"/>
      <c r="K200" s="172"/>
      <c r="L200" s="277"/>
      <c r="M200" s="277"/>
      <c r="N200" s="277"/>
      <c r="O200" s="277"/>
      <c r="P200" s="278"/>
      <c r="Q200" s="278"/>
      <c r="R200" s="278"/>
      <c r="S200" s="278"/>
      <c r="T200" s="172"/>
      <c r="U200" s="282"/>
      <c r="V200" s="282"/>
      <c r="W200" s="283"/>
      <c r="X200" s="284"/>
      <c r="Y200" s="285"/>
      <c r="Z200" s="178"/>
      <c r="AA200" s="172"/>
      <c r="AB200" s="172"/>
      <c r="AC200" s="172"/>
      <c r="AD200" s="172"/>
      <c r="AE200" s="172"/>
      <c r="AF200" s="276"/>
      <c r="AG200" s="172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13.5" customHeight="1">
      <c r="A201" s="1"/>
      <c r="B201" s="188"/>
      <c r="C201" s="188"/>
      <c r="D201" s="172"/>
      <c r="E201" s="172"/>
      <c r="F201" s="172"/>
      <c r="G201" s="172"/>
      <c r="H201" s="172"/>
      <c r="I201" s="172"/>
      <c r="J201" s="172"/>
      <c r="K201" s="172"/>
      <c r="L201" s="277"/>
      <c r="M201" s="277"/>
      <c r="N201" s="277"/>
      <c r="O201" s="277"/>
      <c r="P201" s="278"/>
      <c r="Q201" s="278"/>
      <c r="R201" s="278"/>
      <c r="S201" s="278"/>
      <c r="T201" s="172"/>
      <c r="U201" s="282"/>
      <c r="V201" s="282"/>
      <c r="W201" s="283"/>
      <c r="X201" s="284"/>
      <c r="Y201" s="285"/>
      <c r="Z201" s="178"/>
      <c r="AA201" s="172"/>
      <c r="AB201" s="172"/>
      <c r="AC201" s="172"/>
      <c r="AD201" s="172"/>
      <c r="AE201" s="172"/>
      <c r="AF201" s="276"/>
      <c r="AG201" s="172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13.5" customHeight="1">
      <c r="A202" s="1"/>
      <c r="B202" s="188"/>
      <c r="C202" s="188"/>
      <c r="D202" s="172"/>
      <c r="E202" s="172"/>
      <c r="F202" s="172"/>
      <c r="G202" s="172"/>
      <c r="H202" s="172"/>
      <c r="I202" s="172"/>
      <c r="J202" s="172"/>
      <c r="K202" s="172"/>
      <c r="L202" s="277"/>
      <c r="M202" s="277"/>
      <c r="N202" s="277"/>
      <c r="O202" s="277"/>
      <c r="P202" s="278"/>
      <c r="Q202" s="278"/>
      <c r="R202" s="278"/>
      <c r="S202" s="278"/>
      <c r="T202" s="172"/>
      <c r="U202" s="282"/>
      <c r="V202" s="282"/>
      <c r="W202" s="283"/>
      <c r="X202" s="284"/>
      <c r="Y202" s="285"/>
      <c r="Z202" s="178"/>
      <c r="AA202" s="172"/>
      <c r="AB202" s="172"/>
      <c r="AC202" s="172"/>
      <c r="AD202" s="172"/>
      <c r="AE202" s="172"/>
      <c r="AF202" s="276"/>
      <c r="AG202" s="172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13.5" customHeight="1">
      <c r="A203" s="1"/>
      <c r="B203" s="188"/>
      <c r="C203" s="188"/>
      <c r="D203" s="172"/>
      <c r="E203" s="172"/>
      <c r="F203" s="172"/>
      <c r="G203" s="172"/>
      <c r="H203" s="172"/>
      <c r="I203" s="172"/>
      <c r="J203" s="172"/>
      <c r="K203" s="172"/>
      <c r="L203" s="277"/>
      <c r="M203" s="277"/>
      <c r="N203" s="277"/>
      <c r="O203" s="277"/>
      <c r="P203" s="278"/>
      <c r="Q203" s="278"/>
      <c r="R203" s="278"/>
      <c r="S203" s="278"/>
      <c r="T203" s="172"/>
      <c r="U203" s="282"/>
      <c r="V203" s="282"/>
      <c r="W203" s="283"/>
      <c r="X203" s="284"/>
      <c r="Y203" s="285"/>
      <c r="Z203" s="178"/>
      <c r="AA203" s="172"/>
      <c r="AB203" s="172"/>
      <c r="AC203" s="172"/>
      <c r="AD203" s="172"/>
      <c r="AE203" s="172"/>
      <c r="AF203" s="276"/>
      <c r="AG203" s="172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13.5" customHeight="1">
      <c r="A204" s="1"/>
      <c r="B204" s="188"/>
      <c r="C204" s="188"/>
      <c r="D204" s="172"/>
      <c r="E204" s="172"/>
      <c r="F204" s="172"/>
      <c r="G204" s="172"/>
      <c r="H204" s="172"/>
      <c r="I204" s="172"/>
      <c r="J204" s="172"/>
      <c r="K204" s="172"/>
      <c r="L204" s="277"/>
      <c r="M204" s="277"/>
      <c r="N204" s="277"/>
      <c r="O204" s="277"/>
      <c r="P204" s="278"/>
      <c r="Q204" s="278"/>
      <c r="R204" s="278"/>
      <c r="S204" s="278"/>
      <c r="T204" s="172"/>
      <c r="U204" s="282"/>
      <c r="V204" s="282"/>
      <c r="W204" s="283"/>
      <c r="X204" s="284"/>
      <c r="Y204" s="285"/>
      <c r="Z204" s="178"/>
      <c r="AA204" s="172"/>
      <c r="AB204" s="172"/>
      <c r="AC204" s="172"/>
      <c r="AD204" s="172"/>
      <c r="AE204" s="172"/>
      <c r="AF204" s="276"/>
      <c r="AG204" s="172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13.5" customHeight="1">
      <c r="A205" s="1"/>
      <c r="B205" s="188"/>
      <c r="C205" s="188"/>
      <c r="D205" s="172"/>
      <c r="E205" s="172"/>
      <c r="F205" s="172"/>
      <c r="G205" s="172"/>
      <c r="H205" s="172"/>
      <c r="I205" s="172"/>
      <c r="J205" s="172"/>
      <c r="K205" s="172"/>
      <c r="L205" s="277"/>
      <c r="M205" s="277"/>
      <c r="N205" s="277"/>
      <c r="O205" s="277"/>
      <c r="P205" s="278"/>
      <c r="Q205" s="278"/>
      <c r="R205" s="278"/>
      <c r="S205" s="278"/>
      <c r="T205" s="172"/>
      <c r="U205" s="282"/>
      <c r="V205" s="282"/>
      <c r="W205" s="283"/>
      <c r="X205" s="284"/>
      <c r="Y205" s="285"/>
      <c r="Z205" s="178"/>
      <c r="AA205" s="172"/>
      <c r="AB205" s="172"/>
      <c r="AC205" s="172"/>
      <c r="AD205" s="172"/>
      <c r="AE205" s="172"/>
      <c r="AF205" s="276"/>
      <c r="AG205" s="172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13.5" customHeight="1">
      <c r="A206" s="1"/>
      <c r="B206" s="188"/>
      <c r="C206" s="188"/>
      <c r="D206" s="172"/>
      <c r="E206" s="172"/>
      <c r="F206" s="172"/>
      <c r="G206" s="172"/>
      <c r="H206" s="172"/>
      <c r="I206" s="172"/>
      <c r="J206" s="172"/>
      <c r="K206" s="172"/>
      <c r="L206" s="277"/>
      <c r="M206" s="277"/>
      <c r="N206" s="277"/>
      <c r="O206" s="277"/>
      <c r="P206" s="278"/>
      <c r="Q206" s="278"/>
      <c r="R206" s="278"/>
      <c r="S206" s="278"/>
      <c r="T206" s="172"/>
      <c r="U206" s="282"/>
      <c r="V206" s="282"/>
      <c r="W206" s="283"/>
      <c r="X206" s="284"/>
      <c r="Y206" s="285"/>
      <c r="Z206" s="178"/>
      <c r="AA206" s="172"/>
      <c r="AB206" s="172"/>
      <c r="AC206" s="172"/>
      <c r="AD206" s="172"/>
      <c r="AE206" s="172"/>
      <c r="AF206" s="276"/>
      <c r="AG206" s="172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13.5" customHeight="1">
      <c r="A207" s="1"/>
      <c r="B207" s="188"/>
      <c r="C207" s="188"/>
      <c r="D207" s="172"/>
      <c r="E207" s="172"/>
      <c r="F207" s="172"/>
      <c r="G207" s="172"/>
      <c r="H207" s="172"/>
      <c r="I207" s="172"/>
      <c r="J207" s="172"/>
      <c r="K207" s="172"/>
      <c r="L207" s="277"/>
      <c r="M207" s="277"/>
      <c r="N207" s="277"/>
      <c r="O207" s="277"/>
      <c r="P207" s="278"/>
      <c r="Q207" s="278"/>
      <c r="R207" s="278"/>
      <c r="S207" s="278"/>
      <c r="T207" s="172"/>
      <c r="U207" s="282"/>
      <c r="V207" s="282"/>
      <c r="W207" s="283"/>
      <c r="X207" s="284"/>
      <c r="Y207" s="285"/>
      <c r="Z207" s="178"/>
      <c r="AA207" s="172"/>
      <c r="AB207" s="172"/>
      <c r="AC207" s="172"/>
      <c r="AD207" s="172"/>
      <c r="AE207" s="172"/>
      <c r="AF207" s="276"/>
      <c r="AG207" s="172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13.5" customHeight="1">
      <c r="A208" s="1"/>
      <c r="B208" s="188"/>
      <c r="C208" s="188"/>
      <c r="D208" s="172"/>
      <c r="E208" s="172"/>
      <c r="F208" s="172"/>
      <c r="G208" s="172"/>
      <c r="H208" s="172"/>
      <c r="I208" s="172"/>
      <c r="J208" s="172"/>
      <c r="K208" s="172"/>
      <c r="L208" s="277"/>
      <c r="M208" s="277"/>
      <c r="N208" s="277"/>
      <c r="O208" s="277"/>
      <c r="P208" s="278"/>
      <c r="Q208" s="278"/>
      <c r="R208" s="278"/>
      <c r="S208" s="278"/>
      <c r="T208" s="172"/>
      <c r="U208" s="282"/>
      <c r="V208" s="282"/>
      <c r="W208" s="283"/>
      <c r="X208" s="284"/>
      <c r="Y208" s="285"/>
      <c r="Z208" s="178"/>
      <c r="AA208" s="172"/>
      <c r="AB208" s="172"/>
      <c r="AC208" s="172"/>
      <c r="AD208" s="172"/>
      <c r="AE208" s="172"/>
      <c r="AF208" s="276"/>
      <c r="AG208" s="172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13.5" customHeight="1">
      <c r="A209" s="1"/>
      <c r="B209" s="188"/>
      <c r="C209" s="188"/>
      <c r="D209" s="172"/>
      <c r="E209" s="172"/>
      <c r="F209" s="172"/>
      <c r="G209" s="172"/>
      <c r="H209" s="172"/>
      <c r="I209" s="172"/>
      <c r="J209" s="172"/>
      <c r="K209" s="172"/>
      <c r="L209" s="277"/>
      <c r="M209" s="277"/>
      <c r="N209" s="277"/>
      <c r="O209" s="277"/>
      <c r="P209" s="278"/>
      <c r="Q209" s="278"/>
      <c r="R209" s="278"/>
      <c r="S209" s="278"/>
      <c r="T209" s="172"/>
      <c r="U209" s="282"/>
      <c r="V209" s="282"/>
      <c r="W209" s="283"/>
      <c r="X209" s="284"/>
      <c r="Y209" s="285"/>
      <c r="Z209" s="178"/>
      <c r="AA209" s="172"/>
      <c r="AB209" s="172"/>
      <c r="AC209" s="172"/>
      <c r="AD209" s="172"/>
      <c r="AE209" s="172"/>
      <c r="AF209" s="276"/>
      <c r="AG209" s="172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13.5" customHeight="1">
      <c r="A210" s="1"/>
      <c r="B210" s="188"/>
      <c r="C210" s="188"/>
      <c r="D210" s="172"/>
      <c r="E210" s="172"/>
      <c r="F210" s="172"/>
      <c r="G210" s="172"/>
      <c r="H210" s="172"/>
      <c r="I210" s="172"/>
      <c r="J210" s="172"/>
      <c r="K210" s="172"/>
      <c r="L210" s="277"/>
      <c r="M210" s="277"/>
      <c r="N210" s="277"/>
      <c r="O210" s="277"/>
      <c r="P210" s="278"/>
      <c r="Q210" s="278"/>
      <c r="R210" s="278"/>
      <c r="S210" s="278"/>
      <c r="T210" s="172"/>
      <c r="U210" s="282"/>
      <c r="V210" s="282"/>
      <c r="W210" s="283"/>
      <c r="X210" s="284"/>
      <c r="Y210" s="285"/>
      <c r="Z210" s="178"/>
      <c r="AA210" s="172"/>
      <c r="AB210" s="172"/>
      <c r="AC210" s="172"/>
      <c r="AD210" s="172"/>
      <c r="AE210" s="172"/>
      <c r="AF210" s="276"/>
      <c r="AG210" s="172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13.5" customHeight="1">
      <c r="A211" s="1"/>
      <c r="B211" s="188"/>
      <c r="C211" s="188"/>
      <c r="D211" s="172"/>
      <c r="E211" s="172"/>
      <c r="F211" s="172"/>
      <c r="G211" s="172"/>
      <c r="H211" s="172"/>
      <c r="I211" s="172"/>
      <c r="J211" s="172"/>
      <c r="K211" s="172"/>
      <c r="L211" s="277"/>
      <c r="M211" s="277"/>
      <c r="N211" s="277"/>
      <c r="O211" s="277"/>
      <c r="P211" s="278"/>
      <c r="Q211" s="278"/>
      <c r="R211" s="278"/>
      <c r="S211" s="278"/>
      <c r="T211" s="172"/>
      <c r="U211" s="282"/>
      <c r="V211" s="282"/>
      <c r="W211" s="283"/>
      <c r="X211" s="284"/>
      <c r="Y211" s="285"/>
      <c r="Z211" s="178"/>
      <c r="AA211" s="172"/>
      <c r="AB211" s="172"/>
      <c r="AC211" s="172"/>
      <c r="AD211" s="172"/>
      <c r="AE211" s="172"/>
      <c r="AF211" s="276"/>
      <c r="AG211" s="172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13.5" customHeight="1">
      <c r="A212" s="1"/>
      <c r="B212" s="188"/>
      <c r="C212" s="188"/>
      <c r="D212" s="172"/>
      <c r="E212" s="172"/>
      <c r="F212" s="172"/>
      <c r="G212" s="172"/>
      <c r="H212" s="172"/>
      <c r="I212" s="172"/>
      <c r="J212" s="172"/>
      <c r="K212" s="172"/>
      <c r="L212" s="277"/>
      <c r="M212" s="277"/>
      <c r="N212" s="277"/>
      <c r="O212" s="277"/>
      <c r="P212" s="278"/>
      <c r="Q212" s="278"/>
      <c r="R212" s="278"/>
      <c r="S212" s="278"/>
      <c r="T212" s="172"/>
      <c r="U212" s="282"/>
      <c r="V212" s="282"/>
      <c r="W212" s="283"/>
      <c r="X212" s="284"/>
      <c r="Y212" s="285"/>
      <c r="Z212" s="178"/>
      <c r="AA212" s="172"/>
      <c r="AB212" s="172"/>
      <c r="AC212" s="172"/>
      <c r="AD212" s="172"/>
      <c r="AE212" s="172"/>
      <c r="AF212" s="276"/>
      <c r="AG212" s="172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13.5" customHeight="1">
      <c r="A213" s="1"/>
      <c r="B213" s="188"/>
      <c r="C213" s="188"/>
      <c r="D213" s="172"/>
      <c r="E213" s="172"/>
      <c r="F213" s="172"/>
      <c r="G213" s="172"/>
      <c r="H213" s="172"/>
      <c r="I213" s="172"/>
      <c r="J213" s="172"/>
      <c r="K213" s="172"/>
      <c r="L213" s="277"/>
      <c r="M213" s="277"/>
      <c r="N213" s="277"/>
      <c r="O213" s="277"/>
      <c r="P213" s="278"/>
      <c r="Q213" s="278"/>
      <c r="R213" s="278"/>
      <c r="S213" s="278"/>
      <c r="T213" s="172"/>
      <c r="U213" s="282"/>
      <c r="V213" s="282"/>
      <c r="W213" s="283"/>
      <c r="X213" s="284"/>
      <c r="Y213" s="285"/>
      <c r="Z213" s="178"/>
      <c r="AA213" s="172"/>
      <c r="AB213" s="172"/>
      <c r="AC213" s="172"/>
      <c r="AD213" s="172"/>
      <c r="AE213" s="172"/>
      <c r="AF213" s="276"/>
      <c r="AG213" s="172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13.5" customHeight="1">
      <c r="A214" s="1"/>
      <c r="B214" s="188"/>
      <c r="C214" s="188"/>
      <c r="D214" s="172"/>
      <c r="E214" s="172"/>
      <c r="F214" s="172"/>
      <c r="G214" s="172"/>
      <c r="H214" s="172"/>
      <c r="I214" s="172"/>
      <c r="J214" s="172"/>
      <c r="K214" s="172"/>
      <c r="L214" s="277"/>
      <c r="M214" s="277"/>
      <c r="N214" s="277"/>
      <c r="O214" s="277"/>
      <c r="P214" s="278"/>
      <c r="Q214" s="278"/>
      <c r="R214" s="278"/>
      <c r="S214" s="278"/>
      <c r="T214" s="172"/>
      <c r="U214" s="282"/>
      <c r="V214" s="282"/>
      <c r="W214" s="283"/>
      <c r="X214" s="284"/>
      <c r="Y214" s="285"/>
      <c r="Z214" s="178"/>
      <c r="AA214" s="172"/>
      <c r="AB214" s="172"/>
      <c r="AC214" s="172"/>
      <c r="AD214" s="172"/>
      <c r="AE214" s="172"/>
      <c r="AF214" s="276"/>
      <c r="AG214" s="172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13.5" customHeight="1">
      <c r="A215" s="1"/>
      <c r="B215" s="188"/>
      <c r="C215" s="188"/>
      <c r="D215" s="172"/>
      <c r="E215" s="172"/>
      <c r="F215" s="172"/>
      <c r="G215" s="172"/>
      <c r="H215" s="172"/>
      <c r="I215" s="172"/>
      <c r="J215" s="172"/>
      <c r="K215" s="172"/>
      <c r="L215" s="277"/>
      <c r="M215" s="277"/>
      <c r="N215" s="277"/>
      <c r="O215" s="277"/>
      <c r="P215" s="278"/>
      <c r="Q215" s="278"/>
      <c r="R215" s="278"/>
      <c r="S215" s="278"/>
      <c r="T215" s="172"/>
      <c r="U215" s="282"/>
      <c r="V215" s="282"/>
      <c r="W215" s="283"/>
      <c r="X215" s="284"/>
      <c r="Y215" s="285"/>
      <c r="Z215" s="178"/>
      <c r="AA215" s="172"/>
      <c r="AB215" s="172"/>
      <c r="AC215" s="172"/>
      <c r="AD215" s="172"/>
      <c r="AE215" s="172"/>
      <c r="AF215" s="276"/>
      <c r="AG215" s="172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13.5" customHeight="1">
      <c r="A216" s="1"/>
      <c r="B216" s="188"/>
      <c r="C216" s="188"/>
      <c r="D216" s="172"/>
      <c r="E216" s="172"/>
      <c r="F216" s="172"/>
      <c r="G216" s="172"/>
      <c r="H216" s="172"/>
      <c r="I216" s="172"/>
      <c r="J216" s="172"/>
      <c r="K216" s="172"/>
      <c r="L216" s="277"/>
      <c r="M216" s="277"/>
      <c r="N216" s="277"/>
      <c r="O216" s="277"/>
      <c r="P216" s="278"/>
      <c r="Q216" s="278"/>
      <c r="R216" s="278"/>
      <c r="S216" s="278"/>
      <c r="T216" s="172"/>
      <c r="U216" s="282"/>
      <c r="V216" s="282"/>
      <c r="W216" s="283"/>
      <c r="X216" s="284"/>
      <c r="Y216" s="285"/>
      <c r="Z216" s="178"/>
      <c r="AA216" s="172"/>
      <c r="AB216" s="172"/>
      <c r="AC216" s="172"/>
      <c r="AD216" s="172"/>
      <c r="AE216" s="172"/>
      <c r="AF216" s="276"/>
      <c r="AG216" s="172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13.5" customHeight="1">
      <c r="A217" s="1"/>
      <c r="B217" s="188"/>
      <c r="C217" s="188"/>
      <c r="D217" s="172"/>
      <c r="E217" s="172"/>
      <c r="F217" s="172"/>
      <c r="G217" s="172"/>
      <c r="H217" s="172"/>
      <c r="I217" s="172"/>
      <c r="J217" s="172"/>
      <c r="K217" s="172"/>
      <c r="L217" s="277"/>
      <c r="M217" s="277"/>
      <c r="N217" s="277"/>
      <c r="O217" s="277"/>
      <c r="P217" s="278"/>
      <c r="Q217" s="278"/>
      <c r="R217" s="278"/>
      <c r="S217" s="278"/>
      <c r="T217" s="172"/>
      <c r="U217" s="282"/>
      <c r="V217" s="282"/>
      <c r="W217" s="283"/>
      <c r="X217" s="284"/>
      <c r="Y217" s="285"/>
      <c r="Z217" s="178"/>
      <c r="AA217" s="172"/>
      <c r="AB217" s="172"/>
      <c r="AC217" s="172"/>
      <c r="AD217" s="172"/>
      <c r="AE217" s="172"/>
      <c r="AF217" s="276"/>
      <c r="AG217" s="172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13.5" customHeight="1">
      <c r="A218" s="1"/>
      <c r="B218" s="188"/>
      <c r="C218" s="188"/>
      <c r="D218" s="172"/>
      <c r="E218" s="172"/>
      <c r="F218" s="172"/>
      <c r="G218" s="172"/>
      <c r="H218" s="172"/>
      <c r="I218" s="172"/>
      <c r="J218" s="172"/>
      <c r="K218" s="172"/>
      <c r="L218" s="277"/>
      <c r="M218" s="277"/>
      <c r="N218" s="277"/>
      <c r="O218" s="277"/>
      <c r="P218" s="278"/>
      <c r="Q218" s="278"/>
      <c r="R218" s="278"/>
      <c r="S218" s="278"/>
      <c r="T218" s="172"/>
      <c r="U218" s="282"/>
      <c r="V218" s="282"/>
      <c r="W218" s="283"/>
      <c r="X218" s="284"/>
      <c r="Y218" s="285"/>
      <c r="Z218" s="178"/>
      <c r="AA218" s="172"/>
      <c r="AB218" s="172"/>
      <c r="AC218" s="172"/>
      <c r="AD218" s="172"/>
      <c r="AE218" s="172"/>
      <c r="AF218" s="276"/>
      <c r="AG218" s="172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13.5" customHeight="1">
      <c r="A219" s="1"/>
      <c r="B219" s="188"/>
      <c r="C219" s="188"/>
      <c r="D219" s="172"/>
      <c r="E219" s="172"/>
      <c r="F219" s="172"/>
      <c r="G219" s="172"/>
      <c r="H219" s="172"/>
      <c r="I219" s="172"/>
      <c r="J219" s="172"/>
      <c r="K219" s="172"/>
      <c r="L219" s="277"/>
      <c r="M219" s="277"/>
      <c r="N219" s="277"/>
      <c r="O219" s="277"/>
      <c r="P219" s="278"/>
      <c r="Q219" s="278"/>
      <c r="R219" s="278"/>
      <c r="S219" s="278"/>
      <c r="T219" s="172"/>
      <c r="U219" s="282"/>
      <c r="V219" s="282"/>
      <c r="W219" s="283"/>
      <c r="X219" s="284"/>
      <c r="Y219" s="285"/>
      <c r="Z219" s="178"/>
      <c r="AA219" s="172"/>
      <c r="AB219" s="172"/>
      <c r="AC219" s="172"/>
      <c r="AD219" s="172"/>
      <c r="AE219" s="172"/>
      <c r="AF219" s="276"/>
      <c r="AG219" s="172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13.5" customHeight="1">
      <c r="A220" s="1"/>
      <c r="B220" s="188"/>
      <c r="C220" s="188"/>
      <c r="D220" s="172"/>
      <c r="E220" s="172"/>
      <c r="F220" s="172"/>
      <c r="G220" s="172"/>
      <c r="H220" s="172"/>
      <c r="I220" s="172"/>
      <c r="J220" s="172"/>
      <c r="K220" s="172"/>
      <c r="L220" s="277"/>
      <c r="M220" s="277"/>
      <c r="N220" s="277"/>
      <c r="O220" s="277"/>
      <c r="P220" s="278"/>
      <c r="Q220" s="278"/>
      <c r="R220" s="278"/>
      <c r="S220" s="278"/>
      <c r="T220" s="172"/>
      <c r="U220" s="282"/>
      <c r="V220" s="282"/>
      <c r="W220" s="283"/>
      <c r="X220" s="284"/>
      <c r="Y220" s="285"/>
      <c r="Z220" s="178"/>
      <c r="AA220" s="172"/>
      <c r="AB220" s="172"/>
      <c r="AC220" s="172"/>
      <c r="AD220" s="172"/>
      <c r="AE220" s="172"/>
      <c r="AF220" s="276"/>
      <c r="AG220" s="172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13.5" customHeight="1">
      <c r="A221" s="1"/>
      <c r="B221" s="188"/>
      <c r="C221" s="188"/>
      <c r="D221" s="172"/>
      <c r="E221" s="172"/>
      <c r="F221" s="172"/>
      <c r="G221" s="172"/>
      <c r="H221" s="172"/>
      <c r="I221" s="172"/>
      <c r="J221" s="172"/>
      <c r="K221" s="172"/>
      <c r="L221" s="277"/>
      <c r="M221" s="277"/>
      <c r="N221" s="277"/>
      <c r="O221" s="277"/>
      <c r="P221" s="278"/>
      <c r="Q221" s="278"/>
      <c r="R221" s="278"/>
      <c r="S221" s="278"/>
      <c r="T221" s="172"/>
      <c r="U221" s="282"/>
      <c r="V221" s="282"/>
      <c r="W221" s="283"/>
      <c r="X221" s="284"/>
      <c r="Y221" s="285"/>
      <c r="Z221" s="178"/>
      <c r="AA221" s="172"/>
      <c r="AB221" s="172"/>
      <c r="AC221" s="172"/>
      <c r="AD221" s="172"/>
      <c r="AE221" s="172"/>
      <c r="AF221" s="276"/>
      <c r="AG221" s="172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13.5" customHeight="1">
      <c r="A222" s="1"/>
      <c r="B222" s="188"/>
      <c r="C222" s="188"/>
      <c r="D222" s="172"/>
      <c r="E222" s="172"/>
      <c r="F222" s="172"/>
      <c r="G222" s="172"/>
      <c r="H222" s="172"/>
      <c r="I222" s="172"/>
      <c r="J222" s="172"/>
      <c r="K222" s="172"/>
      <c r="L222" s="277"/>
      <c r="M222" s="277"/>
      <c r="N222" s="277"/>
      <c r="O222" s="277"/>
      <c r="P222" s="278"/>
      <c r="Q222" s="278"/>
      <c r="R222" s="278"/>
      <c r="S222" s="278"/>
      <c r="T222" s="172"/>
      <c r="U222" s="282"/>
      <c r="V222" s="282"/>
      <c r="W222" s="283"/>
      <c r="X222" s="284"/>
      <c r="Y222" s="285"/>
      <c r="Z222" s="178"/>
      <c r="AA222" s="172"/>
      <c r="AB222" s="172"/>
      <c r="AC222" s="172"/>
      <c r="AD222" s="172"/>
      <c r="AE222" s="172"/>
      <c r="AF222" s="276"/>
      <c r="AG222" s="172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13.5" customHeight="1">
      <c r="A223" s="1"/>
      <c r="B223" s="188"/>
      <c r="C223" s="188"/>
      <c r="D223" s="172"/>
      <c r="E223" s="172"/>
      <c r="F223" s="172"/>
      <c r="G223" s="172"/>
      <c r="H223" s="172"/>
      <c r="I223" s="172"/>
      <c r="J223" s="172"/>
      <c r="K223" s="172"/>
      <c r="L223" s="277"/>
      <c r="M223" s="277"/>
      <c r="N223" s="277"/>
      <c r="O223" s="277"/>
      <c r="P223" s="278"/>
      <c r="Q223" s="278"/>
      <c r="R223" s="278"/>
      <c r="S223" s="278"/>
      <c r="T223" s="172"/>
      <c r="U223" s="282"/>
      <c r="V223" s="282"/>
      <c r="W223" s="283"/>
      <c r="X223" s="284"/>
      <c r="Y223" s="285"/>
      <c r="Z223" s="178"/>
      <c r="AA223" s="172"/>
      <c r="AB223" s="172"/>
      <c r="AC223" s="172"/>
      <c r="AD223" s="172"/>
      <c r="AE223" s="172"/>
      <c r="AF223" s="276"/>
      <c r="AG223" s="172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13.5" customHeight="1">
      <c r="A224" s="1"/>
      <c r="B224" s="188"/>
      <c r="C224" s="188"/>
      <c r="D224" s="172"/>
      <c r="E224" s="172"/>
      <c r="F224" s="172"/>
      <c r="G224" s="172"/>
      <c r="H224" s="172"/>
      <c r="I224" s="172"/>
      <c r="J224" s="172"/>
      <c r="K224" s="172"/>
      <c r="L224" s="277"/>
      <c r="M224" s="277"/>
      <c r="N224" s="277"/>
      <c r="O224" s="277"/>
      <c r="P224" s="278"/>
      <c r="Q224" s="278"/>
      <c r="R224" s="278"/>
      <c r="S224" s="278"/>
      <c r="T224" s="172"/>
      <c r="U224" s="282"/>
      <c r="V224" s="282"/>
      <c r="W224" s="283"/>
      <c r="X224" s="284"/>
      <c r="Y224" s="285"/>
      <c r="Z224" s="178"/>
      <c r="AA224" s="172"/>
      <c r="AB224" s="172"/>
      <c r="AC224" s="172"/>
      <c r="AD224" s="172"/>
      <c r="AE224" s="172"/>
      <c r="AF224" s="276"/>
      <c r="AG224" s="172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13.5" customHeight="1">
      <c r="A225" s="1"/>
      <c r="B225" s="188"/>
      <c r="C225" s="188"/>
      <c r="D225" s="172"/>
      <c r="E225" s="172"/>
      <c r="F225" s="172"/>
      <c r="G225" s="172"/>
      <c r="H225" s="172"/>
      <c r="I225" s="172"/>
      <c r="J225" s="172"/>
      <c r="K225" s="172"/>
      <c r="L225" s="277"/>
      <c r="M225" s="277"/>
      <c r="N225" s="277"/>
      <c r="O225" s="277"/>
      <c r="P225" s="278"/>
      <c r="Q225" s="278"/>
      <c r="R225" s="278"/>
      <c r="S225" s="278"/>
      <c r="T225" s="172"/>
      <c r="U225" s="282"/>
      <c r="V225" s="282"/>
      <c r="W225" s="283"/>
      <c r="X225" s="284"/>
      <c r="Y225" s="285"/>
      <c r="Z225" s="178"/>
      <c r="AA225" s="172"/>
      <c r="AB225" s="172"/>
      <c r="AC225" s="172"/>
      <c r="AD225" s="172"/>
      <c r="AE225" s="172"/>
      <c r="AF225" s="276"/>
      <c r="AG225" s="172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13.5" customHeight="1">
      <c r="A226" s="1"/>
      <c r="B226" s="188"/>
      <c r="C226" s="188"/>
      <c r="D226" s="172"/>
      <c r="E226" s="172"/>
      <c r="F226" s="172"/>
      <c r="G226" s="172"/>
      <c r="H226" s="172"/>
      <c r="I226" s="172"/>
      <c r="J226" s="172"/>
      <c r="K226" s="172"/>
      <c r="L226" s="277"/>
      <c r="M226" s="277"/>
      <c r="N226" s="277"/>
      <c r="O226" s="277"/>
      <c r="P226" s="278"/>
      <c r="Q226" s="278"/>
      <c r="R226" s="278"/>
      <c r="S226" s="278"/>
      <c r="T226" s="172"/>
      <c r="U226" s="282"/>
      <c r="V226" s="282"/>
      <c r="W226" s="283"/>
      <c r="X226" s="284"/>
      <c r="Y226" s="285"/>
      <c r="Z226" s="178"/>
      <c r="AA226" s="172"/>
      <c r="AB226" s="172"/>
      <c r="AC226" s="172"/>
      <c r="AD226" s="172"/>
      <c r="AE226" s="172"/>
      <c r="AF226" s="276"/>
      <c r="AG226" s="172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13.5" customHeight="1">
      <c r="A227" s="1"/>
      <c r="B227" s="188"/>
      <c r="C227" s="188"/>
      <c r="D227" s="172"/>
      <c r="E227" s="172"/>
      <c r="F227" s="172"/>
      <c r="G227" s="172"/>
      <c r="H227" s="172"/>
      <c r="I227" s="172"/>
      <c r="J227" s="172"/>
      <c r="K227" s="172"/>
      <c r="L227" s="277"/>
      <c r="M227" s="277"/>
      <c r="N227" s="277"/>
      <c r="O227" s="277"/>
      <c r="P227" s="278"/>
      <c r="Q227" s="278"/>
      <c r="R227" s="278"/>
      <c r="S227" s="278"/>
      <c r="T227" s="172"/>
      <c r="U227" s="282"/>
      <c r="V227" s="282"/>
      <c r="W227" s="283"/>
      <c r="X227" s="284"/>
      <c r="Y227" s="285"/>
      <c r="Z227" s="178"/>
      <c r="AA227" s="172"/>
      <c r="AB227" s="172"/>
      <c r="AC227" s="172"/>
      <c r="AD227" s="172"/>
      <c r="AE227" s="172"/>
      <c r="AF227" s="276"/>
      <c r="AG227" s="172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13.5" customHeight="1">
      <c r="A228" s="1"/>
      <c r="B228" s="188"/>
      <c r="C228" s="188"/>
      <c r="D228" s="172"/>
      <c r="E228" s="172"/>
      <c r="F228" s="172"/>
      <c r="G228" s="172"/>
      <c r="H228" s="172"/>
      <c r="I228" s="172"/>
      <c r="J228" s="172"/>
      <c r="K228" s="172"/>
      <c r="L228" s="277"/>
      <c r="M228" s="277"/>
      <c r="N228" s="277"/>
      <c r="O228" s="277"/>
      <c r="P228" s="278"/>
      <c r="Q228" s="278"/>
      <c r="R228" s="278"/>
      <c r="S228" s="278"/>
      <c r="T228" s="172"/>
      <c r="U228" s="282"/>
      <c r="V228" s="282"/>
      <c r="W228" s="283"/>
      <c r="X228" s="284"/>
      <c r="Y228" s="285"/>
      <c r="Z228" s="178"/>
      <c r="AA228" s="172"/>
      <c r="AB228" s="172"/>
      <c r="AC228" s="172"/>
      <c r="AD228" s="172"/>
      <c r="AE228" s="172"/>
      <c r="AF228" s="276"/>
      <c r="AG228" s="172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13.5" customHeight="1">
      <c r="A229" s="1"/>
      <c r="B229" s="188"/>
      <c r="C229" s="188"/>
      <c r="D229" s="172"/>
      <c r="E229" s="172"/>
      <c r="F229" s="172"/>
      <c r="G229" s="172"/>
      <c r="H229" s="172"/>
      <c r="I229" s="172"/>
      <c r="J229" s="172"/>
      <c r="K229" s="172"/>
      <c r="L229" s="277"/>
      <c r="M229" s="277"/>
      <c r="N229" s="277"/>
      <c r="O229" s="277"/>
      <c r="P229" s="278"/>
      <c r="Q229" s="278"/>
      <c r="R229" s="278"/>
      <c r="S229" s="278"/>
      <c r="T229" s="172"/>
      <c r="U229" s="282"/>
      <c r="V229" s="282"/>
      <c r="W229" s="283"/>
      <c r="X229" s="284"/>
      <c r="Y229" s="285"/>
      <c r="Z229" s="178"/>
      <c r="AA229" s="172"/>
      <c r="AB229" s="172"/>
      <c r="AC229" s="172"/>
      <c r="AD229" s="172"/>
      <c r="AE229" s="172"/>
      <c r="AF229" s="276"/>
      <c r="AG229" s="172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13.5" customHeight="1">
      <c r="A230" s="1"/>
      <c r="B230" s="188"/>
      <c r="C230" s="188"/>
      <c r="D230" s="172"/>
      <c r="E230" s="172"/>
      <c r="F230" s="172"/>
      <c r="G230" s="172"/>
      <c r="H230" s="172"/>
      <c r="I230" s="172"/>
      <c r="J230" s="172"/>
      <c r="K230" s="172"/>
      <c r="L230" s="277"/>
      <c r="M230" s="277"/>
      <c r="N230" s="277"/>
      <c r="O230" s="277"/>
      <c r="P230" s="278"/>
      <c r="Q230" s="278"/>
      <c r="R230" s="278"/>
      <c r="S230" s="278"/>
      <c r="T230" s="172"/>
      <c r="U230" s="282"/>
      <c r="V230" s="282"/>
      <c r="W230" s="283"/>
      <c r="X230" s="284"/>
      <c r="Y230" s="285"/>
      <c r="Z230" s="178"/>
      <c r="AA230" s="172"/>
      <c r="AB230" s="172"/>
      <c r="AC230" s="172"/>
      <c r="AD230" s="172"/>
      <c r="AE230" s="172"/>
      <c r="AF230" s="276"/>
      <c r="AG230" s="172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13.5" customHeight="1">
      <c r="A231" s="1"/>
      <c r="B231" s="188"/>
      <c r="C231" s="188"/>
      <c r="D231" s="172"/>
      <c r="E231" s="172"/>
      <c r="F231" s="172"/>
      <c r="G231" s="172"/>
      <c r="H231" s="172"/>
      <c r="I231" s="172"/>
      <c r="J231" s="172"/>
      <c r="K231" s="172"/>
      <c r="L231" s="277"/>
      <c r="M231" s="277"/>
      <c r="N231" s="277"/>
      <c r="O231" s="277"/>
      <c r="P231" s="278"/>
      <c r="Q231" s="278"/>
      <c r="R231" s="278"/>
      <c r="S231" s="278"/>
      <c r="T231" s="172"/>
      <c r="U231" s="282"/>
      <c r="V231" s="282"/>
      <c r="W231" s="283"/>
      <c r="X231" s="284"/>
      <c r="Y231" s="285"/>
      <c r="Z231" s="178"/>
      <c r="AA231" s="172"/>
      <c r="AB231" s="172"/>
      <c r="AC231" s="172"/>
      <c r="AD231" s="172"/>
      <c r="AE231" s="172"/>
      <c r="AF231" s="276"/>
      <c r="AG231" s="172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13.5" customHeight="1">
      <c r="A232" s="1"/>
      <c r="B232" s="188"/>
      <c r="C232" s="188"/>
      <c r="D232" s="172"/>
      <c r="E232" s="172"/>
      <c r="F232" s="172"/>
      <c r="G232" s="172"/>
      <c r="H232" s="172"/>
      <c r="I232" s="172"/>
      <c r="J232" s="172"/>
      <c r="K232" s="172"/>
      <c r="L232" s="277"/>
      <c r="M232" s="277"/>
      <c r="N232" s="277"/>
      <c r="O232" s="277"/>
      <c r="P232" s="278"/>
      <c r="Q232" s="278"/>
      <c r="R232" s="278"/>
      <c r="S232" s="278"/>
      <c r="T232" s="172"/>
      <c r="U232" s="282"/>
      <c r="V232" s="282"/>
      <c r="W232" s="283"/>
      <c r="X232" s="284"/>
      <c r="Y232" s="285"/>
      <c r="Z232" s="178"/>
      <c r="AA232" s="172"/>
      <c r="AB232" s="172"/>
      <c r="AC232" s="172"/>
      <c r="AD232" s="172"/>
      <c r="AE232" s="172"/>
      <c r="AF232" s="276"/>
      <c r="AG232" s="172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13.5" customHeight="1">
      <c r="A233" s="1"/>
      <c r="B233" s="188"/>
      <c r="C233" s="188"/>
      <c r="D233" s="172"/>
      <c r="E233" s="172"/>
      <c r="F233" s="172"/>
      <c r="G233" s="172"/>
      <c r="H233" s="172"/>
      <c r="I233" s="172"/>
      <c r="J233" s="172"/>
      <c r="K233" s="172"/>
      <c r="L233" s="277"/>
      <c r="M233" s="277"/>
      <c r="N233" s="277"/>
      <c r="O233" s="277"/>
      <c r="P233" s="278"/>
      <c r="Q233" s="278"/>
      <c r="R233" s="278"/>
      <c r="S233" s="278"/>
      <c r="T233" s="172"/>
      <c r="U233" s="282"/>
      <c r="V233" s="282"/>
      <c r="W233" s="283"/>
      <c r="X233" s="284"/>
      <c r="Y233" s="285"/>
      <c r="Z233" s="178"/>
      <c r="AA233" s="172"/>
      <c r="AB233" s="172"/>
      <c r="AC233" s="172"/>
      <c r="AD233" s="172"/>
      <c r="AE233" s="172"/>
      <c r="AF233" s="276"/>
      <c r="AG233" s="172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13.5" customHeight="1">
      <c r="A234" s="1"/>
      <c r="B234" s="188"/>
      <c r="C234" s="188"/>
      <c r="D234" s="172"/>
      <c r="E234" s="172"/>
      <c r="F234" s="172"/>
      <c r="G234" s="172"/>
      <c r="H234" s="172"/>
      <c r="I234" s="172"/>
      <c r="J234" s="172"/>
      <c r="K234" s="172"/>
      <c r="L234" s="277"/>
      <c r="M234" s="277"/>
      <c r="N234" s="277"/>
      <c r="O234" s="277"/>
      <c r="P234" s="278"/>
      <c r="Q234" s="278"/>
      <c r="R234" s="278"/>
      <c r="S234" s="278"/>
      <c r="T234" s="172"/>
      <c r="U234" s="282"/>
      <c r="V234" s="282"/>
      <c r="W234" s="283"/>
      <c r="X234" s="284"/>
      <c r="Y234" s="285"/>
      <c r="Z234" s="178"/>
      <c r="AA234" s="172"/>
      <c r="AB234" s="172"/>
      <c r="AC234" s="172"/>
      <c r="AD234" s="172"/>
      <c r="AE234" s="172"/>
      <c r="AF234" s="276"/>
      <c r="AG234" s="172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13.5" customHeight="1">
      <c r="A235" s="1"/>
      <c r="B235" s="188"/>
      <c r="C235" s="188"/>
      <c r="D235" s="172"/>
      <c r="E235" s="172"/>
      <c r="F235" s="172"/>
      <c r="G235" s="172"/>
      <c r="H235" s="172"/>
      <c r="I235" s="172"/>
      <c r="J235" s="172"/>
      <c r="K235" s="172"/>
      <c r="L235" s="277"/>
      <c r="M235" s="277"/>
      <c r="N235" s="277"/>
      <c r="O235" s="277"/>
      <c r="P235" s="278"/>
      <c r="Q235" s="278"/>
      <c r="R235" s="278"/>
      <c r="S235" s="278"/>
      <c r="T235" s="172"/>
      <c r="U235" s="282"/>
      <c r="V235" s="282"/>
      <c r="W235" s="283"/>
      <c r="X235" s="284"/>
      <c r="Y235" s="285"/>
      <c r="Z235" s="178"/>
      <c r="AA235" s="172"/>
      <c r="AB235" s="172"/>
      <c r="AC235" s="172"/>
      <c r="AD235" s="172"/>
      <c r="AE235" s="172"/>
      <c r="AF235" s="276"/>
      <c r="AG235" s="172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3.5" customHeight="1">
      <c r="A236" s="1"/>
      <c r="B236" s="188"/>
      <c r="C236" s="188"/>
      <c r="D236" s="172"/>
      <c r="E236" s="172"/>
      <c r="F236" s="172"/>
      <c r="G236" s="172"/>
      <c r="H236" s="172"/>
      <c r="I236" s="172"/>
      <c r="J236" s="172"/>
      <c r="K236" s="172"/>
      <c r="L236" s="277"/>
      <c r="M236" s="277"/>
      <c r="N236" s="277"/>
      <c r="O236" s="277"/>
      <c r="P236" s="278"/>
      <c r="Q236" s="278"/>
      <c r="R236" s="278"/>
      <c r="S236" s="278"/>
      <c r="T236" s="172"/>
      <c r="U236" s="282"/>
      <c r="V236" s="282"/>
      <c r="W236" s="283"/>
      <c r="X236" s="284"/>
      <c r="Y236" s="285"/>
      <c r="Z236" s="178"/>
      <c r="AA236" s="172"/>
      <c r="AB236" s="172"/>
      <c r="AC236" s="172"/>
      <c r="AD236" s="172"/>
      <c r="AE236" s="172"/>
      <c r="AF236" s="276"/>
      <c r="AG236" s="172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13.5" customHeight="1">
      <c r="A237" s="1"/>
      <c r="B237" s="188"/>
      <c r="C237" s="188"/>
      <c r="D237" s="172"/>
      <c r="E237" s="172"/>
      <c r="F237" s="172"/>
      <c r="G237" s="172"/>
      <c r="H237" s="172"/>
      <c r="I237" s="172"/>
      <c r="J237" s="172"/>
      <c r="K237" s="172"/>
      <c r="L237" s="277"/>
      <c r="M237" s="277"/>
      <c r="N237" s="277"/>
      <c r="O237" s="277"/>
      <c r="P237" s="278"/>
      <c r="Q237" s="278"/>
      <c r="R237" s="278"/>
      <c r="S237" s="278"/>
      <c r="T237" s="172"/>
      <c r="U237" s="282"/>
      <c r="V237" s="282"/>
      <c r="W237" s="283"/>
      <c r="X237" s="284"/>
      <c r="Y237" s="285"/>
      <c r="Z237" s="178"/>
      <c r="AA237" s="172"/>
      <c r="AB237" s="172"/>
      <c r="AC237" s="172"/>
      <c r="AD237" s="172"/>
      <c r="AE237" s="172"/>
      <c r="AF237" s="276"/>
      <c r="AG237" s="172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88"/>
      <c r="C238" s="188"/>
      <c r="D238" s="172"/>
      <c r="E238" s="172"/>
      <c r="F238" s="172"/>
      <c r="G238" s="172"/>
      <c r="H238" s="172"/>
      <c r="I238" s="172"/>
      <c r="J238" s="172"/>
      <c r="K238" s="172"/>
      <c r="L238" s="277"/>
      <c r="M238" s="277"/>
      <c r="N238" s="277"/>
      <c r="O238" s="277"/>
      <c r="P238" s="278"/>
      <c r="Q238" s="278"/>
      <c r="R238" s="278"/>
      <c r="S238" s="278"/>
      <c r="T238" s="172"/>
      <c r="U238" s="282"/>
      <c r="V238" s="282"/>
      <c r="W238" s="283"/>
      <c r="X238" s="284"/>
      <c r="Y238" s="285"/>
      <c r="Z238" s="178"/>
      <c r="AA238" s="172"/>
      <c r="AB238" s="172"/>
      <c r="AC238" s="172"/>
      <c r="AD238" s="172"/>
      <c r="AE238" s="172"/>
      <c r="AF238" s="276"/>
      <c r="AG238" s="172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88"/>
      <c r="C239" s="188"/>
      <c r="D239" s="172"/>
      <c r="E239" s="172"/>
      <c r="F239" s="172"/>
      <c r="G239" s="172"/>
      <c r="H239" s="172"/>
      <c r="I239" s="172"/>
      <c r="J239" s="172"/>
      <c r="K239" s="172"/>
      <c r="L239" s="277"/>
      <c r="M239" s="277"/>
      <c r="N239" s="277"/>
      <c r="O239" s="277"/>
      <c r="P239" s="278"/>
      <c r="Q239" s="278"/>
      <c r="R239" s="278"/>
      <c r="S239" s="278"/>
      <c r="T239" s="172"/>
      <c r="U239" s="282"/>
      <c r="V239" s="282"/>
      <c r="W239" s="283"/>
      <c r="X239" s="284"/>
      <c r="Y239" s="285"/>
      <c r="Z239" s="178"/>
      <c r="AA239" s="172"/>
      <c r="AB239" s="172"/>
      <c r="AC239" s="172"/>
      <c r="AD239" s="172"/>
      <c r="AE239" s="172"/>
      <c r="AF239" s="276"/>
      <c r="AG239" s="172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15.75" customHeight="1">
      <c r="A240" s="247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  <c r="Z240" s="247"/>
      <c r="AA240" s="247"/>
      <c r="AB240" s="247"/>
      <c r="AC240" s="247"/>
      <c r="AD240" s="247"/>
      <c r="AE240" s="247"/>
      <c r="AF240" s="247"/>
      <c r="AG240" s="247"/>
    </row>
    <row r="241" ht="15.75" customHeight="1">
      <c r="A241" s="247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  <c r="Z241" s="247"/>
      <c r="AA241" s="247"/>
      <c r="AB241" s="247"/>
      <c r="AC241" s="247"/>
      <c r="AD241" s="247"/>
      <c r="AE241" s="247"/>
      <c r="AF241" s="247"/>
      <c r="AG241" s="247"/>
    </row>
    <row r="242" ht="15.75" customHeight="1">
      <c r="A242" s="247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  <c r="Z242" s="247"/>
      <c r="AA242" s="247"/>
      <c r="AB242" s="247"/>
      <c r="AC242" s="247"/>
      <c r="AD242" s="247"/>
      <c r="AE242" s="247"/>
      <c r="AF242" s="247"/>
      <c r="AG242" s="247"/>
    </row>
    <row r="243" ht="15.75" customHeight="1">
      <c r="A243" s="247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  <c r="Z243" s="247"/>
      <c r="AA243" s="247"/>
      <c r="AB243" s="247"/>
      <c r="AC243" s="247"/>
      <c r="AD243" s="247"/>
      <c r="AE243" s="247"/>
      <c r="AF243" s="247"/>
      <c r="AG243" s="247"/>
    </row>
    <row r="244" ht="15.75" customHeight="1">
      <c r="A244" s="247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  <c r="Z244" s="247"/>
      <c r="AA244" s="247"/>
      <c r="AB244" s="247"/>
      <c r="AC244" s="247"/>
      <c r="AD244" s="247"/>
      <c r="AE244" s="247"/>
      <c r="AF244" s="247"/>
      <c r="AG244" s="247"/>
    </row>
    <row r="245" ht="15.75" customHeight="1">
      <c r="A245" s="247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  <c r="Z245" s="247"/>
      <c r="AA245" s="247"/>
      <c r="AB245" s="247"/>
      <c r="AC245" s="247"/>
      <c r="AD245" s="247"/>
      <c r="AE245" s="247"/>
      <c r="AF245" s="247"/>
      <c r="AG245" s="247"/>
    </row>
    <row r="246" ht="15.75" customHeight="1">
      <c r="A246" s="247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  <c r="Z246" s="247"/>
      <c r="AA246" s="247"/>
      <c r="AB246" s="247"/>
      <c r="AC246" s="247"/>
      <c r="AD246" s="247"/>
      <c r="AE246" s="247"/>
      <c r="AF246" s="247"/>
      <c r="AG246" s="247"/>
    </row>
    <row r="247" ht="15.75" customHeight="1">
      <c r="A247" s="247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  <c r="Z247" s="247"/>
      <c r="AA247" s="247"/>
      <c r="AB247" s="247"/>
      <c r="AC247" s="247"/>
      <c r="AD247" s="247"/>
      <c r="AE247" s="247"/>
      <c r="AF247" s="247"/>
      <c r="AG247" s="247"/>
    </row>
    <row r="248" ht="15.75" customHeight="1">
      <c r="A248" s="247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  <c r="Z248" s="247"/>
      <c r="AA248" s="247"/>
      <c r="AB248" s="247"/>
      <c r="AC248" s="247"/>
      <c r="AD248" s="247"/>
      <c r="AE248" s="247"/>
      <c r="AF248" s="247"/>
      <c r="AG248" s="247"/>
    </row>
    <row r="249" ht="15.75" customHeight="1">
      <c r="A249" s="247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7"/>
      <c r="AA249" s="247"/>
      <c r="AB249" s="247"/>
      <c r="AC249" s="247"/>
      <c r="AD249" s="247"/>
      <c r="AE249" s="247"/>
      <c r="AF249" s="247"/>
      <c r="AG249" s="247"/>
    </row>
    <row r="250" ht="15.75" customHeight="1">
      <c r="A250" s="247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  <c r="Z250" s="247"/>
      <c r="AA250" s="247"/>
      <c r="AB250" s="247"/>
      <c r="AC250" s="247"/>
      <c r="AD250" s="247"/>
      <c r="AE250" s="247"/>
      <c r="AF250" s="247"/>
      <c r="AG250" s="247"/>
    </row>
    <row r="251" ht="15.75" customHeight="1">
      <c r="A251" s="247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  <c r="Z251" s="247"/>
      <c r="AA251" s="247"/>
      <c r="AB251" s="247"/>
      <c r="AC251" s="247"/>
      <c r="AD251" s="247"/>
      <c r="AE251" s="247"/>
      <c r="AF251" s="247"/>
      <c r="AG251" s="247"/>
    </row>
    <row r="252" ht="15.75" customHeight="1">
      <c r="A252" s="247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  <c r="Z252" s="247"/>
      <c r="AA252" s="247"/>
      <c r="AB252" s="247"/>
      <c r="AC252" s="247"/>
      <c r="AD252" s="247"/>
      <c r="AE252" s="247"/>
      <c r="AF252" s="247"/>
      <c r="AG252" s="247"/>
    </row>
    <row r="253" ht="15.75" customHeight="1">
      <c r="A253" s="247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247"/>
      <c r="AA253" s="247"/>
      <c r="AB253" s="247"/>
      <c r="AC253" s="247"/>
      <c r="AD253" s="247"/>
      <c r="AE253" s="247"/>
      <c r="AF253" s="247"/>
      <c r="AG253" s="247"/>
    </row>
    <row r="254" ht="15.75" customHeight="1">
      <c r="A254" s="247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247"/>
      <c r="AA254" s="247"/>
      <c r="AB254" s="247"/>
      <c r="AC254" s="247"/>
      <c r="AD254" s="247"/>
      <c r="AE254" s="247"/>
      <c r="AF254" s="247"/>
      <c r="AG254" s="247"/>
    </row>
    <row r="255" ht="15.75" customHeight="1">
      <c r="A255" s="247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  <c r="Z255" s="247"/>
      <c r="AA255" s="247"/>
      <c r="AB255" s="247"/>
      <c r="AC255" s="247"/>
      <c r="AD255" s="247"/>
      <c r="AE255" s="247"/>
      <c r="AF255" s="247"/>
      <c r="AG255" s="247"/>
    </row>
    <row r="256" ht="15.75" customHeight="1">
      <c r="A256" s="247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  <c r="Z256" s="247"/>
      <c r="AA256" s="247"/>
      <c r="AB256" s="247"/>
      <c r="AC256" s="247"/>
      <c r="AD256" s="247"/>
      <c r="AE256" s="247"/>
      <c r="AF256" s="247"/>
      <c r="AG256" s="247"/>
    </row>
    <row r="257" ht="15.75" customHeight="1">
      <c r="A257" s="247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  <c r="Z257" s="247"/>
      <c r="AA257" s="247"/>
      <c r="AB257" s="247"/>
      <c r="AC257" s="247"/>
      <c r="AD257" s="247"/>
      <c r="AE257" s="247"/>
      <c r="AF257" s="247"/>
      <c r="AG257" s="247"/>
    </row>
    <row r="258" ht="15.75" customHeight="1">
      <c r="A258" s="247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  <c r="Z258" s="247"/>
      <c r="AA258" s="247"/>
      <c r="AB258" s="247"/>
      <c r="AC258" s="247"/>
      <c r="AD258" s="247"/>
      <c r="AE258" s="247"/>
      <c r="AF258" s="247"/>
      <c r="AG258" s="247"/>
    </row>
    <row r="259" ht="15.75" customHeight="1">
      <c r="A259" s="247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  <c r="Z259" s="247"/>
      <c r="AA259" s="247"/>
      <c r="AB259" s="247"/>
      <c r="AC259" s="247"/>
      <c r="AD259" s="247"/>
      <c r="AE259" s="247"/>
      <c r="AF259" s="247"/>
      <c r="AG259" s="247"/>
    </row>
    <row r="260" ht="15.75" customHeight="1">
      <c r="A260" s="247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  <c r="Z260" s="247"/>
      <c r="AA260" s="247"/>
      <c r="AB260" s="247"/>
      <c r="AC260" s="247"/>
      <c r="AD260" s="247"/>
      <c r="AE260" s="247"/>
      <c r="AF260" s="247"/>
      <c r="AG260" s="247"/>
    </row>
    <row r="261" ht="15.75" customHeight="1">
      <c r="A261" s="247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  <c r="Z261" s="247"/>
      <c r="AA261" s="247"/>
      <c r="AB261" s="247"/>
      <c r="AC261" s="247"/>
      <c r="AD261" s="247"/>
      <c r="AE261" s="247"/>
      <c r="AF261" s="247"/>
      <c r="AG261" s="247"/>
    </row>
    <row r="262" ht="15.75" customHeight="1">
      <c r="A262" s="247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  <c r="Z262" s="247"/>
      <c r="AA262" s="247"/>
      <c r="AB262" s="247"/>
      <c r="AC262" s="247"/>
      <c r="AD262" s="247"/>
      <c r="AE262" s="247"/>
      <c r="AF262" s="247"/>
      <c r="AG262" s="247"/>
    </row>
    <row r="263" ht="15.75" customHeight="1">
      <c r="A263" s="247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  <c r="Z263" s="247"/>
      <c r="AA263" s="247"/>
      <c r="AB263" s="247"/>
      <c r="AC263" s="247"/>
      <c r="AD263" s="247"/>
      <c r="AE263" s="247"/>
      <c r="AF263" s="247"/>
      <c r="AG263" s="247"/>
    </row>
    <row r="264" ht="15.75" customHeight="1">
      <c r="A264" s="247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  <c r="Z264" s="247"/>
      <c r="AA264" s="247"/>
      <c r="AB264" s="247"/>
      <c r="AC264" s="247"/>
      <c r="AD264" s="247"/>
      <c r="AE264" s="247"/>
      <c r="AF264" s="247"/>
      <c r="AG264" s="247"/>
    </row>
    <row r="265" ht="15.75" customHeight="1">
      <c r="A265" s="247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  <c r="Z265" s="247"/>
      <c r="AA265" s="247"/>
      <c r="AB265" s="247"/>
      <c r="AC265" s="247"/>
      <c r="AD265" s="247"/>
      <c r="AE265" s="247"/>
      <c r="AF265" s="247"/>
      <c r="AG265" s="247"/>
    </row>
    <row r="266" ht="15.75" customHeight="1">
      <c r="A266" s="247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  <c r="Z266" s="247"/>
      <c r="AA266" s="247"/>
      <c r="AB266" s="247"/>
      <c r="AC266" s="247"/>
      <c r="AD266" s="247"/>
      <c r="AE266" s="247"/>
      <c r="AF266" s="247"/>
      <c r="AG266" s="247"/>
    </row>
    <row r="267" ht="15.75" customHeight="1">
      <c r="A267" s="247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247"/>
      <c r="AA267" s="247"/>
      <c r="AB267" s="247"/>
      <c r="AC267" s="247"/>
      <c r="AD267" s="247"/>
      <c r="AE267" s="247"/>
      <c r="AF267" s="247"/>
      <c r="AG267" s="247"/>
    </row>
    <row r="268" ht="15.75" customHeight="1">
      <c r="A268" s="247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247"/>
      <c r="AA268" s="247"/>
      <c r="AB268" s="247"/>
      <c r="AC268" s="247"/>
      <c r="AD268" s="247"/>
      <c r="AE268" s="247"/>
      <c r="AF268" s="247"/>
      <c r="AG268" s="247"/>
    </row>
    <row r="269" ht="15.75" customHeight="1">
      <c r="A269" s="247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  <c r="Z269" s="247"/>
      <c r="AA269" s="247"/>
      <c r="AB269" s="247"/>
      <c r="AC269" s="247"/>
      <c r="AD269" s="247"/>
      <c r="AE269" s="247"/>
      <c r="AF269" s="247"/>
      <c r="AG269" s="247"/>
    </row>
    <row r="270" ht="15.75" customHeight="1">
      <c r="A270" s="247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  <c r="Z270" s="247"/>
      <c r="AA270" s="247"/>
      <c r="AB270" s="247"/>
      <c r="AC270" s="247"/>
      <c r="AD270" s="247"/>
      <c r="AE270" s="247"/>
      <c r="AF270" s="247"/>
      <c r="AG270" s="247"/>
    </row>
    <row r="271" ht="15.75" customHeight="1">
      <c r="A271" s="247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  <c r="Z271" s="247"/>
      <c r="AA271" s="247"/>
      <c r="AB271" s="247"/>
      <c r="AC271" s="247"/>
      <c r="AD271" s="247"/>
      <c r="AE271" s="247"/>
      <c r="AF271" s="247"/>
      <c r="AG271" s="247"/>
    </row>
    <row r="272" ht="15.75" customHeight="1">
      <c r="A272" s="247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  <c r="Z272" s="247"/>
      <c r="AA272" s="247"/>
      <c r="AB272" s="247"/>
      <c r="AC272" s="247"/>
      <c r="AD272" s="247"/>
      <c r="AE272" s="247"/>
      <c r="AF272" s="247"/>
      <c r="AG272" s="247"/>
    </row>
    <row r="273" ht="15.75" customHeight="1">
      <c r="A273" s="247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  <c r="Z273" s="247"/>
      <c r="AA273" s="247"/>
      <c r="AB273" s="247"/>
      <c r="AC273" s="247"/>
      <c r="AD273" s="247"/>
      <c r="AE273" s="247"/>
      <c r="AF273" s="247"/>
      <c r="AG273" s="247"/>
    </row>
    <row r="274" ht="15.75" customHeight="1">
      <c r="A274" s="247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  <c r="Z274" s="247"/>
      <c r="AA274" s="247"/>
      <c r="AB274" s="247"/>
      <c r="AC274" s="247"/>
      <c r="AD274" s="247"/>
      <c r="AE274" s="247"/>
      <c r="AF274" s="247"/>
      <c r="AG274" s="247"/>
    </row>
    <row r="275" ht="15.75" customHeight="1">
      <c r="A275" s="247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  <c r="Z275" s="247"/>
      <c r="AA275" s="247"/>
      <c r="AB275" s="247"/>
      <c r="AC275" s="247"/>
      <c r="AD275" s="247"/>
      <c r="AE275" s="247"/>
      <c r="AF275" s="247"/>
      <c r="AG275" s="247"/>
    </row>
    <row r="276" ht="15.75" customHeight="1">
      <c r="A276" s="247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  <c r="Z276" s="247"/>
      <c r="AA276" s="247"/>
      <c r="AB276" s="247"/>
      <c r="AC276" s="247"/>
      <c r="AD276" s="247"/>
      <c r="AE276" s="247"/>
      <c r="AF276" s="247"/>
      <c r="AG276" s="247"/>
    </row>
    <row r="277" ht="15.75" customHeight="1">
      <c r="A277" s="247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  <c r="Z277" s="247"/>
      <c r="AA277" s="247"/>
      <c r="AB277" s="247"/>
      <c r="AC277" s="247"/>
      <c r="AD277" s="247"/>
      <c r="AE277" s="247"/>
      <c r="AF277" s="247"/>
      <c r="AG277" s="247"/>
    </row>
    <row r="278" ht="15.75" customHeight="1">
      <c r="A278" s="247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  <c r="Z278" s="247"/>
      <c r="AA278" s="247"/>
      <c r="AB278" s="247"/>
      <c r="AC278" s="247"/>
      <c r="AD278" s="247"/>
      <c r="AE278" s="247"/>
      <c r="AF278" s="247"/>
      <c r="AG278" s="247"/>
    </row>
    <row r="279" ht="15.75" customHeight="1">
      <c r="A279" s="247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247"/>
      <c r="AA279" s="247"/>
      <c r="AB279" s="247"/>
      <c r="AC279" s="247"/>
      <c r="AD279" s="247"/>
      <c r="AE279" s="247"/>
      <c r="AF279" s="247"/>
      <c r="AG279" s="247"/>
    </row>
    <row r="280" ht="15.75" customHeight="1">
      <c r="A280" s="247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247"/>
      <c r="AA280" s="247"/>
      <c r="AB280" s="247"/>
      <c r="AC280" s="247"/>
      <c r="AD280" s="247"/>
      <c r="AE280" s="247"/>
      <c r="AF280" s="247"/>
      <c r="AG280" s="247"/>
    </row>
    <row r="281" ht="15.75" customHeight="1">
      <c r="A281" s="247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247"/>
      <c r="AA281" s="247"/>
      <c r="AB281" s="247"/>
      <c r="AC281" s="247"/>
      <c r="AD281" s="247"/>
      <c r="AE281" s="247"/>
      <c r="AF281" s="247"/>
      <c r="AG281" s="247"/>
    </row>
    <row r="282" ht="15.75" customHeight="1">
      <c r="A282" s="247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247"/>
      <c r="AA282" s="247"/>
      <c r="AB282" s="247"/>
      <c r="AC282" s="247"/>
      <c r="AD282" s="247"/>
      <c r="AE282" s="247"/>
      <c r="AF282" s="247"/>
      <c r="AG282" s="247"/>
    </row>
    <row r="283" ht="15.75" customHeight="1">
      <c r="A283" s="247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247"/>
      <c r="AA283" s="247"/>
      <c r="AB283" s="247"/>
      <c r="AC283" s="247"/>
      <c r="AD283" s="247"/>
      <c r="AE283" s="247"/>
      <c r="AF283" s="247"/>
      <c r="AG283" s="247"/>
    </row>
    <row r="284" ht="15.75" customHeight="1">
      <c r="A284" s="247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247"/>
      <c r="AA284" s="247"/>
      <c r="AB284" s="247"/>
      <c r="AC284" s="247"/>
      <c r="AD284" s="247"/>
      <c r="AE284" s="247"/>
      <c r="AF284" s="247"/>
      <c r="AG284" s="247"/>
    </row>
    <row r="285" ht="15.75" customHeight="1">
      <c r="A285" s="247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247"/>
      <c r="AA285" s="247"/>
      <c r="AB285" s="247"/>
      <c r="AC285" s="247"/>
      <c r="AD285" s="247"/>
      <c r="AE285" s="247"/>
      <c r="AF285" s="247"/>
      <c r="AG285" s="247"/>
    </row>
    <row r="286" ht="15.75" customHeight="1">
      <c r="A286" s="247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  <c r="Z286" s="247"/>
      <c r="AA286" s="247"/>
      <c r="AB286" s="247"/>
      <c r="AC286" s="247"/>
      <c r="AD286" s="247"/>
      <c r="AE286" s="247"/>
      <c r="AF286" s="247"/>
      <c r="AG286" s="247"/>
    </row>
    <row r="287" ht="15.75" customHeight="1">
      <c r="A287" s="247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247"/>
      <c r="AA287" s="247"/>
      <c r="AB287" s="247"/>
      <c r="AC287" s="247"/>
      <c r="AD287" s="247"/>
      <c r="AE287" s="247"/>
      <c r="AF287" s="247"/>
      <c r="AG287" s="247"/>
    </row>
    <row r="288" ht="15.75" customHeight="1">
      <c r="A288" s="247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247"/>
      <c r="AA288" s="247"/>
      <c r="AB288" s="247"/>
      <c r="AC288" s="247"/>
      <c r="AD288" s="247"/>
      <c r="AE288" s="247"/>
      <c r="AF288" s="247"/>
      <c r="AG288" s="247"/>
    </row>
    <row r="289" ht="15.75" customHeight="1">
      <c r="A289" s="247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  <c r="Z289" s="247"/>
      <c r="AA289" s="247"/>
      <c r="AB289" s="247"/>
      <c r="AC289" s="247"/>
      <c r="AD289" s="247"/>
      <c r="AE289" s="247"/>
      <c r="AF289" s="247"/>
      <c r="AG289" s="247"/>
    </row>
    <row r="290" ht="15.75" customHeight="1">
      <c r="A290" s="247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  <c r="Z290" s="247"/>
      <c r="AA290" s="247"/>
      <c r="AB290" s="247"/>
      <c r="AC290" s="247"/>
      <c r="AD290" s="247"/>
      <c r="AE290" s="247"/>
      <c r="AF290" s="247"/>
      <c r="AG290" s="247"/>
    </row>
    <row r="291" ht="15.75" customHeight="1">
      <c r="A291" s="247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  <c r="Z291" s="247"/>
      <c r="AA291" s="247"/>
      <c r="AB291" s="247"/>
      <c r="AC291" s="247"/>
      <c r="AD291" s="247"/>
      <c r="AE291" s="247"/>
      <c r="AF291" s="247"/>
      <c r="AG291" s="247"/>
    </row>
    <row r="292" ht="15.75" customHeight="1">
      <c r="A292" s="247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247"/>
      <c r="AA292" s="247"/>
      <c r="AB292" s="247"/>
      <c r="AC292" s="247"/>
      <c r="AD292" s="247"/>
      <c r="AE292" s="247"/>
      <c r="AF292" s="247"/>
      <c r="AG292" s="247"/>
    </row>
    <row r="293" ht="15.75" customHeight="1">
      <c r="A293" s="247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247"/>
      <c r="AA293" s="247"/>
      <c r="AB293" s="247"/>
      <c r="AC293" s="247"/>
      <c r="AD293" s="247"/>
      <c r="AE293" s="247"/>
      <c r="AF293" s="247"/>
      <c r="AG293" s="247"/>
    </row>
    <row r="294" ht="15.75" customHeight="1">
      <c r="A294" s="247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7"/>
      <c r="AA294" s="247"/>
      <c r="AB294" s="247"/>
      <c r="AC294" s="247"/>
      <c r="AD294" s="247"/>
      <c r="AE294" s="247"/>
      <c r="AF294" s="247"/>
      <c r="AG294" s="247"/>
    </row>
    <row r="295" ht="15.75" customHeight="1">
      <c r="A295" s="247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7"/>
      <c r="AA295" s="247"/>
      <c r="AB295" s="247"/>
      <c r="AC295" s="247"/>
      <c r="AD295" s="247"/>
      <c r="AE295" s="247"/>
      <c r="AF295" s="247"/>
      <c r="AG295" s="247"/>
    </row>
    <row r="296" ht="15.75" customHeight="1">
      <c r="A296" s="247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7"/>
      <c r="AA296" s="247"/>
      <c r="AB296" s="247"/>
      <c r="AC296" s="247"/>
      <c r="AD296" s="247"/>
      <c r="AE296" s="247"/>
      <c r="AF296" s="247"/>
      <c r="AG296" s="247"/>
    </row>
    <row r="297" ht="15.75" customHeight="1">
      <c r="A297" s="247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  <c r="Z297" s="247"/>
      <c r="AA297" s="247"/>
      <c r="AB297" s="247"/>
      <c r="AC297" s="247"/>
      <c r="AD297" s="247"/>
      <c r="AE297" s="247"/>
      <c r="AF297" s="247"/>
      <c r="AG297" s="247"/>
    </row>
    <row r="298" ht="15.75" customHeight="1">
      <c r="A298" s="247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  <c r="Z298" s="247"/>
      <c r="AA298" s="247"/>
      <c r="AB298" s="247"/>
      <c r="AC298" s="247"/>
      <c r="AD298" s="247"/>
      <c r="AE298" s="247"/>
      <c r="AF298" s="247"/>
      <c r="AG298" s="247"/>
    </row>
    <row r="299" ht="15.75" customHeight="1">
      <c r="A299" s="247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  <c r="Z299" s="247"/>
      <c r="AA299" s="247"/>
      <c r="AB299" s="247"/>
      <c r="AC299" s="247"/>
      <c r="AD299" s="247"/>
      <c r="AE299" s="247"/>
      <c r="AF299" s="247"/>
      <c r="AG299" s="247"/>
    </row>
    <row r="300" ht="15.75" customHeight="1">
      <c r="A300" s="247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  <c r="Z300" s="247"/>
      <c r="AA300" s="247"/>
      <c r="AB300" s="247"/>
      <c r="AC300" s="247"/>
      <c r="AD300" s="247"/>
      <c r="AE300" s="247"/>
      <c r="AF300" s="247"/>
      <c r="AG300" s="247"/>
    </row>
    <row r="301" ht="15.75" customHeight="1">
      <c r="A301" s="247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  <c r="Z301" s="247"/>
      <c r="AA301" s="247"/>
      <c r="AB301" s="247"/>
      <c r="AC301" s="247"/>
      <c r="AD301" s="247"/>
      <c r="AE301" s="247"/>
      <c r="AF301" s="247"/>
      <c r="AG301" s="247"/>
    </row>
    <row r="302" ht="15.75" customHeight="1">
      <c r="A302" s="247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  <c r="Z302" s="247"/>
      <c r="AA302" s="247"/>
      <c r="AB302" s="247"/>
      <c r="AC302" s="247"/>
      <c r="AD302" s="247"/>
      <c r="AE302" s="247"/>
      <c r="AF302" s="247"/>
      <c r="AG302" s="247"/>
    </row>
    <row r="303" ht="15.75" customHeight="1">
      <c r="A303" s="247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  <c r="Z303" s="247"/>
      <c r="AA303" s="247"/>
      <c r="AB303" s="247"/>
      <c r="AC303" s="247"/>
      <c r="AD303" s="247"/>
      <c r="AE303" s="247"/>
      <c r="AF303" s="247"/>
      <c r="AG303" s="247"/>
    </row>
    <row r="304" ht="15.75" customHeight="1">
      <c r="A304" s="247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  <c r="Z304" s="247"/>
      <c r="AA304" s="247"/>
      <c r="AB304" s="247"/>
      <c r="AC304" s="247"/>
      <c r="AD304" s="247"/>
      <c r="AE304" s="247"/>
      <c r="AF304" s="247"/>
      <c r="AG304" s="247"/>
    </row>
    <row r="305" ht="15.75" customHeight="1">
      <c r="A305" s="247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  <c r="Z305" s="247"/>
      <c r="AA305" s="247"/>
      <c r="AB305" s="247"/>
      <c r="AC305" s="247"/>
      <c r="AD305" s="247"/>
      <c r="AE305" s="247"/>
      <c r="AF305" s="247"/>
      <c r="AG305" s="247"/>
    </row>
    <row r="306" ht="15.75" customHeight="1">
      <c r="A306" s="247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  <c r="Z306" s="247"/>
      <c r="AA306" s="247"/>
      <c r="AB306" s="247"/>
      <c r="AC306" s="247"/>
      <c r="AD306" s="247"/>
      <c r="AE306" s="247"/>
      <c r="AF306" s="247"/>
      <c r="AG306" s="247"/>
    </row>
    <row r="307" ht="15.75" customHeight="1">
      <c r="A307" s="247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  <c r="Z307" s="247"/>
      <c r="AA307" s="247"/>
      <c r="AB307" s="247"/>
      <c r="AC307" s="247"/>
      <c r="AD307" s="247"/>
      <c r="AE307" s="247"/>
      <c r="AF307" s="247"/>
      <c r="AG307" s="247"/>
    </row>
    <row r="308" ht="15.75" customHeight="1">
      <c r="A308" s="247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  <c r="Z308" s="247"/>
      <c r="AA308" s="247"/>
      <c r="AB308" s="247"/>
      <c r="AC308" s="247"/>
      <c r="AD308" s="247"/>
      <c r="AE308" s="247"/>
      <c r="AF308" s="247"/>
      <c r="AG308" s="247"/>
    </row>
    <row r="309" ht="15.75" customHeight="1">
      <c r="A309" s="247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  <c r="Z309" s="247"/>
      <c r="AA309" s="247"/>
      <c r="AB309" s="247"/>
      <c r="AC309" s="247"/>
      <c r="AD309" s="247"/>
      <c r="AE309" s="247"/>
      <c r="AF309" s="247"/>
      <c r="AG309" s="247"/>
    </row>
    <row r="310" ht="15.75" customHeight="1">
      <c r="A310" s="247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  <c r="Z310" s="247"/>
      <c r="AA310" s="247"/>
      <c r="AB310" s="247"/>
      <c r="AC310" s="247"/>
      <c r="AD310" s="247"/>
      <c r="AE310" s="247"/>
      <c r="AF310" s="247"/>
      <c r="AG310" s="247"/>
    </row>
    <row r="311" ht="15.75" customHeight="1">
      <c r="A311" s="247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  <c r="Z311" s="247"/>
      <c r="AA311" s="247"/>
      <c r="AB311" s="247"/>
      <c r="AC311" s="247"/>
      <c r="AD311" s="247"/>
      <c r="AE311" s="247"/>
      <c r="AF311" s="247"/>
      <c r="AG311" s="247"/>
    </row>
    <row r="312" ht="15.75" customHeight="1">
      <c r="A312" s="247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  <c r="Z312" s="247"/>
      <c r="AA312" s="247"/>
      <c r="AB312" s="247"/>
      <c r="AC312" s="247"/>
      <c r="AD312" s="247"/>
      <c r="AE312" s="247"/>
      <c r="AF312" s="247"/>
      <c r="AG312" s="247"/>
    </row>
    <row r="313" ht="15.75" customHeight="1">
      <c r="A313" s="247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  <c r="Z313" s="247"/>
      <c r="AA313" s="247"/>
      <c r="AB313" s="247"/>
      <c r="AC313" s="247"/>
      <c r="AD313" s="247"/>
      <c r="AE313" s="247"/>
      <c r="AF313" s="247"/>
      <c r="AG313" s="247"/>
    </row>
    <row r="314" ht="15.75" customHeight="1">
      <c r="A314" s="247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  <c r="Z314" s="247"/>
      <c r="AA314" s="247"/>
      <c r="AB314" s="247"/>
      <c r="AC314" s="247"/>
      <c r="AD314" s="247"/>
      <c r="AE314" s="247"/>
      <c r="AF314" s="247"/>
      <c r="AG314" s="247"/>
    </row>
    <row r="315" ht="15.75" customHeight="1">
      <c r="A315" s="247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  <c r="Z315" s="247"/>
      <c r="AA315" s="247"/>
      <c r="AB315" s="247"/>
      <c r="AC315" s="247"/>
      <c r="AD315" s="247"/>
      <c r="AE315" s="247"/>
      <c r="AF315" s="247"/>
      <c r="AG315" s="247"/>
    </row>
    <row r="316" ht="15.75" customHeight="1">
      <c r="A316" s="247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  <c r="Z316" s="247"/>
      <c r="AA316" s="247"/>
      <c r="AB316" s="247"/>
      <c r="AC316" s="247"/>
      <c r="AD316" s="247"/>
      <c r="AE316" s="247"/>
      <c r="AF316" s="247"/>
      <c r="AG316" s="247"/>
    </row>
    <row r="317" ht="15.75" customHeight="1">
      <c r="A317" s="247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  <c r="Z317" s="247"/>
      <c r="AA317" s="247"/>
      <c r="AB317" s="247"/>
      <c r="AC317" s="247"/>
      <c r="AD317" s="247"/>
      <c r="AE317" s="247"/>
      <c r="AF317" s="247"/>
      <c r="AG317" s="247"/>
    </row>
    <row r="318" ht="15.75" customHeight="1">
      <c r="A318" s="247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247"/>
      <c r="AA318" s="247"/>
      <c r="AB318" s="247"/>
      <c r="AC318" s="247"/>
      <c r="AD318" s="247"/>
      <c r="AE318" s="247"/>
      <c r="AF318" s="247"/>
      <c r="AG318" s="247"/>
    </row>
    <row r="319" ht="15.75" customHeight="1">
      <c r="A319" s="247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247"/>
      <c r="AA319" s="247"/>
      <c r="AB319" s="247"/>
      <c r="AC319" s="247"/>
      <c r="AD319" s="247"/>
      <c r="AE319" s="247"/>
      <c r="AF319" s="247"/>
      <c r="AG319" s="247"/>
    </row>
    <row r="320" ht="15.75" customHeight="1">
      <c r="A320" s="247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7"/>
      <c r="AA320" s="247"/>
      <c r="AB320" s="247"/>
      <c r="AC320" s="247"/>
      <c r="AD320" s="247"/>
      <c r="AE320" s="247"/>
      <c r="AF320" s="247"/>
      <c r="AG320" s="247"/>
    </row>
    <row r="321" ht="15.75" customHeight="1">
      <c r="A321" s="247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  <c r="Z321" s="247"/>
      <c r="AA321" s="247"/>
      <c r="AB321" s="247"/>
      <c r="AC321" s="247"/>
      <c r="AD321" s="247"/>
      <c r="AE321" s="247"/>
      <c r="AF321" s="247"/>
      <c r="AG321" s="247"/>
    </row>
    <row r="322" ht="15.75" customHeight="1">
      <c r="A322" s="247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  <c r="Z322" s="247"/>
      <c r="AA322" s="247"/>
      <c r="AB322" s="247"/>
      <c r="AC322" s="247"/>
      <c r="AD322" s="247"/>
      <c r="AE322" s="247"/>
      <c r="AF322" s="247"/>
      <c r="AG322" s="247"/>
    </row>
    <row r="323" ht="15.75" customHeight="1">
      <c r="A323" s="247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  <c r="Z323" s="247"/>
      <c r="AA323" s="247"/>
      <c r="AB323" s="247"/>
      <c r="AC323" s="247"/>
      <c r="AD323" s="247"/>
      <c r="AE323" s="247"/>
      <c r="AF323" s="247"/>
      <c r="AG323" s="247"/>
    </row>
    <row r="324" ht="15.75" customHeight="1">
      <c r="A324" s="247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  <c r="Z324" s="247"/>
      <c r="AA324" s="247"/>
      <c r="AB324" s="247"/>
      <c r="AC324" s="247"/>
      <c r="AD324" s="247"/>
      <c r="AE324" s="247"/>
      <c r="AF324" s="247"/>
      <c r="AG324" s="247"/>
    </row>
    <row r="325" ht="15.75" customHeight="1">
      <c r="A325" s="247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  <c r="Z325" s="247"/>
      <c r="AA325" s="247"/>
      <c r="AB325" s="247"/>
      <c r="AC325" s="247"/>
      <c r="AD325" s="247"/>
      <c r="AE325" s="247"/>
      <c r="AF325" s="247"/>
      <c r="AG325" s="247"/>
    </row>
    <row r="326" ht="15.75" customHeight="1">
      <c r="A326" s="247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247"/>
      <c r="AA326" s="247"/>
      <c r="AB326" s="247"/>
      <c r="AC326" s="247"/>
      <c r="AD326" s="247"/>
      <c r="AE326" s="247"/>
      <c r="AF326" s="247"/>
      <c r="AG326" s="247"/>
    </row>
    <row r="327" ht="15.75" customHeight="1">
      <c r="A327" s="247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247"/>
      <c r="AA327" s="247"/>
      <c r="AB327" s="247"/>
      <c r="AC327" s="247"/>
      <c r="AD327" s="247"/>
      <c r="AE327" s="247"/>
      <c r="AF327" s="247"/>
      <c r="AG327" s="247"/>
    </row>
    <row r="328" ht="15.75" customHeight="1">
      <c r="A328" s="247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247"/>
      <c r="AA328" s="247"/>
      <c r="AB328" s="247"/>
      <c r="AC328" s="247"/>
      <c r="AD328" s="247"/>
      <c r="AE328" s="247"/>
      <c r="AF328" s="247"/>
      <c r="AG328" s="247"/>
    </row>
    <row r="329" ht="15.75" customHeight="1">
      <c r="A329" s="247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7"/>
      <c r="AA329" s="247"/>
      <c r="AB329" s="247"/>
      <c r="AC329" s="247"/>
      <c r="AD329" s="247"/>
      <c r="AE329" s="247"/>
      <c r="AF329" s="247"/>
      <c r="AG329" s="247"/>
    </row>
    <row r="330" ht="15.75" customHeight="1">
      <c r="A330" s="247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247"/>
      <c r="AA330" s="247"/>
      <c r="AB330" s="247"/>
      <c r="AC330" s="247"/>
      <c r="AD330" s="247"/>
      <c r="AE330" s="247"/>
      <c r="AF330" s="247"/>
      <c r="AG330" s="247"/>
    </row>
    <row r="331" ht="15.75" customHeight="1">
      <c r="A331" s="247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247"/>
      <c r="AA331" s="247"/>
      <c r="AB331" s="247"/>
      <c r="AC331" s="247"/>
      <c r="AD331" s="247"/>
      <c r="AE331" s="247"/>
      <c r="AF331" s="247"/>
      <c r="AG331" s="247"/>
    </row>
    <row r="332" ht="15.75" customHeight="1">
      <c r="A332" s="247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247"/>
      <c r="AA332" s="247"/>
      <c r="AB332" s="247"/>
      <c r="AC332" s="247"/>
      <c r="AD332" s="247"/>
      <c r="AE332" s="247"/>
      <c r="AF332" s="247"/>
      <c r="AG332" s="247"/>
    </row>
    <row r="333" ht="15.75" customHeight="1">
      <c r="A333" s="247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247"/>
      <c r="AA333" s="247"/>
      <c r="AB333" s="247"/>
      <c r="AC333" s="247"/>
      <c r="AD333" s="247"/>
      <c r="AE333" s="247"/>
      <c r="AF333" s="247"/>
      <c r="AG333" s="247"/>
    </row>
    <row r="334" ht="15.75" customHeight="1">
      <c r="A334" s="247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247"/>
      <c r="AA334" s="247"/>
      <c r="AB334" s="247"/>
      <c r="AC334" s="247"/>
      <c r="AD334" s="247"/>
      <c r="AE334" s="247"/>
      <c r="AF334" s="247"/>
      <c r="AG334" s="247"/>
    </row>
    <row r="335" ht="15.75" customHeight="1">
      <c r="A335" s="247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7"/>
      <c r="AA335" s="247"/>
      <c r="AB335" s="247"/>
      <c r="AC335" s="247"/>
      <c r="AD335" s="247"/>
      <c r="AE335" s="247"/>
      <c r="AF335" s="247"/>
      <c r="AG335" s="247"/>
    </row>
    <row r="336" ht="15.75" customHeight="1">
      <c r="A336" s="247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247"/>
      <c r="AA336" s="247"/>
      <c r="AB336" s="247"/>
      <c r="AC336" s="247"/>
      <c r="AD336" s="247"/>
      <c r="AE336" s="247"/>
      <c r="AF336" s="247"/>
      <c r="AG336" s="247"/>
    </row>
    <row r="337" ht="15.75" customHeight="1">
      <c r="A337" s="247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247"/>
      <c r="AA337" s="247"/>
      <c r="AB337" s="247"/>
      <c r="AC337" s="247"/>
      <c r="AD337" s="247"/>
      <c r="AE337" s="247"/>
      <c r="AF337" s="247"/>
      <c r="AG337" s="247"/>
    </row>
    <row r="338" ht="15.75" customHeight="1">
      <c r="A338" s="247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247"/>
      <c r="AA338" s="247"/>
      <c r="AB338" s="247"/>
      <c r="AC338" s="247"/>
      <c r="AD338" s="247"/>
      <c r="AE338" s="247"/>
      <c r="AF338" s="247"/>
      <c r="AG338" s="247"/>
    </row>
    <row r="339" ht="15.75" customHeight="1">
      <c r="A339" s="247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247"/>
      <c r="AA339" s="247"/>
      <c r="AB339" s="247"/>
      <c r="AC339" s="247"/>
      <c r="AD339" s="247"/>
      <c r="AE339" s="247"/>
      <c r="AF339" s="247"/>
      <c r="AG339" s="247"/>
    </row>
    <row r="340" ht="15.75" customHeight="1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247"/>
      <c r="AA340" s="247"/>
      <c r="AB340" s="247"/>
      <c r="AC340" s="247"/>
      <c r="AD340" s="247"/>
      <c r="AE340" s="247"/>
      <c r="AF340" s="247"/>
      <c r="AG340" s="247"/>
    </row>
    <row r="341" ht="15.75" customHeight="1">
      <c r="A341" s="247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247"/>
      <c r="AA341" s="247"/>
      <c r="AB341" s="247"/>
      <c r="AC341" s="247"/>
      <c r="AD341" s="247"/>
      <c r="AE341" s="247"/>
      <c r="AF341" s="247"/>
      <c r="AG341" s="247"/>
    </row>
    <row r="342" ht="15.75" customHeight="1">
      <c r="A342" s="247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247"/>
      <c r="AA342" s="247"/>
      <c r="AB342" s="247"/>
      <c r="AC342" s="247"/>
      <c r="AD342" s="247"/>
      <c r="AE342" s="247"/>
      <c r="AF342" s="247"/>
      <c r="AG342" s="247"/>
    </row>
    <row r="343" ht="15.75" customHeight="1">
      <c r="A343" s="247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7"/>
      <c r="AA343" s="247"/>
      <c r="AB343" s="247"/>
      <c r="AC343" s="247"/>
      <c r="AD343" s="247"/>
      <c r="AE343" s="247"/>
      <c r="AF343" s="247"/>
      <c r="AG343" s="247"/>
    </row>
    <row r="344" ht="15.75" customHeight="1">
      <c r="A344" s="247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247"/>
      <c r="AA344" s="247"/>
      <c r="AB344" s="247"/>
      <c r="AC344" s="247"/>
      <c r="AD344" s="247"/>
      <c r="AE344" s="247"/>
      <c r="AF344" s="247"/>
      <c r="AG344" s="247"/>
    </row>
    <row r="345" ht="15.75" customHeight="1">
      <c r="A345" s="247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247"/>
      <c r="AA345" s="247"/>
      <c r="AB345" s="247"/>
      <c r="AC345" s="247"/>
      <c r="AD345" s="247"/>
      <c r="AE345" s="247"/>
      <c r="AF345" s="247"/>
      <c r="AG345" s="247"/>
    </row>
    <row r="346" ht="15.75" customHeight="1">
      <c r="A346" s="247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  <c r="Z346" s="247"/>
      <c r="AA346" s="247"/>
      <c r="AB346" s="247"/>
      <c r="AC346" s="247"/>
      <c r="AD346" s="247"/>
      <c r="AE346" s="247"/>
      <c r="AF346" s="247"/>
      <c r="AG346" s="247"/>
    </row>
    <row r="347" ht="15.75" customHeight="1">
      <c r="A347" s="247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  <c r="Z347" s="247"/>
      <c r="AA347" s="247"/>
      <c r="AB347" s="247"/>
      <c r="AC347" s="247"/>
      <c r="AD347" s="247"/>
      <c r="AE347" s="247"/>
      <c r="AF347" s="247"/>
      <c r="AG347" s="247"/>
    </row>
    <row r="348" ht="15.75" customHeight="1">
      <c r="A348" s="247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  <c r="Z348" s="247"/>
      <c r="AA348" s="247"/>
      <c r="AB348" s="247"/>
      <c r="AC348" s="247"/>
      <c r="AD348" s="247"/>
      <c r="AE348" s="247"/>
      <c r="AF348" s="247"/>
      <c r="AG348" s="247"/>
    </row>
    <row r="349" ht="15.75" customHeight="1">
      <c r="A349" s="247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247"/>
      <c r="AA349" s="247"/>
      <c r="AB349" s="247"/>
      <c r="AC349" s="247"/>
      <c r="AD349" s="247"/>
      <c r="AE349" s="247"/>
      <c r="AF349" s="247"/>
      <c r="AG349" s="247"/>
    </row>
    <row r="350" ht="15.75" customHeight="1">
      <c r="A350" s="247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  <c r="Z350" s="247"/>
      <c r="AA350" s="247"/>
      <c r="AB350" s="247"/>
      <c r="AC350" s="247"/>
      <c r="AD350" s="247"/>
      <c r="AE350" s="247"/>
      <c r="AF350" s="247"/>
      <c r="AG350" s="247"/>
    </row>
    <row r="351" ht="15.75" customHeight="1">
      <c r="A351" s="247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  <c r="Z351" s="247"/>
      <c r="AA351" s="247"/>
      <c r="AB351" s="247"/>
      <c r="AC351" s="247"/>
      <c r="AD351" s="247"/>
      <c r="AE351" s="247"/>
      <c r="AF351" s="247"/>
      <c r="AG351" s="247"/>
    </row>
    <row r="352" ht="15.75" customHeight="1">
      <c r="A352" s="247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  <c r="Z352" s="247"/>
      <c r="AA352" s="247"/>
      <c r="AB352" s="247"/>
      <c r="AC352" s="247"/>
      <c r="AD352" s="247"/>
      <c r="AE352" s="247"/>
      <c r="AF352" s="247"/>
      <c r="AG352" s="247"/>
    </row>
    <row r="353" ht="15.75" customHeight="1">
      <c r="A353" s="247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  <c r="Z353" s="247"/>
      <c r="AA353" s="247"/>
      <c r="AB353" s="247"/>
      <c r="AC353" s="247"/>
      <c r="AD353" s="247"/>
      <c r="AE353" s="247"/>
      <c r="AF353" s="247"/>
      <c r="AG353" s="247"/>
    </row>
    <row r="354" ht="15.75" customHeight="1">
      <c r="A354" s="247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  <c r="Z354" s="247"/>
      <c r="AA354" s="247"/>
      <c r="AB354" s="247"/>
      <c r="AC354" s="247"/>
      <c r="AD354" s="247"/>
      <c r="AE354" s="247"/>
      <c r="AF354" s="247"/>
      <c r="AG354" s="247"/>
    </row>
    <row r="355" ht="15.75" customHeight="1">
      <c r="A355" s="247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  <c r="Z355" s="247"/>
      <c r="AA355" s="247"/>
      <c r="AB355" s="247"/>
      <c r="AC355" s="247"/>
      <c r="AD355" s="247"/>
      <c r="AE355" s="247"/>
      <c r="AF355" s="247"/>
      <c r="AG355" s="247"/>
    </row>
    <row r="356" ht="15.75" customHeight="1">
      <c r="A356" s="247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247"/>
      <c r="AA356" s="247"/>
      <c r="AB356" s="247"/>
      <c r="AC356" s="247"/>
      <c r="AD356" s="247"/>
      <c r="AE356" s="247"/>
      <c r="AF356" s="247"/>
      <c r="AG356" s="247"/>
    </row>
    <row r="357" ht="15.75" customHeight="1">
      <c r="A357" s="247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247"/>
      <c r="AA357" s="247"/>
      <c r="AB357" s="247"/>
      <c r="AC357" s="247"/>
      <c r="AD357" s="247"/>
      <c r="AE357" s="247"/>
      <c r="AF357" s="247"/>
      <c r="AG357" s="247"/>
    </row>
    <row r="358" ht="15.75" customHeight="1">
      <c r="A358" s="247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  <c r="Z358" s="247"/>
      <c r="AA358" s="247"/>
      <c r="AB358" s="247"/>
      <c r="AC358" s="247"/>
      <c r="AD358" s="247"/>
      <c r="AE358" s="247"/>
      <c r="AF358" s="247"/>
      <c r="AG358" s="247"/>
    </row>
    <row r="359" ht="15.75" customHeight="1">
      <c r="A359" s="247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  <c r="Z359" s="247"/>
      <c r="AA359" s="247"/>
      <c r="AB359" s="247"/>
      <c r="AC359" s="247"/>
      <c r="AD359" s="247"/>
      <c r="AE359" s="247"/>
      <c r="AF359" s="247"/>
      <c r="AG359" s="247"/>
    </row>
    <row r="360" ht="15.75" customHeight="1">
      <c r="A360" s="247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  <c r="Z360" s="247"/>
      <c r="AA360" s="247"/>
      <c r="AB360" s="247"/>
      <c r="AC360" s="247"/>
      <c r="AD360" s="247"/>
      <c r="AE360" s="247"/>
      <c r="AF360" s="247"/>
      <c r="AG360" s="247"/>
    </row>
    <row r="361" ht="15.75" customHeight="1">
      <c r="A361" s="247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  <c r="Z361" s="247"/>
      <c r="AA361" s="247"/>
      <c r="AB361" s="247"/>
      <c r="AC361" s="247"/>
      <c r="AD361" s="247"/>
      <c r="AE361" s="247"/>
      <c r="AF361" s="247"/>
      <c r="AG361" s="247"/>
    </row>
    <row r="362" ht="15.75" customHeight="1">
      <c r="A362" s="247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  <c r="Z362" s="247"/>
      <c r="AA362" s="247"/>
      <c r="AB362" s="247"/>
      <c r="AC362" s="247"/>
      <c r="AD362" s="247"/>
      <c r="AE362" s="247"/>
      <c r="AF362" s="247"/>
      <c r="AG362" s="247"/>
    </row>
    <row r="363" ht="15.75" customHeight="1">
      <c r="A363" s="247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  <c r="Z363" s="247"/>
      <c r="AA363" s="247"/>
      <c r="AB363" s="247"/>
      <c r="AC363" s="247"/>
      <c r="AD363" s="247"/>
      <c r="AE363" s="247"/>
      <c r="AF363" s="247"/>
      <c r="AG363" s="247"/>
    </row>
    <row r="364" ht="15.75" customHeight="1">
      <c r="A364" s="247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  <c r="Z364" s="247"/>
      <c r="AA364" s="247"/>
      <c r="AB364" s="247"/>
      <c r="AC364" s="247"/>
      <c r="AD364" s="247"/>
      <c r="AE364" s="247"/>
      <c r="AF364" s="247"/>
      <c r="AG364" s="247"/>
    </row>
    <row r="365" ht="15.75" customHeight="1">
      <c r="A365" s="247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  <c r="Z365" s="247"/>
      <c r="AA365" s="247"/>
      <c r="AB365" s="247"/>
      <c r="AC365" s="247"/>
      <c r="AD365" s="247"/>
      <c r="AE365" s="247"/>
      <c r="AF365" s="247"/>
      <c r="AG365" s="247"/>
    </row>
    <row r="366" ht="15.75" customHeight="1">
      <c r="A366" s="247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  <c r="Z366" s="247"/>
      <c r="AA366" s="247"/>
      <c r="AB366" s="247"/>
      <c r="AC366" s="247"/>
      <c r="AD366" s="247"/>
      <c r="AE366" s="247"/>
      <c r="AF366" s="247"/>
      <c r="AG366" s="247"/>
    </row>
    <row r="367" ht="15.75" customHeight="1">
      <c r="A367" s="247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  <c r="Z367" s="247"/>
      <c r="AA367" s="247"/>
      <c r="AB367" s="247"/>
      <c r="AC367" s="247"/>
      <c r="AD367" s="247"/>
      <c r="AE367" s="247"/>
      <c r="AF367" s="247"/>
      <c r="AG367" s="247"/>
    </row>
    <row r="368" ht="15.75" customHeight="1">
      <c r="A368" s="247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  <c r="Z368" s="247"/>
      <c r="AA368" s="247"/>
      <c r="AB368" s="247"/>
      <c r="AC368" s="247"/>
      <c r="AD368" s="247"/>
      <c r="AE368" s="247"/>
      <c r="AF368" s="247"/>
      <c r="AG368" s="247"/>
    </row>
    <row r="369" ht="15.75" customHeight="1">
      <c r="A369" s="247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  <c r="Z369" s="247"/>
      <c r="AA369" s="247"/>
      <c r="AB369" s="247"/>
      <c r="AC369" s="247"/>
      <c r="AD369" s="247"/>
      <c r="AE369" s="247"/>
      <c r="AF369" s="247"/>
      <c r="AG369" s="247"/>
    </row>
    <row r="370" ht="15.75" customHeight="1">
      <c r="A370" s="247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  <c r="Z370" s="247"/>
      <c r="AA370" s="247"/>
      <c r="AB370" s="247"/>
      <c r="AC370" s="247"/>
      <c r="AD370" s="247"/>
      <c r="AE370" s="247"/>
      <c r="AF370" s="247"/>
      <c r="AG370" s="247"/>
    </row>
    <row r="371" ht="15.75" customHeight="1">
      <c r="A371" s="247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  <c r="Z371" s="247"/>
      <c r="AA371" s="247"/>
      <c r="AB371" s="247"/>
      <c r="AC371" s="247"/>
      <c r="AD371" s="247"/>
      <c r="AE371" s="247"/>
      <c r="AF371" s="247"/>
      <c r="AG371" s="247"/>
    </row>
    <row r="372" ht="15.75" customHeight="1">
      <c r="A372" s="247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  <c r="Z372" s="247"/>
      <c r="AA372" s="247"/>
      <c r="AB372" s="247"/>
      <c r="AC372" s="247"/>
      <c r="AD372" s="247"/>
      <c r="AE372" s="247"/>
      <c r="AF372" s="247"/>
      <c r="AG372" s="247"/>
    </row>
    <row r="373" ht="15.75" customHeight="1">
      <c r="A373" s="247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  <c r="Z373" s="247"/>
      <c r="AA373" s="247"/>
      <c r="AB373" s="247"/>
      <c r="AC373" s="247"/>
      <c r="AD373" s="247"/>
      <c r="AE373" s="247"/>
      <c r="AF373" s="247"/>
      <c r="AG373" s="247"/>
    </row>
    <row r="374" ht="15.75" customHeight="1">
      <c r="A374" s="247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  <c r="Z374" s="247"/>
      <c r="AA374" s="247"/>
      <c r="AB374" s="247"/>
      <c r="AC374" s="247"/>
      <c r="AD374" s="247"/>
      <c r="AE374" s="247"/>
      <c r="AF374" s="247"/>
      <c r="AG374" s="247"/>
    </row>
    <row r="375" ht="15.75" customHeight="1">
      <c r="A375" s="247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  <c r="Z375" s="247"/>
      <c r="AA375" s="247"/>
      <c r="AB375" s="247"/>
      <c r="AC375" s="247"/>
      <c r="AD375" s="247"/>
      <c r="AE375" s="247"/>
      <c r="AF375" s="247"/>
      <c r="AG375" s="247"/>
    </row>
    <row r="376" ht="15.75" customHeight="1">
      <c r="A376" s="247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247"/>
      <c r="AA376" s="247"/>
      <c r="AB376" s="247"/>
      <c r="AC376" s="247"/>
      <c r="AD376" s="247"/>
      <c r="AE376" s="247"/>
      <c r="AF376" s="247"/>
      <c r="AG376" s="247"/>
    </row>
    <row r="377" ht="15.75" customHeight="1">
      <c r="A377" s="247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247"/>
      <c r="AA377" s="247"/>
      <c r="AB377" s="247"/>
      <c r="AC377" s="247"/>
      <c r="AD377" s="247"/>
      <c r="AE377" s="247"/>
      <c r="AF377" s="247"/>
      <c r="AG377" s="247"/>
    </row>
    <row r="378" ht="15.75" customHeight="1">
      <c r="A378" s="247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  <c r="Z378" s="247"/>
      <c r="AA378" s="247"/>
      <c r="AB378" s="247"/>
      <c r="AC378" s="247"/>
      <c r="AD378" s="247"/>
      <c r="AE378" s="247"/>
      <c r="AF378" s="247"/>
      <c r="AG378" s="247"/>
    </row>
    <row r="379" ht="15.75" customHeight="1">
      <c r="A379" s="247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  <c r="Z379" s="247"/>
      <c r="AA379" s="247"/>
      <c r="AB379" s="247"/>
      <c r="AC379" s="247"/>
      <c r="AD379" s="247"/>
      <c r="AE379" s="247"/>
      <c r="AF379" s="247"/>
      <c r="AG379" s="247"/>
    </row>
    <row r="380" ht="15.75" customHeight="1">
      <c r="A380" s="247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  <c r="Z380" s="247"/>
      <c r="AA380" s="247"/>
      <c r="AB380" s="247"/>
      <c r="AC380" s="247"/>
      <c r="AD380" s="247"/>
      <c r="AE380" s="247"/>
      <c r="AF380" s="247"/>
      <c r="AG380" s="247"/>
    </row>
    <row r="381" ht="15.75" customHeight="1">
      <c r="A381" s="247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  <c r="Z381" s="247"/>
      <c r="AA381" s="247"/>
      <c r="AB381" s="247"/>
      <c r="AC381" s="247"/>
      <c r="AD381" s="247"/>
      <c r="AE381" s="247"/>
      <c r="AF381" s="247"/>
      <c r="AG381" s="247"/>
    </row>
    <row r="382" ht="15.75" customHeight="1">
      <c r="A382" s="247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  <c r="Z382" s="247"/>
      <c r="AA382" s="247"/>
      <c r="AB382" s="247"/>
      <c r="AC382" s="247"/>
      <c r="AD382" s="247"/>
      <c r="AE382" s="247"/>
      <c r="AF382" s="247"/>
      <c r="AG382" s="247"/>
    </row>
    <row r="383" ht="15.75" customHeight="1">
      <c r="A383" s="247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  <c r="Z383" s="247"/>
      <c r="AA383" s="247"/>
      <c r="AB383" s="247"/>
      <c r="AC383" s="247"/>
      <c r="AD383" s="247"/>
      <c r="AE383" s="247"/>
      <c r="AF383" s="247"/>
      <c r="AG383" s="247"/>
    </row>
    <row r="384" ht="15.75" customHeight="1">
      <c r="A384" s="247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247"/>
      <c r="AA384" s="247"/>
      <c r="AB384" s="247"/>
      <c r="AC384" s="247"/>
      <c r="AD384" s="247"/>
      <c r="AE384" s="247"/>
      <c r="AF384" s="247"/>
      <c r="AG384" s="247"/>
    </row>
    <row r="385" ht="15.75" customHeight="1">
      <c r="A385" s="247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247"/>
      <c r="AA385" s="247"/>
      <c r="AB385" s="247"/>
      <c r="AC385" s="247"/>
      <c r="AD385" s="247"/>
      <c r="AE385" s="247"/>
      <c r="AF385" s="247"/>
      <c r="AG385" s="247"/>
    </row>
    <row r="386" ht="15.75" customHeight="1">
      <c r="A386" s="247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247"/>
      <c r="AA386" s="247"/>
      <c r="AB386" s="247"/>
      <c r="AC386" s="247"/>
      <c r="AD386" s="247"/>
      <c r="AE386" s="247"/>
      <c r="AF386" s="247"/>
      <c r="AG386" s="247"/>
    </row>
    <row r="387" ht="15.75" customHeight="1">
      <c r="A387" s="247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247"/>
      <c r="AA387" s="247"/>
      <c r="AB387" s="247"/>
      <c r="AC387" s="247"/>
      <c r="AD387" s="247"/>
      <c r="AE387" s="247"/>
      <c r="AF387" s="247"/>
      <c r="AG387" s="247"/>
    </row>
    <row r="388" ht="15.75" customHeight="1">
      <c r="A388" s="247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247"/>
      <c r="AA388" s="247"/>
      <c r="AB388" s="247"/>
      <c r="AC388" s="247"/>
      <c r="AD388" s="247"/>
      <c r="AE388" s="247"/>
      <c r="AF388" s="247"/>
      <c r="AG388" s="247"/>
    </row>
    <row r="389" ht="15.75" customHeight="1">
      <c r="A389" s="247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247"/>
      <c r="AA389" s="247"/>
      <c r="AB389" s="247"/>
      <c r="AC389" s="247"/>
      <c r="AD389" s="247"/>
      <c r="AE389" s="247"/>
      <c r="AF389" s="247"/>
      <c r="AG389" s="247"/>
    </row>
    <row r="390" ht="15.75" customHeight="1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247"/>
      <c r="AA390" s="247"/>
      <c r="AB390" s="247"/>
      <c r="AC390" s="247"/>
      <c r="AD390" s="247"/>
      <c r="AE390" s="247"/>
      <c r="AF390" s="247"/>
      <c r="AG390" s="247"/>
    </row>
    <row r="391" ht="15.75" customHeight="1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247"/>
      <c r="AA391" s="247"/>
      <c r="AB391" s="247"/>
      <c r="AC391" s="247"/>
      <c r="AD391" s="247"/>
      <c r="AE391" s="247"/>
      <c r="AF391" s="247"/>
      <c r="AG391" s="247"/>
    </row>
    <row r="392" ht="15.75" customHeight="1">
      <c r="A392" s="247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247"/>
      <c r="AA392" s="247"/>
      <c r="AB392" s="247"/>
      <c r="AC392" s="247"/>
      <c r="AD392" s="247"/>
      <c r="AE392" s="247"/>
      <c r="AF392" s="247"/>
      <c r="AG392" s="247"/>
    </row>
    <row r="393" ht="15.75" customHeight="1">
      <c r="A393" s="247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247"/>
      <c r="AA393" s="247"/>
      <c r="AB393" s="247"/>
      <c r="AC393" s="247"/>
      <c r="AD393" s="247"/>
      <c r="AE393" s="247"/>
      <c r="AF393" s="247"/>
      <c r="AG393" s="247"/>
    </row>
    <row r="394" ht="15.75" customHeight="1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247"/>
      <c r="AA394" s="247"/>
      <c r="AB394" s="247"/>
      <c r="AC394" s="247"/>
      <c r="AD394" s="247"/>
      <c r="AE394" s="247"/>
      <c r="AF394" s="247"/>
      <c r="AG394" s="247"/>
    </row>
    <row r="395" ht="15.75" customHeight="1">
      <c r="A395" s="247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247"/>
      <c r="AA395" s="247"/>
      <c r="AB395" s="247"/>
      <c r="AC395" s="247"/>
      <c r="AD395" s="247"/>
      <c r="AE395" s="247"/>
      <c r="AF395" s="247"/>
      <c r="AG395" s="247"/>
    </row>
    <row r="396" ht="15.75" customHeight="1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247"/>
      <c r="AA396" s="247"/>
      <c r="AB396" s="247"/>
      <c r="AC396" s="247"/>
      <c r="AD396" s="247"/>
      <c r="AE396" s="247"/>
      <c r="AF396" s="247"/>
      <c r="AG396" s="247"/>
    </row>
    <row r="397" ht="15.75" customHeight="1">
      <c r="A397" s="247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247"/>
      <c r="AA397" s="247"/>
      <c r="AB397" s="247"/>
      <c r="AC397" s="247"/>
      <c r="AD397" s="247"/>
      <c r="AE397" s="247"/>
      <c r="AF397" s="247"/>
      <c r="AG397" s="247"/>
    </row>
    <row r="398" ht="15.75" customHeight="1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7"/>
      <c r="AA398" s="247"/>
      <c r="AB398" s="247"/>
      <c r="AC398" s="247"/>
      <c r="AD398" s="247"/>
      <c r="AE398" s="247"/>
      <c r="AF398" s="247"/>
      <c r="AG398" s="247"/>
    </row>
    <row r="399" ht="15.75" customHeight="1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7"/>
      <c r="AA399" s="247"/>
      <c r="AB399" s="247"/>
      <c r="AC399" s="247"/>
      <c r="AD399" s="247"/>
      <c r="AE399" s="247"/>
      <c r="AF399" s="247"/>
      <c r="AG399" s="247"/>
    </row>
    <row r="400" ht="15.75" customHeight="1">
      <c r="A400" s="247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  <c r="AA400" s="247"/>
      <c r="AB400" s="247"/>
      <c r="AC400" s="247"/>
      <c r="AD400" s="247"/>
      <c r="AE400" s="247"/>
      <c r="AF400" s="247"/>
      <c r="AG400" s="247"/>
    </row>
    <row r="401" ht="15.75" customHeight="1">
      <c r="A401" s="247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247"/>
      <c r="AA401" s="247"/>
      <c r="AB401" s="247"/>
      <c r="AC401" s="247"/>
      <c r="AD401" s="247"/>
      <c r="AE401" s="247"/>
      <c r="AF401" s="247"/>
      <c r="AG401" s="247"/>
    </row>
    <row r="402" ht="15.75" customHeight="1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247"/>
      <c r="AA402" s="247"/>
      <c r="AB402" s="247"/>
      <c r="AC402" s="247"/>
      <c r="AD402" s="247"/>
      <c r="AE402" s="247"/>
      <c r="AF402" s="247"/>
      <c r="AG402" s="247"/>
    </row>
    <row r="403" ht="15.75" customHeight="1">
      <c r="A403" s="247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7"/>
      <c r="AA403" s="247"/>
      <c r="AB403" s="247"/>
      <c r="AC403" s="247"/>
      <c r="AD403" s="247"/>
      <c r="AE403" s="247"/>
      <c r="AF403" s="247"/>
      <c r="AG403" s="247"/>
    </row>
    <row r="404" ht="15.75" customHeight="1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7"/>
      <c r="AA404" s="247"/>
      <c r="AB404" s="247"/>
      <c r="AC404" s="247"/>
      <c r="AD404" s="247"/>
      <c r="AE404" s="247"/>
      <c r="AF404" s="247"/>
      <c r="AG404" s="247"/>
    </row>
    <row r="405" ht="15.75" customHeight="1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7"/>
      <c r="AA405" s="247"/>
      <c r="AB405" s="247"/>
      <c r="AC405" s="247"/>
      <c r="AD405" s="247"/>
      <c r="AE405" s="247"/>
      <c r="AF405" s="247"/>
      <c r="AG405" s="247"/>
    </row>
    <row r="406" ht="15.75" customHeight="1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247"/>
      <c r="AA406" s="247"/>
      <c r="AB406" s="247"/>
      <c r="AC406" s="247"/>
      <c r="AD406" s="247"/>
      <c r="AE406" s="247"/>
      <c r="AF406" s="247"/>
      <c r="AG406" s="247"/>
    </row>
    <row r="407" ht="15.75" customHeight="1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247"/>
      <c r="AA407" s="247"/>
      <c r="AB407" s="247"/>
      <c r="AC407" s="247"/>
      <c r="AD407" s="247"/>
      <c r="AE407" s="247"/>
      <c r="AF407" s="247"/>
      <c r="AG407" s="247"/>
    </row>
    <row r="408" ht="15.75" customHeight="1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7"/>
      <c r="AA408" s="247"/>
      <c r="AB408" s="247"/>
      <c r="AC408" s="247"/>
      <c r="AD408" s="247"/>
      <c r="AE408" s="247"/>
      <c r="AF408" s="247"/>
      <c r="AG408" s="247"/>
    </row>
    <row r="409" ht="15.75" customHeight="1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7"/>
      <c r="AA409" s="247"/>
      <c r="AB409" s="247"/>
      <c r="AC409" s="247"/>
      <c r="AD409" s="247"/>
      <c r="AE409" s="247"/>
      <c r="AF409" s="247"/>
      <c r="AG409" s="247"/>
    </row>
    <row r="410" ht="15.75" customHeight="1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7"/>
      <c r="AA410" s="247"/>
      <c r="AB410" s="247"/>
      <c r="AC410" s="247"/>
      <c r="AD410" s="247"/>
      <c r="AE410" s="247"/>
      <c r="AF410" s="247"/>
      <c r="AG410" s="247"/>
    </row>
    <row r="411" ht="15.75" customHeight="1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247"/>
      <c r="AA411" s="247"/>
      <c r="AB411" s="247"/>
      <c r="AC411" s="247"/>
      <c r="AD411" s="247"/>
      <c r="AE411" s="247"/>
      <c r="AF411" s="247"/>
      <c r="AG411" s="247"/>
    </row>
    <row r="412" ht="15.75" customHeight="1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247"/>
      <c r="AA412" s="247"/>
      <c r="AB412" s="247"/>
      <c r="AC412" s="247"/>
      <c r="AD412" s="247"/>
      <c r="AE412" s="247"/>
      <c r="AF412" s="247"/>
      <c r="AG412" s="247"/>
    </row>
    <row r="413" ht="15.75" customHeight="1">
      <c r="A413" s="247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247"/>
      <c r="AA413" s="247"/>
      <c r="AB413" s="247"/>
      <c r="AC413" s="247"/>
      <c r="AD413" s="247"/>
      <c r="AE413" s="247"/>
      <c r="AF413" s="247"/>
      <c r="AG413" s="247"/>
    </row>
    <row r="414" ht="15.75" customHeight="1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247"/>
      <c r="AA414" s="247"/>
      <c r="AB414" s="247"/>
      <c r="AC414" s="247"/>
      <c r="AD414" s="247"/>
      <c r="AE414" s="247"/>
      <c r="AF414" s="247"/>
      <c r="AG414" s="247"/>
    </row>
    <row r="415" ht="15.75" customHeight="1">
      <c r="A415" s="247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7"/>
      <c r="AA415" s="247"/>
      <c r="AB415" s="247"/>
      <c r="AC415" s="247"/>
      <c r="AD415" s="247"/>
      <c r="AE415" s="247"/>
      <c r="AF415" s="247"/>
      <c r="AG415" s="247"/>
    </row>
    <row r="416" ht="15.75" customHeight="1">
      <c r="A416" s="247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247"/>
      <c r="AA416" s="247"/>
      <c r="AB416" s="247"/>
      <c r="AC416" s="247"/>
      <c r="AD416" s="247"/>
      <c r="AE416" s="247"/>
      <c r="AF416" s="247"/>
      <c r="AG416" s="247"/>
    </row>
    <row r="417" ht="15.75" customHeight="1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247"/>
      <c r="AA417" s="247"/>
      <c r="AB417" s="247"/>
      <c r="AC417" s="247"/>
      <c r="AD417" s="247"/>
      <c r="AE417" s="247"/>
      <c r="AF417" s="247"/>
      <c r="AG417" s="247"/>
    </row>
    <row r="418" ht="15.75" customHeight="1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7"/>
      <c r="AA418" s="247"/>
      <c r="AB418" s="247"/>
      <c r="AC418" s="247"/>
      <c r="AD418" s="247"/>
      <c r="AE418" s="247"/>
      <c r="AF418" s="247"/>
      <c r="AG418" s="247"/>
    </row>
    <row r="419" ht="15.75" customHeight="1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247"/>
      <c r="AA419" s="247"/>
      <c r="AB419" s="247"/>
      <c r="AC419" s="247"/>
      <c r="AD419" s="247"/>
      <c r="AE419" s="247"/>
      <c r="AF419" s="247"/>
      <c r="AG419" s="247"/>
    </row>
    <row r="420" ht="15.75" customHeight="1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247"/>
      <c r="AA420" s="247"/>
      <c r="AB420" s="247"/>
      <c r="AC420" s="247"/>
      <c r="AD420" s="247"/>
      <c r="AE420" s="247"/>
      <c r="AF420" s="247"/>
      <c r="AG420" s="247"/>
    </row>
    <row r="421" ht="15.75" customHeight="1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7"/>
      <c r="AA421" s="247"/>
      <c r="AB421" s="247"/>
      <c r="AC421" s="247"/>
      <c r="AD421" s="247"/>
      <c r="AE421" s="247"/>
      <c r="AF421" s="247"/>
      <c r="AG421" s="247"/>
    </row>
    <row r="422" ht="15.75" customHeight="1">
      <c r="A422" s="247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247"/>
      <c r="AA422" s="247"/>
      <c r="AB422" s="247"/>
      <c r="AC422" s="247"/>
      <c r="AD422" s="247"/>
      <c r="AE422" s="247"/>
      <c r="AF422" s="247"/>
      <c r="AG422" s="247"/>
    </row>
    <row r="423" ht="15.75" customHeight="1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247"/>
      <c r="AA423" s="247"/>
      <c r="AB423" s="247"/>
      <c r="AC423" s="247"/>
      <c r="AD423" s="247"/>
      <c r="AE423" s="247"/>
      <c r="AF423" s="247"/>
      <c r="AG423" s="247"/>
    </row>
    <row r="424" ht="15.75" customHeight="1">
      <c r="A424" s="247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7"/>
      <c r="AA424" s="247"/>
      <c r="AB424" s="247"/>
      <c r="AC424" s="247"/>
      <c r="AD424" s="247"/>
      <c r="AE424" s="247"/>
      <c r="AF424" s="247"/>
      <c r="AG424" s="247"/>
    </row>
    <row r="425" ht="15.75" customHeight="1">
      <c r="A425" s="247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247"/>
      <c r="AA425" s="247"/>
      <c r="AB425" s="247"/>
      <c r="AC425" s="247"/>
      <c r="AD425" s="247"/>
      <c r="AE425" s="247"/>
      <c r="AF425" s="247"/>
      <c r="AG425" s="247"/>
    </row>
    <row r="426" ht="15.75" customHeight="1">
      <c r="A426" s="247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247"/>
      <c r="AA426" s="247"/>
      <c r="AB426" s="247"/>
      <c r="AC426" s="247"/>
      <c r="AD426" s="247"/>
      <c r="AE426" s="247"/>
      <c r="AF426" s="247"/>
      <c r="AG426" s="247"/>
    </row>
    <row r="427" ht="15.75" customHeight="1">
      <c r="A427" s="247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7"/>
      <c r="AA427" s="247"/>
      <c r="AB427" s="247"/>
      <c r="AC427" s="247"/>
      <c r="AD427" s="247"/>
      <c r="AE427" s="247"/>
      <c r="AF427" s="247"/>
      <c r="AG427" s="247"/>
    </row>
    <row r="428" ht="15.75" customHeight="1">
      <c r="A428" s="247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247"/>
      <c r="AA428" s="247"/>
      <c r="AB428" s="247"/>
      <c r="AC428" s="247"/>
      <c r="AD428" s="247"/>
      <c r="AE428" s="247"/>
      <c r="AF428" s="247"/>
      <c r="AG428" s="247"/>
    </row>
    <row r="429" ht="15.75" customHeight="1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247"/>
      <c r="AA429" s="247"/>
      <c r="AB429" s="247"/>
      <c r="AC429" s="247"/>
      <c r="AD429" s="247"/>
      <c r="AE429" s="247"/>
      <c r="AF429" s="247"/>
      <c r="AG429" s="247"/>
    </row>
    <row r="430" ht="15.75" customHeight="1">
      <c r="A430" s="247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7"/>
      <c r="AA430" s="247"/>
      <c r="AB430" s="247"/>
      <c r="AC430" s="247"/>
      <c r="AD430" s="247"/>
      <c r="AE430" s="247"/>
      <c r="AF430" s="247"/>
      <c r="AG430" s="247"/>
    </row>
    <row r="431" ht="15.75" customHeight="1">
      <c r="A431" s="247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247"/>
      <c r="AA431" s="247"/>
      <c r="AB431" s="247"/>
      <c r="AC431" s="247"/>
      <c r="AD431" s="247"/>
      <c r="AE431" s="247"/>
      <c r="AF431" s="247"/>
      <c r="AG431" s="247"/>
    </row>
    <row r="432" ht="15.75" customHeight="1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7"/>
      <c r="AA432" s="247"/>
      <c r="AB432" s="247"/>
      <c r="AC432" s="247"/>
      <c r="AD432" s="247"/>
      <c r="AE432" s="247"/>
      <c r="AF432" s="247"/>
      <c r="AG432" s="247"/>
    </row>
    <row r="433" ht="15.75" customHeight="1">
      <c r="A433" s="247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247"/>
      <c r="AA433" s="247"/>
      <c r="AB433" s="247"/>
      <c r="AC433" s="247"/>
      <c r="AD433" s="247"/>
      <c r="AE433" s="247"/>
      <c r="AF433" s="247"/>
      <c r="AG433" s="247"/>
    </row>
    <row r="434" ht="15.75" customHeight="1">
      <c r="A434" s="247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7"/>
      <c r="AA434" s="247"/>
      <c r="AB434" s="247"/>
      <c r="AC434" s="247"/>
      <c r="AD434" s="247"/>
      <c r="AE434" s="247"/>
      <c r="AF434" s="247"/>
      <c r="AG434" s="247"/>
    </row>
    <row r="435" ht="15.75" customHeight="1">
      <c r="A435" s="247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7"/>
      <c r="AA435" s="247"/>
      <c r="AB435" s="247"/>
      <c r="AC435" s="247"/>
      <c r="AD435" s="247"/>
      <c r="AE435" s="247"/>
      <c r="AF435" s="247"/>
      <c r="AG435" s="247"/>
    </row>
    <row r="436" ht="15.75" customHeight="1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247"/>
      <c r="AA436" s="247"/>
      <c r="AB436" s="247"/>
      <c r="AC436" s="247"/>
      <c r="AD436" s="247"/>
      <c r="AE436" s="247"/>
      <c r="AF436" s="247"/>
      <c r="AG436" s="247"/>
    </row>
    <row r="437" ht="15.75" customHeight="1">
      <c r="A437" s="247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247"/>
      <c r="AA437" s="247"/>
      <c r="AB437" s="247"/>
      <c r="AC437" s="247"/>
      <c r="AD437" s="247"/>
      <c r="AE437" s="247"/>
      <c r="AF437" s="247"/>
      <c r="AG437" s="247"/>
    </row>
    <row r="438" ht="15.75" customHeight="1">
      <c r="A438" s="247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7"/>
      <c r="AA438" s="247"/>
      <c r="AB438" s="247"/>
      <c r="AC438" s="247"/>
      <c r="AD438" s="247"/>
      <c r="AE438" s="247"/>
      <c r="AF438" s="247"/>
      <c r="AG438" s="247"/>
    </row>
    <row r="439" ht="15.75" customHeight="1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247"/>
      <c r="AA439" s="247"/>
      <c r="AB439" s="247"/>
      <c r="AC439" s="247"/>
      <c r="AD439" s="247"/>
      <c r="AE439" s="247"/>
      <c r="AF439" s="247"/>
      <c r="AG439" s="247"/>
    </row>
    <row r="440" ht="15.75" customHeight="1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247"/>
      <c r="AA440" s="247"/>
      <c r="AB440" s="247"/>
      <c r="AC440" s="247"/>
      <c r="AD440" s="247"/>
      <c r="AE440" s="247"/>
      <c r="AF440" s="247"/>
      <c r="AG440" s="247"/>
    </row>
    <row r="441" ht="15.75" customHeight="1">
      <c r="A441" s="247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7"/>
      <c r="AA441" s="247"/>
      <c r="AB441" s="247"/>
      <c r="AC441" s="247"/>
      <c r="AD441" s="247"/>
      <c r="AE441" s="247"/>
      <c r="AF441" s="247"/>
      <c r="AG441" s="247"/>
    </row>
    <row r="442" ht="15.75" customHeight="1">
      <c r="A442" s="247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247"/>
      <c r="AA442" s="247"/>
      <c r="AB442" s="247"/>
      <c r="AC442" s="247"/>
      <c r="AD442" s="247"/>
      <c r="AE442" s="247"/>
      <c r="AF442" s="247"/>
      <c r="AG442" s="247"/>
    </row>
    <row r="443" ht="15.75" customHeight="1">
      <c r="A443" s="247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247"/>
      <c r="AA443" s="247"/>
      <c r="AB443" s="247"/>
      <c r="AC443" s="247"/>
      <c r="AD443" s="247"/>
      <c r="AE443" s="247"/>
      <c r="AF443" s="247"/>
      <c r="AG443" s="247"/>
    </row>
    <row r="444" ht="15.75" customHeight="1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247"/>
      <c r="AA444" s="247"/>
      <c r="AB444" s="247"/>
      <c r="AC444" s="247"/>
      <c r="AD444" s="247"/>
      <c r="AE444" s="247"/>
      <c r="AF444" s="247"/>
      <c r="AG444" s="247"/>
    </row>
    <row r="445" ht="15.75" customHeight="1">
      <c r="A445" s="247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247"/>
      <c r="AA445" s="247"/>
      <c r="AB445" s="247"/>
      <c r="AC445" s="247"/>
      <c r="AD445" s="247"/>
      <c r="AE445" s="247"/>
      <c r="AF445" s="247"/>
      <c r="AG445" s="247"/>
    </row>
    <row r="446" ht="15.75" customHeight="1">
      <c r="A446" s="247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247"/>
      <c r="AA446" s="247"/>
      <c r="AB446" s="247"/>
      <c r="AC446" s="247"/>
      <c r="AD446" s="247"/>
      <c r="AE446" s="247"/>
      <c r="AF446" s="247"/>
      <c r="AG446" s="247"/>
    </row>
    <row r="447" ht="15.75" customHeight="1">
      <c r="A447" s="247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247"/>
      <c r="AA447" s="247"/>
      <c r="AB447" s="247"/>
      <c r="AC447" s="247"/>
      <c r="AD447" s="247"/>
      <c r="AE447" s="247"/>
      <c r="AF447" s="247"/>
      <c r="AG447" s="247"/>
    </row>
    <row r="448" ht="15.75" customHeight="1">
      <c r="A448" s="247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247"/>
      <c r="AA448" s="247"/>
      <c r="AB448" s="247"/>
      <c r="AC448" s="247"/>
      <c r="AD448" s="247"/>
      <c r="AE448" s="247"/>
      <c r="AF448" s="247"/>
      <c r="AG448" s="247"/>
    </row>
    <row r="449" ht="15.75" customHeight="1">
      <c r="A449" s="247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247"/>
      <c r="AA449" s="247"/>
      <c r="AB449" s="247"/>
      <c r="AC449" s="247"/>
      <c r="AD449" s="247"/>
      <c r="AE449" s="247"/>
      <c r="AF449" s="247"/>
      <c r="AG449" s="247"/>
    </row>
    <row r="450" ht="15.75" customHeight="1">
      <c r="A450" s="247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247"/>
      <c r="AA450" s="247"/>
      <c r="AB450" s="247"/>
      <c r="AC450" s="247"/>
      <c r="AD450" s="247"/>
      <c r="AE450" s="247"/>
      <c r="AF450" s="247"/>
      <c r="AG450" s="247"/>
    </row>
    <row r="451" ht="15.75" customHeight="1">
      <c r="A451" s="247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247"/>
      <c r="AA451" s="247"/>
      <c r="AB451" s="247"/>
      <c r="AC451" s="247"/>
      <c r="AD451" s="247"/>
      <c r="AE451" s="247"/>
      <c r="AF451" s="247"/>
      <c r="AG451" s="247"/>
    </row>
    <row r="452" ht="15.75" customHeight="1">
      <c r="A452" s="247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247"/>
      <c r="AA452" s="247"/>
      <c r="AB452" s="247"/>
      <c r="AC452" s="247"/>
      <c r="AD452" s="247"/>
      <c r="AE452" s="247"/>
      <c r="AF452" s="247"/>
      <c r="AG452" s="247"/>
    </row>
    <row r="453" ht="15.75" customHeight="1">
      <c r="A453" s="247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247"/>
      <c r="AA453" s="247"/>
      <c r="AB453" s="247"/>
      <c r="AC453" s="247"/>
      <c r="AD453" s="247"/>
      <c r="AE453" s="247"/>
      <c r="AF453" s="247"/>
      <c r="AG453" s="247"/>
    </row>
    <row r="454" ht="15.75" customHeight="1">
      <c r="A454" s="247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247"/>
      <c r="AA454" s="247"/>
      <c r="AB454" s="247"/>
      <c r="AC454" s="247"/>
      <c r="AD454" s="247"/>
      <c r="AE454" s="247"/>
      <c r="AF454" s="247"/>
      <c r="AG454" s="247"/>
    </row>
    <row r="455" ht="15.75" customHeight="1">
      <c r="A455" s="247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247"/>
      <c r="AA455" s="247"/>
      <c r="AB455" s="247"/>
      <c r="AC455" s="247"/>
      <c r="AD455" s="247"/>
      <c r="AE455" s="247"/>
      <c r="AF455" s="247"/>
      <c r="AG455" s="247"/>
    </row>
    <row r="456" ht="15.75" customHeight="1">
      <c r="A456" s="247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247"/>
      <c r="AA456" s="247"/>
      <c r="AB456" s="247"/>
      <c r="AC456" s="247"/>
      <c r="AD456" s="247"/>
      <c r="AE456" s="247"/>
      <c r="AF456" s="247"/>
      <c r="AG456" s="247"/>
    </row>
    <row r="457" ht="15.75" customHeight="1">
      <c r="A457" s="247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247"/>
      <c r="AA457" s="247"/>
      <c r="AB457" s="247"/>
      <c r="AC457" s="247"/>
      <c r="AD457" s="247"/>
      <c r="AE457" s="247"/>
      <c r="AF457" s="247"/>
      <c r="AG457" s="247"/>
    </row>
    <row r="458" ht="15.75" customHeight="1">
      <c r="A458" s="247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247"/>
      <c r="AA458" s="247"/>
      <c r="AB458" s="247"/>
      <c r="AC458" s="247"/>
      <c r="AD458" s="247"/>
      <c r="AE458" s="247"/>
      <c r="AF458" s="247"/>
      <c r="AG458" s="247"/>
    </row>
    <row r="459" ht="15.75" customHeight="1">
      <c r="A459" s="247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247"/>
      <c r="AA459" s="247"/>
      <c r="AB459" s="247"/>
      <c r="AC459" s="247"/>
      <c r="AD459" s="247"/>
      <c r="AE459" s="247"/>
      <c r="AF459" s="247"/>
      <c r="AG459" s="247"/>
    </row>
    <row r="460" ht="15.75" customHeight="1">
      <c r="A460" s="247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247"/>
      <c r="AA460" s="247"/>
      <c r="AB460" s="247"/>
      <c r="AC460" s="247"/>
      <c r="AD460" s="247"/>
      <c r="AE460" s="247"/>
      <c r="AF460" s="247"/>
      <c r="AG460" s="247"/>
    </row>
    <row r="461" ht="15.75" customHeight="1">
      <c r="A461" s="247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247"/>
      <c r="AA461" s="247"/>
      <c r="AB461" s="247"/>
      <c r="AC461" s="247"/>
      <c r="AD461" s="247"/>
      <c r="AE461" s="247"/>
      <c r="AF461" s="247"/>
      <c r="AG461" s="247"/>
    </row>
    <row r="462" ht="15.75" customHeight="1">
      <c r="A462" s="247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247"/>
      <c r="AA462" s="247"/>
      <c r="AB462" s="247"/>
      <c r="AC462" s="247"/>
      <c r="AD462" s="247"/>
      <c r="AE462" s="247"/>
      <c r="AF462" s="247"/>
      <c r="AG462" s="247"/>
    </row>
    <row r="463" ht="15.75" customHeight="1">
      <c r="A463" s="247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247"/>
      <c r="AA463" s="247"/>
      <c r="AB463" s="247"/>
      <c r="AC463" s="247"/>
      <c r="AD463" s="247"/>
      <c r="AE463" s="247"/>
      <c r="AF463" s="247"/>
      <c r="AG463" s="247"/>
    </row>
    <row r="464" ht="15.75" customHeight="1">
      <c r="A464" s="247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247"/>
      <c r="AA464" s="247"/>
      <c r="AB464" s="247"/>
      <c r="AC464" s="247"/>
      <c r="AD464" s="247"/>
      <c r="AE464" s="247"/>
      <c r="AF464" s="247"/>
      <c r="AG464" s="247"/>
    </row>
    <row r="465" ht="15.75" customHeight="1">
      <c r="A465" s="247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247"/>
      <c r="AA465" s="247"/>
      <c r="AB465" s="247"/>
      <c r="AC465" s="247"/>
      <c r="AD465" s="247"/>
      <c r="AE465" s="247"/>
      <c r="AF465" s="247"/>
      <c r="AG465" s="247"/>
    </row>
    <row r="466" ht="15.75" customHeight="1">
      <c r="A466" s="247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247"/>
      <c r="AA466" s="247"/>
      <c r="AB466" s="247"/>
      <c r="AC466" s="247"/>
      <c r="AD466" s="247"/>
      <c r="AE466" s="247"/>
      <c r="AF466" s="247"/>
      <c r="AG466" s="247"/>
    </row>
    <row r="467" ht="15.75" customHeight="1">
      <c r="A467" s="247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247"/>
      <c r="AA467" s="247"/>
      <c r="AB467" s="247"/>
      <c r="AC467" s="247"/>
      <c r="AD467" s="247"/>
      <c r="AE467" s="247"/>
      <c r="AF467" s="247"/>
      <c r="AG467" s="247"/>
    </row>
    <row r="468" ht="15.75" customHeight="1">
      <c r="A468" s="247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247"/>
      <c r="AA468" s="247"/>
      <c r="AB468" s="247"/>
      <c r="AC468" s="247"/>
      <c r="AD468" s="247"/>
      <c r="AE468" s="247"/>
      <c r="AF468" s="247"/>
      <c r="AG468" s="247"/>
    </row>
    <row r="469" ht="15.75" customHeight="1">
      <c r="A469" s="247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247"/>
      <c r="AA469" s="247"/>
      <c r="AB469" s="247"/>
      <c r="AC469" s="247"/>
      <c r="AD469" s="247"/>
      <c r="AE469" s="247"/>
      <c r="AF469" s="247"/>
      <c r="AG469" s="247"/>
    </row>
    <row r="470" ht="15.75" customHeight="1">
      <c r="A470" s="247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247"/>
      <c r="AA470" s="247"/>
      <c r="AB470" s="247"/>
      <c r="AC470" s="247"/>
      <c r="AD470" s="247"/>
      <c r="AE470" s="247"/>
      <c r="AF470" s="247"/>
      <c r="AG470" s="247"/>
    </row>
    <row r="471" ht="15.75" customHeight="1">
      <c r="A471" s="247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247"/>
      <c r="AA471" s="247"/>
      <c r="AB471" s="247"/>
      <c r="AC471" s="247"/>
      <c r="AD471" s="247"/>
      <c r="AE471" s="247"/>
      <c r="AF471" s="247"/>
      <c r="AG471" s="247"/>
    </row>
    <row r="472" ht="15.75" customHeight="1">
      <c r="A472" s="247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247"/>
      <c r="AA472" s="247"/>
      <c r="AB472" s="247"/>
      <c r="AC472" s="247"/>
      <c r="AD472" s="247"/>
      <c r="AE472" s="247"/>
      <c r="AF472" s="247"/>
      <c r="AG472" s="247"/>
    </row>
    <row r="473" ht="15.75" customHeight="1">
      <c r="A473" s="247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247"/>
      <c r="AA473" s="247"/>
      <c r="AB473" s="247"/>
      <c r="AC473" s="247"/>
      <c r="AD473" s="247"/>
      <c r="AE473" s="247"/>
      <c r="AF473" s="247"/>
      <c r="AG473" s="247"/>
    </row>
    <row r="474" ht="15.75" customHeight="1">
      <c r="A474" s="247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247"/>
      <c r="AA474" s="247"/>
      <c r="AB474" s="247"/>
      <c r="AC474" s="247"/>
      <c r="AD474" s="247"/>
      <c r="AE474" s="247"/>
      <c r="AF474" s="247"/>
      <c r="AG474" s="247"/>
    </row>
    <row r="475" ht="15.75" customHeight="1">
      <c r="A475" s="247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247"/>
      <c r="AA475" s="247"/>
      <c r="AB475" s="247"/>
      <c r="AC475" s="247"/>
      <c r="AD475" s="247"/>
      <c r="AE475" s="247"/>
      <c r="AF475" s="247"/>
      <c r="AG475" s="247"/>
    </row>
    <row r="476" ht="15.75" customHeight="1">
      <c r="A476" s="247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247"/>
      <c r="AA476" s="247"/>
      <c r="AB476" s="247"/>
      <c r="AC476" s="247"/>
      <c r="AD476" s="247"/>
      <c r="AE476" s="247"/>
      <c r="AF476" s="247"/>
      <c r="AG476" s="247"/>
    </row>
    <row r="477" ht="15.75" customHeight="1">
      <c r="A477" s="247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247"/>
      <c r="AA477" s="247"/>
      <c r="AB477" s="247"/>
      <c r="AC477" s="247"/>
      <c r="AD477" s="247"/>
      <c r="AE477" s="247"/>
      <c r="AF477" s="247"/>
      <c r="AG477" s="247"/>
    </row>
    <row r="478" ht="15.75" customHeight="1">
      <c r="A478" s="247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247"/>
      <c r="AA478" s="247"/>
      <c r="AB478" s="247"/>
      <c r="AC478" s="247"/>
      <c r="AD478" s="247"/>
      <c r="AE478" s="247"/>
      <c r="AF478" s="247"/>
      <c r="AG478" s="247"/>
    </row>
    <row r="479" ht="15.75" customHeight="1">
      <c r="A479" s="247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247"/>
      <c r="AA479" s="247"/>
      <c r="AB479" s="247"/>
      <c r="AC479" s="247"/>
      <c r="AD479" s="247"/>
      <c r="AE479" s="247"/>
      <c r="AF479" s="247"/>
      <c r="AG479" s="247"/>
    </row>
    <row r="480" ht="15.75" customHeight="1">
      <c r="A480" s="247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247"/>
      <c r="AA480" s="247"/>
      <c r="AB480" s="247"/>
      <c r="AC480" s="247"/>
      <c r="AD480" s="247"/>
      <c r="AE480" s="247"/>
      <c r="AF480" s="247"/>
      <c r="AG480" s="247"/>
    </row>
    <row r="481" ht="15.75" customHeight="1">
      <c r="A481" s="247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247"/>
      <c r="AA481" s="247"/>
      <c r="AB481" s="247"/>
      <c r="AC481" s="247"/>
      <c r="AD481" s="247"/>
      <c r="AE481" s="247"/>
      <c r="AF481" s="247"/>
      <c r="AG481" s="247"/>
    </row>
    <row r="482" ht="15.75" customHeight="1">
      <c r="A482" s="247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247"/>
      <c r="AA482" s="247"/>
      <c r="AB482" s="247"/>
      <c r="AC482" s="247"/>
      <c r="AD482" s="247"/>
      <c r="AE482" s="247"/>
      <c r="AF482" s="247"/>
      <c r="AG482" s="247"/>
    </row>
    <row r="483" ht="15.75" customHeight="1">
      <c r="A483" s="247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247"/>
      <c r="AA483" s="247"/>
      <c r="AB483" s="247"/>
      <c r="AC483" s="247"/>
      <c r="AD483" s="247"/>
      <c r="AE483" s="247"/>
      <c r="AF483" s="247"/>
      <c r="AG483" s="247"/>
    </row>
    <row r="484" ht="15.75" customHeight="1">
      <c r="A484" s="247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247"/>
      <c r="AA484" s="247"/>
      <c r="AB484" s="247"/>
      <c r="AC484" s="247"/>
      <c r="AD484" s="247"/>
      <c r="AE484" s="247"/>
      <c r="AF484" s="247"/>
      <c r="AG484" s="247"/>
    </row>
    <row r="485" ht="15.75" customHeight="1">
      <c r="A485" s="247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247"/>
      <c r="AA485" s="247"/>
      <c r="AB485" s="247"/>
      <c r="AC485" s="247"/>
      <c r="AD485" s="247"/>
      <c r="AE485" s="247"/>
      <c r="AF485" s="247"/>
      <c r="AG485" s="247"/>
    </row>
    <row r="486" ht="15.75" customHeight="1">
      <c r="A486" s="247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247"/>
      <c r="AA486" s="247"/>
      <c r="AB486" s="247"/>
      <c r="AC486" s="247"/>
      <c r="AD486" s="247"/>
      <c r="AE486" s="247"/>
      <c r="AF486" s="247"/>
      <c r="AG486" s="247"/>
    </row>
    <row r="487" ht="15.75" customHeight="1">
      <c r="A487" s="247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247"/>
      <c r="AA487" s="247"/>
      <c r="AB487" s="247"/>
      <c r="AC487" s="247"/>
      <c r="AD487" s="247"/>
      <c r="AE487" s="247"/>
      <c r="AF487" s="247"/>
      <c r="AG487" s="247"/>
    </row>
    <row r="488" ht="15.75" customHeight="1">
      <c r="A488" s="247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247"/>
      <c r="AA488" s="247"/>
      <c r="AB488" s="247"/>
      <c r="AC488" s="247"/>
      <c r="AD488" s="247"/>
      <c r="AE488" s="247"/>
      <c r="AF488" s="247"/>
      <c r="AG488" s="247"/>
    </row>
    <row r="489" ht="15.75" customHeight="1">
      <c r="A489" s="247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247"/>
      <c r="AA489" s="247"/>
      <c r="AB489" s="247"/>
      <c r="AC489" s="247"/>
      <c r="AD489" s="247"/>
      <c r="AE489" s="247"/>
      <c r="AF489" s="247"/>
      <c r="AG489" s="247"/>
    </row>
    <row r="490" ht="15.75" customHeight="1">
      <c r="A490" s="247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247"/>
      <c r="AA490" s="247"/>
      <c r="AB490" s="247"/>
      <c r="AC490" s="247"/>
      <c r="AD490" s="247"/>
      <c r="AE490" s="247"/>
      <c r="AF490" s="247"/>
      <c r="AG490" s="247"/>
    </row>
    <row r="491" ht="15.75" customHeight="1">
      <c r="A491" s="247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247"/>
      <c r="AA491" s="247"/>
      <c r="AB491" s="247"/>
      <c r="AC491" s="247"/>
      <c r="AD491" s="247"/>
      <c r="AE491" s="247"/>
      <c r="AF491" s="247"/>
      <c r="AG491" s="247"/>
    </row>
    <row r="492" ht="15.75" customHeight="1">
      <c r="A492" s="247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247"/>
      <c r="AA492" s="247"/>
      <c r="AB492" s="247"/>
      <c r="AC492" s="247"/>
      <c r="AD492" s="247"/>
      <c r="AE492" s="247"/>
      <c r="AF492" s="247"/>
      <c r="AG492" s="247"/>
    </row>
    <row r="493" ht="15.75" customHeight="1">
      <c r="A493" s="247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247"/>
      <c r="AA493" s="247"/>
      <c r="AB493" s="247"/>
      <c r="AC493" s="247"/>
      <c r="AD493" s="247"/>
      <c r="AE493" s="247"/>
      <c r="AF493" s="247"/>
      <c r="AG493" s="247"/>
    </row>
    <row r="494" ht="15.75" customHeight="1">
      <c r="A494" s="247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247"/>
      <c r="AA494" s="247"/>
      <c r="AB494" s="247"/>
      <c r="AC494" s="247"/>
      <c r="AD494" s="247"/>
      <c r="AE494" s="247"/>
      <c r="AF494" s="247"/>
      <c r="AG494" s="247"/>
    </row>
    <row r="495" ht="15.75" customHeight="1">
      <c r="A495" s="247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247"/>
      <c r="AA495" s="247"/>
      <c r="AB495" s="247"/>
      <c r="AC495" s="247"/>
      <c r="AD495" s="247"/>
      <c r="AE495" s="247"/>
      <c r="AF495" s="247"/>
      <c r="AG495" s="247"/>
    </row>
    <row r="496" ht="15.75" customHeight="1">
      <c r="A496" s="247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247"/>
      <c r="AA496" s="247"/>
      <c r="AB496" s="247"/>
      <c r="AC496" s="247"/>
      <c r="AD496" s="247"/>
      <c r="AE496" s="247"/>
      <c r="AF496" s="247"/>
      <c r="AG496" s="247"/>
    </row>
    <row r="497" ht="15.75" customHeight="1">
      <c r="A497" s="247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247"/>
      <c r="AA497" s="247"/>
      <c r="AB497" s="247"/>
      <c r="AC497" s="247"/>
      <c r="AD497" s="247"/>
      <c r="AE497" s="247"/>
      <c r="AF497" s="247"/>
      <c r="AG497" s="247"/>
    </row>
    <row r="498" ht="15.75" customHeight="1">
      <c r="A498" s="247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247"/>
      <c r="AA498" s="247"/>
      <c r="AB498" s="247"/>
      <c r="AC498" s="247"/>
      <c r="AD498" s="247"/>
      <c r="AE498" s="247"/>
      <c r="AF498" s="247"/>
      <c r="AG498" s="247"/>
    </row>
    <row r="499" ht="15.75" customHeight="1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247"/>
      <c r="AA499" s="247"/>
      <c r="AB499" s="247"/>
      <c r="AC499" s="247"/>
      <c r="AD499" s="247"/>
      <c r="AE499" s="247"/>
      <c r="AF499" s="247"/>
      <c r="AG499" s="247"/>
    </row>
    <row r="500" ht="15.75" customHeight="1">
      <c r="A500" s="247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247"/>
      <c r="AA500" s="247"/>
      <c r="AB500" s="247"/>
      <c r="AC500" s="247"/>
      <c r="AD500" s="247"/>
      <c r="AE500" s="247"/>
      <c r="AF500" s="247"/>
      <c r="AG500" s="247"/>
    </row>
    <row r="501" ht="15.75" customHeight="1">
      <c r="A501" s="247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7"/>
      <c r="AA501" s="247"/>
      <c r="AB501" s="247"/>
      <c r="AC501" s="247"/>
      <c r="AD501" s="247"/>
      <c r="AE501" s="247"/>
      <c r="AF501" s="247"/>
      <c r="AG501" s="247"/>
    </row>
    <row r="502" ht="15.75" customHeight="1">
      <c r="A502" s="247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247"/>
      <c r="AA502" s="247"/>
      <c r="AB502" s="247"/>
      <c r="AC502" s="247"/>
      <c r="AD502" s="247"/>
      <c r="AE502" s="247"/>
      <c r="AF502" s="247"/>
      <c r="AG502" s="247"/>
    </row>
    <row r="503" ht="15.75" customHeight="1">
      <c r="A503" s="247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247"/>
      <c r="AA503" s="247"/>
      <c r="AB503" s="247"/>
      <c r="AC503" s="247"/>
      <c r="AD503" s="247"/>
      <c r="AE503" s="247"/>
      <c r="AF503" s="247"/>
      <c r="AG503" s="247"/>
    </row>
    <row r="504" ht="15.75" customHeight="1">
      <c r="A504" s="247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247"/>
      <c r="AA504" s="247"/>
      <c r="AB504" s="247"/>
      <c r="AC504" s="247"/>
      <c r="AD504" s="247"/>
      <c r="AE504" s="247"/>
      <c r="AF504" s="247"/>
      <c r="AG504" s="247"/>
    </row>
    <row r="505" ht="15.75" customHeight="1">
      <c r="A505" s="247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247"/>
      <c r="AA505" s="247"/>
      <c r="AB505" s="247"/>
      <c r="AC505" s="247"/>
      <c r="AD505" s="247"/>
      <c r="AE505" s="247"/>
      <c r="AF505" s="247"/>
      <c r="AG505" s="247"/>
    </row>
    <row r="506" ht="15.75" customHeight="1">
      <c r="A506" s="247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247"/>
      <c r="AA506" s="247"/>
      <c r="AB506" s="247"/>
      <c r="AC506" s="247"/>
      <c r="AD506" s="247"/>
      <c r="AE506" s="247"/>
      <c r="AF506" s="247"/>
      <c r="AG506" s="247"/>
    </row>
    <row r="507" ht="15.75" customHeight="1">
      <c r="A507" s="247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247"/>
      <c r="AA507" s="247"/>
      <c r="AB507" s="247"/>
      <c r="AC507" s="247"/>
      <c r="AD507" s="247"/>
      <c r="AE507" s="247"/>
      <c r="AF507" s="247"/>
      <c r="AG507" s="247"/>
    </row>
    <row r="508" ht="15.75" customHeight="1">
      <c r="A508" s="247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247"/>
      <c r="AA508" s="247"/>
      <c r="AB508" s="247"/>
      <c r="AC508" s="247"/>
      <c r="AD508" s="247"/>
      <c r="AE508" s="247"/>
      <c r="AF508" s="247"/>
      <c r="AG508" s="247"/>
    </row>
    <row r="509" ht="15.75" customHeight="1">
      <c r="A509" s="247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247"/>
      <c r="AA509" s="247"/>
      <c r="AB509" s="247"/>
      <c r="AC509" s="247"/>
      <c r="AD509" s="247"/>
      <c r="AE509" s="247"/>
      <c r="AF509" s="247"/>
      <c r="AG509" s="247"/>
    </row>
    <row r="510" ht="15.75" customHeight="1">
      <c r="A510" s="247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247"/>
      <c r="AA510" s="247"/>
      <c r="AB510" s="247"/>
      <c r="AC510" s="247"/>
      <c r="AD510" s="247"/>
      <c r="AE510" s="247"/>
      <c r="AF510" s="247"/>
      <c r="AG510" s="247"/>
    </row>
    <row r="511" ht="15.75" customHeight="1">
      <c r="A511" s="247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247"/>
      <c r="AA511" s="247"/>
      <c r="AB511" s="247"/>
      <c r="AC511" s="247"/>
      <c r="AD511" s="247"/>
      <c r="AE511" s="247"/>
      <c r="AF511" s="247"/>
      <c r="AG511" s="247"/>
    </row>
    <row r="512" ht="15.75" customHeight="1">
      <c r="A512" s="247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7"/>
      <c r="AA512" s="247"/>
      <c r="AB512" s="247"/>
      <c r="AC512" s="247"/>
      <c r="AD512" s="247"/>
      <c r="AE512" s="247"/>
      <c r="AF512" s="247"/>
      <c r="AG512" s="247"/>
    </row>
    <row r="513" ht="15.75" customHeight="1">
      <c r="A513" s="247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247"/>
      <c r="AA513" s="247"/>
      <c r="AB513" s="247"/>
      <c r="AC513" s="247"/>
      <c r="AD513" s="247"/>
      <c r="AE513" s="247"/>
      <c r="AF513" s="247"/>
      <c r="AG513" s="247"/>
    </row>
    <row r="514" ht="15.75" customHeight="1">
      <c r="A514" s="247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247"/>
      <c r="AA514" s="247"/>
      <c r="AB514" s="247"/>
      <c r="AC514" s="247"/>
      <c r="AD514" s="247"/>
      <c r="AE514" s="247"/>
      <c r="AF514" s="247"/>
      <c r="AG514" s="247"/>
    </row>
    <row r="515" ht="15.75" customHeight="1">
      <c r="A515" s="247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247"/>
      <c r="AA515" s="247"/>
      <c r="AB515" s="247"/>
      <c r="AC515" s="247"/>
      <c r="AD515" s="247"/>
      <c r="AE515" s="247"/>
      <c r="AF515" s="247"/>
      <c r="AG515" s="247"/>
    </row>
    <row r="516" ht="15.75" customHeight="1">
      <c r="A516" s="247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247"/>
      <c r="AA516" s="247"/>
      <c r="AB516" s="247"/>
      <c r="AC516" s="247"/>
      <c r="AD516" s="247"/>
      <c r="AE516" s="247"/>
      <c r="AF516" s="247"/>
      <c r="AG516" s="247"/>
    </row>
    <row r="517" ht="15.75" customHeight="1">
      <c r="A517" s="247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247"/>
      <c r="AA517" s="247"/>
      <c r="AB517" s="247"/>
      <c r="AC517" s="247"/>
      <c r="AD517" s="247"/>
      <c r="AE517" s="247"/>
      <c r="AF517" s="247"/>
      <c r="AG517" s="247"/>
    </row>
    <row r="518" ht="15.75" customHeight="1">
      <c r="A518" s="247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247"/>
      <c r="AA518" s="247"/>
      <c r="AB518" s="247"/>
      <c r="AC518" s="247"/>
      <c r="AD518" s="247"/>
      <c r="AE518" s="247"/>
      <c r="AF518" s="247"/>
      <c r="AG518" s="247"/>
    </row>
    <row r="519" ht="15.75" customHeight="1">
      <c r="A519" s="247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247"/>
      <c r="AA519" s="247"/>
      <c r="AB519" s="247"/>
      <c r="AC519" s="247"/>
      <c r="AD519" s="247"/>
      <c r="AE519" s="247"/>
      <c r="AF519" s="247"/>
      <c r="AG519" s="247"/>
    </row>
    <row r="520" ht="15.75" customHeight="1">
      <c r="A520" s="247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247"/>
      <c r="AA520" s="247"/>
      <c r="AB520" s="247"/>
      <c r="AC520" s="247"/>
      <c r="AD520" s="247"/>
      <c r="AE520" s="247"/>
      <c r="AF520" s="247"/>
      <c r="AG520" s="247"/>
    </row>
    <row r="521" ht="15.75" customHeight="1">
      <c r="A521" s="247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247"/>
      <c r="AA521" s="247"/>
      <c r="AB521" s="247"/>
      <c r="AC521" s="247"/>
      <c r="AD521" s="247"/>
      <c r="AE521" s="247"/>
      <c r="AF521" s="247"/>
      <c r="AG521" s="247"/>
    </row>
    <row r="522" ht="15.75" customHeight="1">
      <c r="A522" s="247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247"/>
      <c r="AA522" s="247"/>
      <c r="AB522" s="247"/>
      <c r="AC522" s="247"/>
      <c r="AD522" s="247"/>
      <c r="AE522" s="247"/>
      <c r="AF522" s="247"/>
      <c r="AG522" s="247"/>
    </row>
    <row r="523" ht="15.75" customHeight="1">
      <c r="A523" s="247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247"/>
      <c r="AA523" s="247"/>
      <c r="AB523" s="247"/>
      <c r="AC523" s="247"/>
      <c r="AD523" s="247"/>
      <c r="AE523" s="247"/>
      <c r="AF523" s="247"/>
      <c r="AG523" s="247"/>
    </row>
    <row r="524" ht="15.75" customHeight="1">
      <c r="A524" s="247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247"/>
      <c r="AA524" s="247"/>
      <c r="AB524" s="247"/>
      <c r="AC524" s="247"/>
      <c r="AD524" s="247"/>
      <c r="AE524" s="247"/>
      <c r="AF524" s="247"/>
      <c r="AG524" s="247"/>
    </row>
    <row r="525" ht="15.75" customHeight="1">
      <c r="A525" s="247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247"/>
      <c r="AA525" s="247"/>
      <c r="AB525" s="247"/>
      <c r="AC525" s="247"/>
      <c r="AD525" s="247"/>
      <c r="AE525" s="247"/>
      <c r="AF525" s="247"/>
      <c r="AG525" s="247"/>
    </row>
    <row r="526" ht="15.75" customHeight="1">
      <c r="A526" s="247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247"/>
      <c r="AA526" s="247"/>
      <c r="AB526" s="247"/>
      <c r="AC526" s="247"/>
      <c r="AD526" s="247"/>
      <c r="AE526" s="247"/>
      <c r="AF526" s="247"/>
      <c r="AG526" s="247"/>
    </row>
    <row r="527" ht="15.75" customHeight="1">
      <c r="A527" s="247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247"/>
      <c r="AA527" s="247"/>
      <c r="AB527" s="247"/>
      <c r="AC527" s="247"/>
      <c r="AD527" s="247"/>
      <c r="AE527" s="247"/>
      <c r="AF527" s="247"/>
      <c r="AG527" s="247"/>
    </row>
    <row r="528" ht="15.75" customHeight="1">
      <c r="A528" s="247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247"/>
      <c r="AA528" s="247"/>
      <c r="AB528" s="247"/>
      <c r="AC528" s="247"/>
      <c r="AD528" s="247"/>
      <c r="AE528" s="247"/>
      <c r="AF528" s="247"/>
      <c r="AG528" s="247"/>
    </row>
    <row r="529" ht="15.75" customHeight="1">
      <c r="A529" s="247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247"/>
      <c r="AA529" s="247"/>
      <c r="AB529" s="247"/>
      <c r="AC529" s="247"/>
      <c r="AD529" s="247"/>
      <c r="AE529" s="247"/>
      <c r="AF529" s="247"/>
      <c r="AG529" s="247"/>
    </row>
    <row r="530" ht="15.75" customHeight="1">
      <c r="A530" s="247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247"/>
      <c r="AA530" s="247"/>
      <c r="AB530" s="247"/>
      <c r="AC530" s="247"/>
      <c r="AD530" s="247"/>
      <c r="AE530" s="247"/>
      <c r="AF530" s="247"/>
      <c r="AG530" s="247"/>
    </row>
    <row r="531" ht="15.75" customHeight="1">
      <c r="A531" s="247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247"/>
      <c r="AA531" s="247"/>
      <c r="AB531" s="247"/>
      <c r="AC531" s="247"/>
      <c r="AD531" s="247"/>
      <c r="AE531" s="247"/>
      <c r="AF531" s="247"/>
      <c r="AG531" s="247"/>
    </row>
    <row r="532" ht="15.75" customHeight="1">
      <c r="A532" s="247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247"/>
      <c r="AA532" s="247"/>
      <c r="AB532" s="247"/>
      <c r="AC532" s="247"/>
      <c r="AD532" s="247"/>
      <c r="AE532" s="247"/>
      <c r="AF532" s="247"/>
      <c r="AG532" s="247"/>
    </row>
    <row r="533" ht="15.75" customHeight="1">
      <c r="A533" s="247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247"/>
      <c r="AA533" s="247"/>
      <c r="AB533" s="247"/>
      <c r="AC533" s="247"/>
      <c r="AD533" s="247"/>
      <c r="AE533" s="247"/>
      <c r="AF533" s="247"/>
      <c r="AG533" s="247"/>
    </row>
    <row r="534" ht="15.75" customHeight="1">
      <c r="A534" s="247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247"/>
      <c r="AA534" s="247"/>
      <c r="AB534" s="247"/>
      <c r="AC534" s="247"/>
      <c r="AD534" s="247"/>
      <c r="AE534" s="247"/>
      <c r="AF534" s="247"/>
      <c r="AG534" s="247"/>
    </row>
    <row r="535" ht="15.75" customHeight="1">
      <c r="A535" s="247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247"/>
      <c r="AA535" s="247"/>
      <c r="AB535" s="247"/>
      <c r="AC535" s="247"/>
      <c r="AD535" s="247"/>
      <c r="AE535" s="247"/>
      <c r="AF535" s="247"/>
      <c r="AG535" s="247"/>
    </row>
    <row r="536" ht="15.75" customHeight="1">
      <c r="A536" s="247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247"/>
      <c r="AA536" s="247"/>
      <c r="AB536" s="247"/>
      <c r="AC536" s="247"/>
      <c r="AD536" s="247"/>
      <c r="AE536" s="247"/>
      <c r="AF536" s="247"/>
      <c r="AG536" s="247"/>
    </row>
    <row r="537" ht="15.75" customHeight="1">
      <c r="A537" s="247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247"/>
      <c r="AA537" s="247"/>
      <c r="AB537" s="247"/>
      <c r="AC537" s="247"/>
      <c r="AD537" s="247"/>
      <c r="AE537" s="247"/>
      <c r="AF537" s="247"/>
      <c r="AG537" s="247"/>
    </row>
    <row r="538" ht="15.75" customHeight="1">
      <c r="A538" s="247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7"/>
      <c r="AA538" s="247"/>
      <c r="AB538" s="247"/>
      <c r="AC538" s="247"/>
      <c r="AD538" s="247"/>
      <c r="AE538" s="247"/>
      <c r="AF538" s="247"/>
      <c r="AG538" s="247"/>
    </row>
    <row r="539" ht="15.75" customHeight="1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7"/>
      <c r="AA539" s="247"/>
      <c r="AB539" s="247"/>
      <c r="AC539" s="247"/>
      <c r="AD539" s="247"/>
      <c r="AE539" s="247"/>
      <c r="AF539" s="247"/>
      <c r="AG539" s="247"/>
    </row>
    <row r="540" ht="15.75" customHeight="1">
      <c r="A540" s="247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247"/>
      <c r="AA540" s="247"/>
      <c r="AB540" s="247"/>
      <c r="AC540" s="247"/>
      <c r="AD540" s="247"/>
      <c r="AE540" s="247"/>
      <c r="AF540" s="247"/>
      <c r="AG540" s="247"/>
    </row>
    <row r="541" ht="15.75" customHeight="1">
      <c r="A541" s="247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247"/>
      <c r="AA541" s="247"/>
      <c r="AB541" s="247"/>
      <c r="AC541" s="247"/>
      <c r="AD541" s="247"/>
      <c r="AE541" s="247"/>
      <c r="AF541" s="247"/>
      <c r="AG541" s="247"/>
    </row>
    <row r="542" ht="15.75" customHeight="1">
      <c r="A542" s="247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247"/>
      <c r="AA542" s="247"/>
      <c r="AB542" s="247"/>
      <c r="AC542" s="247"/>
      <c r="AD542" s="247"/>
      <c r="AE542" s="247"/>
      <c r="AF542" s="247"/>
      <c r="AG542" s="247"/>
    </row>
    <row r="543" ht="15.75" customHeight="1">
      <c r="A543" s="247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247"/>
      <c r="AA543" s="247"/>
      <c r="AB543" s="247"/>
      <c r="AC543" s="247"/>
      <c r="AD543" s="247"/>
      <c r="AE543" s="247"/>
      <c r="AF543" s="247"/>
      <c r="AG543" s="247"/>
    </row>
    <row r="544" ht="15.75" customHeight="1">
      <c r="A544" s="247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247"/>
      <c r="AA544" s="247"/>
      <c r="AB544" s="247"/>
      <c r="AC544" s="247"/>
      <c r="AD544" s="247"/>
      <c r="AE544" s="247"/>
      <c r="AF544" s="247"/>
      <c r="AG544" s="247"/>
    </row>
    <row r="545" ht="15.75" customHeight="1">
      <c r="A545" s="247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247"/>
      <c r="AA545" s="247"/>
      <c r="AB545" s="247"/>
      <c r="AC545" s="247"/>
      <c r="AD545" s="247"/>
      <c r="AE545" s="247"/>
      <c r="AF545" s="247"/>
      <c r="AG545" s="247"/>
    </row>
    <row r="546" ht="15.75" customHeight="1">
      <c r="A546" s="247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7"/>
      <c r="AA546" s="247"/>
      <c r="AB546" s="247"/>
      <c r="AC546" s="247"/>
      <c r="AD546" s="247"/>
      <c r="AE546" s="247"/>
      <c r="AF546" s="247"/>
      <c r="AG546" s="247"/>
    </row>
    <row r="547" ht="15.75" customHeight="1">
      <c r="A547" s="247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247"/>
      <c r="AA547" s="247"/>
      <c r="AB547" s="247"/>
      <c r="AC547" s="247"/>
      <c r="AD547" s="247"/>
      <c r="AE547" s="247"/>
      <c r="AF547" s="247"/>
      <c r="AG547" s="247"/>
    </row>
    <row r="548" ht="15.75" customHeight="1">
      <c r="A548" s="247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247"/>
      <c r="AA548" s="247"/>
      <c r="AB548" s="247"/>
      <c r="AC548" s="247"/>
      <c r="AD548" s="247"/>
      <c r="AE548" s="247"/>
      <c r="AF548" s="247"/>
      <c r="AG548" s="247"/>
    </row>
    <row r="549" ht="15.75" customHeight="1">
      <c r="A549" s="247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247"/>
      <c r="AA549" s="247"/>
      <c r="AB549" s="247"/>
      <c r="AC549" s="247"/>
      <c r="AD549" s="247"/>
      <c r="AE549" s="247"/>
      <c r="AF549" s="247"/>
      <c r="AG549" s="247"/>
    </row>
    <row r="550" ht="15.75" customHeight="1">
      <c r="A550" s="247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247"/>
      <c r="AA550" s="247"/>
      <c r="AB550" s="247"/>
      <c r="AC550" s="247"/>
      <c r="AD550" s="247"/>
      <c r="AE550" s="247"/>
      <c r="AF550" s="247"/>
      <c r="AG550" s="247"/>
    </row>
    <row r="551" ht="15.75" customHeight="1">
      <c r="A551" s="247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247"/>
      <c r="AA551" s="247"/>
      <c r="AB551" s="247"/>
      <c r="AC551" s="247"/>
      <c r="AD551" s="247"/>
      <c r="AE551" s="247"/>
      <c r="AF551" s="247"/>
      <c r="AG551" s="247"/>
    </row>
    <row r="552" ht="15.75" customHeight="1">
      <c r="A552" s="247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247"/>
      <c r="AA552" s="247"/>
      <c r="AB552" s="247"/>
      <c r="AC552" s="247"/>
      <c r="AD552" s="247"/>
      <c r="AE552" s="247"/>
      <c r="AF552" s="247"/>
      <c r="AG552" s="247"/>
    </row>
    <row r="553" ht="15.75" customHeight="1">
      <c r="A553" s="247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247"/>
      <c r="AA553" s="247"/>
      <c r="AB553" s="247"/>
      <c r="AC553" s="247"/>
      <c r="AD553" s="247"/>
      <c r="AE553" s="247"/>
      <c r="AF553" s="247"/>
      <c r="AG553" s="247"/>
    </row>
    <row r="554" ht="15.75" customHeight="1">
      <c r="A554" s="247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7"/>
      <c r="AA554" s="247"/>
      <c r="AB554" s="247"/>
      <c r="AC554" s="247"/>
      <c r="AD554" s="247"/>
      <c r="AE554" s="247"/>
      <c r="AF554" s="247"/>
      <c r="AG554" s="247"/>
    </row>
    <row r="555" ht="15.75" customHeight="1">
      <c r="A555" s="247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247"/>
      <c r="AA555" s="247"/>
      <c r="AB555" s="247"/>
      <c r="AC555" s="247"/>
      <c r="AD555" s="247"/>
      <c r="AE555" s="247"/>
      <c r="AF555" s="247"/>
      <c r="AG555" s="247"/>
    </row>
    <row r="556" ht="15.75" customHeight="1">
      <c r="A556" s="247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247"/>
      <c r="AA556" s="247"/>
      <c r="AB556" s="247"/>
      <c r="AC556" s="247"/>
      <c r="AD556" s="247"/>
      <c r="AE556" s="247"/>
      <c r="AF556" s="247"/>
      <c r="AG556" s="247"/>
    </row>
    <row r="557" ht="15.75" customHeight="1">
      <c r="A557" s="247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247"/>
      <c r="AA557" s="247"/>
      <c r="AB557" s="247"/>
      <c r="AC557" s="247"/>
      <c r="AD557" s="247"/>
      <c r="AE557" s="247"/>
      <c r="AF557" s="247"/>
      <c r="AG557" s="247"/>
    </row>
    <row r="558" ht="15.75" customHeight="1">
      <c r="A558" s="247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247"/>
      <c r="AA558" s="247"/>
      <c r="AB558" s="247"/>
      <c r="AC558" s="247"/>
      <c r="AD558" s="247"/>
      <c r="AE558" s="247"/>
      <c r="AF558" s="247"/>
      <c r="AG558" s="247"/>
    </row>
    <row r="559" ht="15.75" customHeight="1">
      <c r="A559" s="247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247"/>
      <c r="AA559" s="247"/>
      <c r="AB559" s="247"/>
      <c r="AC559" s="247"/>
      <c r="AD559" s="247"/>
      <c r="AE559" s="247"/>
      <c r="AF559" s="247"/>
      <c r="AG559" s="247"/>
    </row>
    <row r="560" ht="15.75" customHeight="1">
      <c r="A560" s="247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247"/>
      <c r="AA560" s="247"/>
      <c r="AB560" s="247"/>
      <c r="AC560" s="247"/>
      <c r="AD560" s="247"/>
      <c r="AE560" s="247"/>
      <c r="AF560" s="247"/>
      <c r="AG560" s="247"/>
    </row>
    <row r="561" ht="15.75" customHeight="1">
      <c r="A561" s="247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7"/>
      <c r="AA561" s="247"/>
      <c r="AB561" s="247"/>
      <c r="AC561" s="247"/>
      <c r="AD561" s="247"/>
      <c r="AE561" s="247"/>
      <c r="AF561" s="247"/>
      <c r="AG561" s="247"/>
    </row>
    <row r="562" ht="15.75" customHeight="1">
      <c r="A562" s="247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7"/>
      <c r="AA562" s="247"/>
      <c r="AB562" s="247"/>
      <c r="AC562" s="247"/>
      <c r="AD562" s="247"/>
      <c r="AE562" s="247"/>
      <c r="AF562" s="247"/>
      <c r="AG562" s="247"/>
    </row>
    <row r="563" ht="15.75" customHeight="1">
      <c r="A563" s="247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247"/>
      <c r="AA563" s="247"/>
      <c r="AB563" s="247"/>
      <c r="AC563" s="247"/>
      <c r="AD563" s="247"/>
      <c r="AE563" s="247"/>
      <c r="AF563" s="247"/>
      <c r="AG563" s="247"/>
    </row>
    <row r="564" ht="15.75" customHeight="1">
      <c r="A564" s="247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7"/>
      <c r="AA564" s="247"/>
      <c r="AB564" s="247"/>
      <c r="AC564" s="247"/>
      <c r="AD564" s="247"/>
      <c r="AE564" s="247"/>
      <c r="AF564" s="247"/>
      <c r="AG564" s="247"/>
    </row>
    <row r="565" ht="15.75" customHeight="1">
      <c r="A565" s="247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247"/>
      <c r="AA565" s="247"/>
      <c r="AB565" s="247"/>
      <c r="AC565" s="247"/>
      <c r="AD565" s="247"/>
      <c r="AE565" s="247"/>
      <c r="AF565" s="247"/>
      <c r="AG565" s="247"/>
    </row>
    <row r="566" ht="15.75" customHeight="1">
      <c r="A566" s="247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247"/>
      <c r="AA566" s="247"/>
      <c r="AB566" s="247"/>
      <c r="AC566" s="247"/>
      <c r="AD566" s="247"/>
      <c r="AE566" s="247"/>
      <c r="AF566" s="247"/>
      <c r="AG566" s="247"/>
    </row>
    <row r="567" ht="15.75" customHeight="1">
      <c r="A567" s="247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247"/>
      <c r="AA567" s="247"/>
      <c r="AB567" s="247"/>
      <c r="AC567" s="247"/>
      <c r="AD567" s="247"/>
      <c r="AE567" s="247"/>
      <c r="AF567" s="247"/>
      <c r="AG567" s="247"/>
    </row>
    <row r="568" ht="15.75" customHeight="1">
      <c r="A568" s="247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247"/>
      <c r="AA568" s="247"/>
      <c r="AB568" s="247"/>
      <c r="AC568" s="247"/>
      <c r="AD568" s="247"/>
      <c r="AE568" s="247"/>
      <c r="AF568" s="247"/>
      <c r="AG568" s="247"/>
    </row>
    <row r="569" ht="15.75" customHeight="1">
      <c r="A569" s="247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247"/>
      <c r="AA569" s="247"/>
      <c r="AB569" s="247"/>
      <c r="AC569" s="247"/>
      <c r="AD569" s="247"/>
      <c r="AE569" s="247"/>
      <c r="AF569" s="247"/>
      <c r="AG569" s="247"/>
    </row>
    <row r="570" ht="15.75" customHeight="1">
      <c r="A570" s="247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7"/>
      <c r="AA570" s="247"/>
      <c r="AB570" s="247"/>
      <c r="AC570" s="247"/>
      <c r="AD570" s="247"/>
      <c r="AE570" s="247"/>
      <c r="AF570" s="247"/>
      <c r="AG570" s="247"/>
    </row>
    <row r="571" ht="15.75" customHeight="1">
      <c r="A571" s="247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  <c r="AA571" s="247"/>
      <c r="AB571" s="247"/>
      <c r="AC571" s="247"/>
      <c r="AD571" s="247"/>
      <c r="AE571" s="247"/>
      <c r="AF571" s="247"/>
      <c r="AG571" s="247"/>
    </row>
    <row r="572" ht="15.75" customHeight="1">
      <c r="A572" s="247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247"/>
      <c r="AA572" s="247"/>
      <c r="AB572" s="247"/>
      <c r="AC572" s="247"/>
      <c r="AD572" s="247"/>
      <c r="AE572" s="247"/>
      <c r="AF572" s="247"/>
      <c r="AG572" s="247"/>
    </row>
    <row r="573" ht="15.75" customHeight="1">
      <c r="A573" s="247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247"/>
      <c r="AA573" s="247"/>
      <c r="AB573" s="247"/>
      <c r="AC573" s="247"/>
      <c r="AD573" s="247"/>
      <c r="AE573" s="247"/>
      <c r="AF573" s="247"/>
      <c r="AG573" s="247"/>
    </row>
    <row r="574" ht="15.75" customHeight="1">
      <c r="A574" s="247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247"/>
      <c r="AA574" s="247"/>
      <c r="AB574" s="247"/>
      <c r="AC574" s="247"/>
      <c r="AD574" s="247"/>
      <c r="AE574" s="247"/>
      <c r="AF574" s="247"/>
      <c r="AG574" s="247"/>
    </row>
    <row r="575" ht="15.75" customHeight="1">
      <c r="A575" s="247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247"/>
      <c r="AA575" s="247"/>
      <c r="AB575" s="247"/>
      <c r="AC575" s="247"/>
      <c r="AD575" s="247"/>
      <c r="AE575" s="247"/>
      <c r="AF575" s="247"/>
      <c r="AG575" s="247"/>
    </row>
    <row r="576" ht="15.75" customHeight="1">
      <c r="A576" s="247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247"/>
      <c r="AA576" s="247"/>
      <c r="AB576" s="247"/>
      <c r="AC576" s="247"/>
      <c r="AD576" s="247"/>
      <c r="AE576" s="247"/>
      <c r="AF576" s="247"/>
      <c r="AG576" s="247"/>
    </row>
    <row r="577" ht="15.75" customHeight="1">
      <c r="A577" s="247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247"/>
      <c r="AA577" s="247"/>
      <c r="AB577" s="247"/>
      <c r="AC577" s="247"/>
      <c r="AD577" s="247"/>
      <c r="AE577" s="247"/>
      <c r="AF577" s="247"/>
      <c r="AG577" s="247"/>
    </row>
    <row r="578" ht="15.75" customHeight="1">
      <c r="A578" s="247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7"/>
      <c r="AA578" s="247"/>
      <c r="AB578" s="247"/>
      <c r="AC578" s="247"/>
      <c r="AD578" s="247"/>
      <c r="AE578" s="247"/>
      <c r="AF578" s="247"/>
      <c r="AG578" s="247"/>
    </row>
    <row r="579" ht="15.75" customHeight="1">
      <c r="A579" s="247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7"/>
      <c r="AA579" s="247"/>
      <c r="AB579" s="247"/>
      <c r="AC579" s="247"/>
      <c r="AD579" s="247"/>
      <c r="AE579" s="247"/>
      <c r="AF579" s="247"/>
      <c r="AG579" s="247"/>
    </row>
    <row r="580" ht="15.75" customHeight="1">
      <c r="A580" s="247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247"/>
      <c r="AA580" s="247"/>
      <c r="AB580" s="247"/>
      <c r="AC580" s="247"/>
      <c r="AD580" s="247"/>
      <c r="AE580" s="247"/>
      <c r="AF580" s="247"/>
      <c r="AG580" s="247"/>
    </row>
    <row r="581" ht="15.75" customHeight="1">
      <c r="A581" s="247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247"/>
      <c r="AA581" s="247"/>
      <c r="AB581" s="247"/>
      <c r="AC581" s="247"/>
      <c r="AD581" s="247"/>
      <c r="AE581" s="247"/>
      <c r="AF581" s="247"/>
      <c r="AG581" s="247"/>
    </row>
    <row r="582" ht="15.75" customHeight="1">
      <c r="A582" s="247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247"/>
      <c r="AA582" s="247"/>
      <c r="AB582" s="247"/>
      <c r="AC582" s="247"/>
      <c r="AD582" s="247"/>
      <c r="AE582" s="247"/>
      <c r="AF582" s="247"/>
      <c r="AG582" s="247"/>
    </row>
    <row r="583" ht="15.75" customHeight="1">
      <c r="A583" s="247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247"/>
      <c r="AA583" s="247"/>
      <c r="AB583" s="247"/>
      <c r="AC583" s="247"/>
      <c r="AD583" s="247"/>
      <c r="AE583" s="247"/>
      <c r="AF583" s="247"/>
      <c r="AG583" s="247"/>
    </row>
    <row r="584" ht="15.75" customHeight="1">
      <c r="A584" s="247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247"/>
      <c r="AA584" s="247"/>
      <c r="AB584" s="247"/>
      <c r="AC584" s="247"/>
      <c r="AD584" s="247"/>
      <c r="AE584" s="247"/>
      <c r="AF584" s="247"/>
      <c r="AG584" s="247"/>
    </row>
    <row r="585" ht="15.75" customHeight="1">
      <c r="A585" s="247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247"/>
      <c r="AA585" s="247"/>
      <c r="AB585" s="247"/>
      <c r="AC585" s="247"/>
      <c r="AD585" s="247"/>
      <c r="AE585" s="247"/>
      <c r="AF585" s="247"/>
      <c r="AG585" s="247"/>
    </row>
    <row r="586" ht="15.75" customHeight="1">
      <c r="A586" s="247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247"/>
      <c r="AA586" s="247"/>
      <c r="AB586" s="247"/>
      <c r="AC586" s="247"/>
      <c r="AD586" s="247"/>
      <c r="AE586" s="247"/>
      <c r="AF586" s="247"/>
      <c r="AG586" s="247"/>
    </row>
    <row r="587" ht="15.75" customHeight="1">
      <c r="A587" s="247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247"/>
      <c r="AA587" s="247"/>
      <c r="AB587" s="247"/>
      <c r="AC587" s="247"/>
      <c r="AD587" s="247"/>
      <c r="AE587" s="247"/>
      <c r="AF587" s="247"/>
      <c r="AG587" s="247"/>
    </row>
    <row r="588" ht="15.75" customHeight="1">
      <c r="A588" s="247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247"/>
      <c r="AA588" s="247"/>
      <c r="AB588" s="247"/>
      <c r="AC588" s="247"/>
      <c r="AD588" s="247"/>
      <c r="AE588" s="247"/>
      <c r="AF588" s="247"/>
      <c r="AG588" s="247"/>
    </row>
    <row r="589" ht="15.75" customHeight="1">
      <c r="A589" s="247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247"/>
      <c r="AA589" s="247"/>
      <c r="AB589" s="247"/>
      <c r="AC589" s="247"/>
      <c r="AD589" s="247"/>
      <c r="AE589" s="247"/>
      <c r="AF589" s="247"/>
      <c r="AG589" s="247"/>
    </row>
    <row r="590" ht="15.75" customHeight="1">
      <c r="A590" s="247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247"/>
      <c r="AA590" s="247"/>
      <c r="AB590" s="247"/>
      <c r="AC590" s="247"/>
      <c r="AD590" s="247"/>
      <c r="AE590" s="247"/>
      <c r="AF590" s="247"/>
      <c r="AG590" s="247"/>
    </row>
    <row r="591" ht="15.75" customHeight="1">
      <c r="A591" s="247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247"/>
      <c r="AA591" s="247"/>
      <c r="AB591" s="247"/>
      <c r="AC591" s="247"/>
      <c r="AD591" s="247"/>
      <c r="AE591" s="247"/>
      <c r="AF591" s="247"/>
      <c r="AG591" s="247"/>
    </row>
    <row r="592" ht="15.75" customHeight="1">
      <c r="A592" s="247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247"/>
      <c r="AA592" s="247"/>
      <c r="AB592" s="247"/>
      <c r="AC592" s="247"/>
      <c r="AD592" s="247"/>
      <c r="AE592" s="247"/>
      <c r="AF592" s="247"/>
      <c r="AG592" s="247"/>
    </row>
    <row r="593" ht="15.75" customHeight="1">
      <c r="A593" s="247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247"/>
      <c r="AA593" s="247"/>
      <c r="AB593" s="247"/>
      <c r="AC593" s="247"/>
      <c r="AD593" s="247"/>
      <c r="AE593" s="247"/>
      <c r="AF593" s="247"/>
      <c r="AG593" s="247"/>
    </row>
    <row r="594" ht="15.75" customHeight="1">
      <c r="A594" s="247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247"/>
      <c r="AA594" s="247"/>
      <c r="AB594" s="247"/>
      <c r="AC594" s="247"/>
      <c r="AD594" s="247"/>
      <c r="AE594" s="247"/>
      <c r="AF594" s="247"/>
      <c r="AG594" s="247"/>
    </row>
    <row r="595" ht="15.75" customHeight="1">
      <c r="A595" s="247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247"/>
      <c r="AA595" s="247"/>
      <c r="AB595" s="247"/>
      <c r="AC595" s="247"/>
      <c r="AD595" s="247"/>
      <c r="AE595" s="247"/>
      <c r="AF595" s="247"/>
      <c r="AG595" s="247"/>
    </row>
    <row r="596" ht="15.75" customHeight="1">
      <c r="A596" s="247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247"/>
      <c r="AA596" s="247"/>
      <c r="AB596" s="247"/>
      <c r="AC596" s="247"/>
      <c r="AD596" s="247"/>
      <c r="AE596" s="247"/>
      <c r="AF596" s="247"/>
      <c r="AG596" s="247"/>
    </row>
    <row r="597" ht="15.75" customHeight="1">
      <c r="A597" s="247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247"/>
      <c r="AA597" s="247"/>
      <c r="AB597" s="247"/>
      <c r="AC597" s="247"/>
      <c r="AD597" s="247"/>
      <c r="AE597" s="247"/>
      <c r="AF597" s="247"/>
      <c r="AG597" s="247"/>
    </row>
    <row r="598" ht="15.75" customHeight="1">
      <c r="A598" s="247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247"/>
      <c r="AA598" s="247"/>
      <c r="AB598" s="247"/>
      <c r="AC598" s="247"/>
      <c r="AD598" s="247"/>
      <c r="AE598" s="247"/>
      <c r="AF598" s="247"/>
      <c r="AG598" s="247"/>
    </row>
    <row r="599" ht="15.75" customHeight="1">
      <c r="A599" s="247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247"/>
      <c r="AA599" s="247"/>
      <c r="AB599" s="247"/>
      <c r="AC599" s="247"/>
      <c r="AD599" s="247"/>
      <c r="AE599" s="247"/>
      <c r="AF599" s="247"/>
      <c r="AG599" s="247"/>
    </row>
    <row r="600" ht="15.75" customHeight="1">
      <c r="A600" s="247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247"/>
      <c r="AA600" s="247"/>
      <c r="AB600" s="247"/>
      <c r="AC600" s="247"/>
      <c r="AD600" s="247"/>
      <c r="AE600" s="247"/>
      <c r="AF600" s="247"/>
      <c r="AG600" s="247"/>
    </row>
    <row r="601" ht="15.75" customHeight="1">
      <c r="A601" s="247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247"/>
      <c r="AA601" s="247"/>
      <c r="AB601" s="247"/>
      <c r="AC601" s="247"/>
      <c r="AD601" s="247"/>
      <c r="AE601" s="247"/>
      <c r="AF601" s="247"/>
      <c r="AG601" s="247"/>
    </row>
    <row r="602" ht="15.75" customHeight="1">
      <c r="A602" s="247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247"/>
      <c r="AA602" s="247"/>
      <c r="AB602" s="247"/>
      <c r="AC602" s="247"/>
      <c r="AD602" s="247"/>
      <c r="AE602" s="247"/>
      <c r="AF602" s="247"/>
      <c r="AG602" s="247"/>
    </row>
    <row r="603" ht="15.75" customHeight="1">
      <c r="A603" s="247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247"/>
      <c r="AA603" s="247"/>
      <c r="AB603" s="247"/>
      <c r="AC603" s="247"/>
      <c r="AD603" s="247"/>
      <c r="AE603" s="247"/>
      <c r="AF603" s="247"/>
      <c r="AG603" s="247"/>
    </row>
    <row r="604" ht="15.75" customHeight="1">
      <c r="A604" s="247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247"/>
      <c r="AA604" s="247"/>
      <c r="AB604" s="247"/>
      <c r="AC604" s="247"/>
      <c r="AD604" s="247"/>
      <c r="AE604" s="247"/>
      <c r="AF604" s="247"/>
      <c r="AG604" s="247"/>
    </row>
    <row r="605" ht="15.75" customHeight="1">
      <c r="A605" s="247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247"/>
      <c r="AA605" s="247"/>
      <c r="AB605" s="247"/>
      <c r="AC605" s="247"/>
      <c r="AD605" s="247"/>
      <c r="AE605" s="247"/>
      <c r="AF605" s="247"/>
      <c r="AG605" s="247"/>
    </row>
    <row r="606" ht="15.75" customHeight="1">
      <c r="A606" s="247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247"/>
      <c r="AA606" s="247"/>
      <c r="AB606" s="247"/>
      <c r="AC606" s="247"/>
      <c r="AD606" s="247"/>
      <c r="AE606" s="247"/>
      <c r="AF606" s="247"/>
      <c r="AG606" s="247"/>
    </row>
    <row r="607" ht="15.75" customHeight="1">
      <c r="A607" s="247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247"/>
      <c r="AA607" s="247"/>
      <c r="AB607" s="247"/>
      <c r="AC607" s="247"/>
      <c r="AD607" s="247"/>
      <c r="AE607" s="247"/>
      <c r="AF607" s="247"/>
      <c r="AG607" s="247"/>
    </row>
    <row r="608" ht="15.75" customHeight="1">
      <c r="A608" s="247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247"/>
      <c r="AA608" s="247"/>
      <c r="AB608" s="247"/>
      <c r="AC608" s="247"/>
      <c r="AD608" s="247"/>
      <c r="AE608" s="247"/>
      <c r="AF608" s="247"/>
      <c r="AG608" s="247"/>
    </row>
    <row r="609" ht="15.75" customHeight="1">
      <c r="A609" s="247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7"/>
      <c r="AA609" s="247"/>
      <c r="AB609" s="247"/>
      <c r="AC609" s="247"/>
      <c r="AD609" s="247"/>
      <c r="AE609" s="247"/>
      <c r="AF609" s="247"/>
      <c r="AG609" s="247"/>
    </row>
    <row r="610" ht="15.75" customHeight="1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7"/>
      <c r="AA610" s="247"/>
      <c r="AB610" s="247"/>
      <c r="AC610" s="247"/>
      <c r="AD610" s="247"/>
      <c r="AE610" s="247"/>
      <c r="AF610" s="247"/>
      <c r="AG610" s="247"/>
    </row>
    <row r="611" ht="15.75" customHeight="1">
      <c r="A611" s="247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247"/>
      <c r="AA611" s="247"/>
      <c r="AB611" s="247"/>
      <c r="AC611" s="247"/>
      <c r="AD611" s="247"/>
      <c r="AE611" s="247"/>
      <c r="AF611" s="247"/>
      <c r="AG611" s="247"/>
    </row>
    <row r="612" ht="15.75" customHeight="1">
      <c r="A612" s="247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247"/>
      <c r="AA612" s="247"/>
      <c r="AB612" s="247"/>
      <c r="AC612" s="247"/>
      <c r="AD612" s="247"/>
      <c r="AE612" s="247"/>
      <c r="AF612" s="247"/>
      <c r="AG612" s="247"/>
    </row>
    <row r="613" ht="15.75" customHeight="1">
      <c r="A613" s="247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247"/>
      <c r="AA613" s="247"/>
      <c r="AB613" s="247"/>
      <c r="AC613" s="247"/>
      <c r="AD613" s="247"/>
      <c r="AE613" s="247"/>
      <c r="AF613" s="247"/>
      <c r="AG613" s="247"/>
    </row>
    <row r="614" ht="15.75" customHeight="1">
      <c r="A614" s="247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247"/>
      <c r="AA614" s="247"/>
      <c r="AB614" s="247"/>
      <c r="AC614" s="247"/>
      <c r="AD614" s="247"/>
      <c r="AE614" s="247"/>
      <c r="AF614" s="247"/>
      <c r="AG614" s="247"/>
    </row>
    <row r="615" ht="15.75" customHeight="1">
      <c r="A615" s="247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247"/>
      <c r="AA615" s="247"/>
      <c r="AB615" s="247"/>
      <c r="AC615" s="247"/>
      <c r="AD615" s="247"/>
      <c r="AE615" s="247"/>
      <c r="AF615" s="247"/>
      <c r="AG615" s="247"/>
    </row>
    <row r="616" ht="15.75" customHeight="1">
      <c r="A616" s="247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247"/>
      <c r="AA616" s="247"/>
      <c r="AB616" s="247"/>
      <c r="AC616" s="247"/>
      <c r="AD616" s="247"/>
      <c r="AE616" s="247"/>
      <c r="AF616" s="247"/>
      <c r="AG616" s="247"/>
    </row>
    <row r="617" ht="15.75" customHeight="1">
      <c r="A617" s="247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247"/>
      <c r="AA617" s="247"/>
      <c r="AB617" s="247"/>
      <c r="AC617" s="247"/>
      <c r="AD617" s="247"/>
      <c r="AE617" s="247"/>
      <c r="AF617" s="247"/>
      <c r="AG617" s="247"/>
    </row>
    <row r="618" ht="15.75" customHeight="1">
      <c r="A618" s="247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247"/>
      <c r="AA618" s="247"/>
      <c r="AB618" s="247"/>
      <c r="AC618" s="247"/>
      <c r="AD618" s="247"/>
      <c r="AE618" s="247"/>
      <c r="AF618" s="247"/>
      <c r="AG618" s="247"/>
    </row>
    <row r="619" ht="15.75" customHeight="1">
      <c r="A619" s="247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7"/>
      <c r="AA619" s="247"/>
      <c r="AB619" s="247"/>
      <c r="AC619" s="247"/>
      <c r="AD619" s="247"/>
      <c r="AE619" s="247"/>
      <c r="AF619" s="247"/>
      <c r="AG619" s="247"/>
    </row>
    <row r="620" ht="15.75" customHeight="1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7"/>
      <c r="AA620" s="247"/>
      <c r="AB620" s="247"/>
      <c r="AC620" s="247"/>
      <c r="AD620" s="247"/>
      <c r="AE620" s="247"/>
      <c r="AF620" s="247"/>
      <c r="AG620" s="247"/>
    </row>
    <row r="621" ht="15.75" customHeight="1">
      <c r="A621" s="247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247"/>
      <c r="AA621" s="247"/>
      <c r="AB621" s="247"/>
      <c r="AC621" s="247"/>
      <c r="AD621" s="247"/>
      <c r="AE621" s="247"/>
      <c r="AF621" s="247"/>
      <c r="AG621" s="247"/>
    </row>
    <row r="622" ht="15.75" customHeight="1">
      <c r="A622" s="247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247"/>
      <c r="AA622" s="247"/>
      <c r="AB622" s="247"/>
      <c r="AC622" s="247"/>
      <c r="AD622" s="247"/>
      <c r="AE622" s="247"/>
      <c r="AF622" s="247"/>
      <c r="AG622" s="247"/>
    </row>
    <row r="623" ht="15.75" customHeight="1">
      <c r="A623" s="247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247"/>
      <c r="AA623" s="247"/>
      <c r="AB623" s="247"/>
      <c r="AC623" s="247"/>
      <c r="AD623" s="247"/>
      <c r="AE623" s="247"/>
      <c r="AF623" s="247"/>
      <c r="AG623" s="247"/>
    </row>
    <row r="624" ht="15.75" customHeight="1">
      <c r="A624" s="247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247"/>
      <c r="AA624" s="247"/>
      <c r="AB624" s="247"/>
      <c r="AC624" s="247"/>
      <c r="AD624" s="247"/>
      <c r="AE624" s="247"/>
      <c r="AF624" s="247"/>
      <c r="AG624" s="247"/>
    </row>
    <row r="625" ht="15.75" customHeight="1">
      <c r="A625" s="247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247"/>
      <c r="AA625" s="247"/>
      <c r="AB625" s="247"/>
      <c r="AC625" s="247"/>
      <c r="AD625" s="247"/>
      <c r="AE625" s="247"/>
      <c r="AF625" s="247"/>
      <c r="AG625" s="247"/>
    </row>
    <row r="626" ht="15.75" customHeight="1">
      <c r="A626" s="247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247"/>
      <c r="AA626" s="247"/>
      <c r="AB626" s="247"/>
      <c r="AC626" s="247"/>
      <c r="AD626" s="247"/>
      <c r="AE626" s="247"/>
      <c r="AF626" s="247"/>
      <c r="AG626" s="247"/>
    </row>
    <row r="627" ht="15.75" customHeight="1">
      <c r="A627" s="247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247"/>
      <c r="AA627" s="247"/>
      <c r="AB627" s="247"/>
      <c r="AC627" s="247"/>
      <c r="AD627" s="247"/>
      <c r="AE627" s="247"/>
      <c r="AF627" s="247"/>
      <c r="AG627" s="247"/>
    </row>
    <row r="628" ht="15.75" customHeight="1">
      <c r="A628" s="247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247"/>
      <c r="AA628" s="247"/>
      <c r="AB628" s="247"/>
      <c r="AC628" s="247"/>
      <c r="AD628" s="247"/>
      <c r="AE628" s="247"/>
      <c r="AF628" s="247"/>
      <c r="AG628" s="247"/>
    </row>
    <row r="629" ht="15.75" customHeight="1">
      <c r="A629" s="247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247"/>
      <c r="AA629" s="247"/>
      <c r="AB629" s="247"/>
      <c r="AC629" s="247"/>
      <c r="AD629" s="247"/>
      <c r="AE629" s="247"/>
      <c r="AF629" s="247"/>
      <c r="AG629" s="247"/>
    </row>
    <row r="630" ht="15.75" customHeight="1">
      <c r="A630" s="247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247"/>
      <c r="AA630" s="247"/>
      <c r="AB630" s="247"/>
      <c r="AC630" s="247"/>
      <c r="AD630" s="247"/>
      <c r="AE630" s="247"/>
      <c r="AF630" s="247"/>
      <c r="AG630" s="247"/>
    </row>
    <row r="631" ht="15.75" customHeight="1">
      <c r="A631" s="247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247"/>
      <c r="AA631" s="247"/>
      <c r="AB631" s="247"/>
      <c r="AC631" s="247"/>
      <c r="AD631" s="247"/>
      <c r="AE631" s="247"/>
      <c r="AF631" s="247"/>
      <c r="AG631" s="247"/>
    </row>
    <row r="632" ht="15.75" customHeight="1">
      <c r="A632" s="247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247"/>
      <c r="AA632" s="247"/>
      <c r="AB632" s="247"/>
      <c r="AC632" s="247"/>
      <c r="AD632" s="247"/>
      <c r="AE632" s="247"/>
      <c r="AF632" s="247"/>
      <c r="AG632" s="247"/>
    </row>
    <row r="633" ht="15.75" customHeight="1">
      <c r="A633" s="247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247"/>
      <c r="AA633" s="247"/>
      <c r="AB633" s="247"/>
      <c r="AC633" s="247"/>
      <c r="AD633" s="247"/>
      <c r="AE633" s="247"/>
      <c r="AF633" s="247"/>
      <c r="AG633" s="247"/>
    </row>
    <row r="634" ht="15.75" customHeight="1">
      <c r="A634" s="247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247"/>
      <c r="AA634" s="247"/>
      <c r="AB634" s="247"/>
      <c r="AC634" s="247"/>
      <c r="AD634" s="247"/>
      <c r="AE634" s="247"/>
      <c r="AF634" s="247"/>
      <c r="AG634" s="247"/>
    </row>
    <row r="635" ht="15.75" customHeight="1">
      <c r="A635" s="247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247"/>
      <c r="AA635" s="247"/>
      <c r="AB635" s="247"/>
      <c r="AC635" s="247"/>
      <c r="AD635" s="247"/>
      <c r="AE635" s="247"/>
      <c r="AF635" s="247"/>
      <c r="AG635" s="247"/>
    </row>
    <row r="636" ht="15.75" customHeight="1">
      <c r="A636" s="247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247"/>
      <c r="AA636" s="247"/>
      <c r="AB636" s="247"/>
      <c r="AC636" s="247"/>
      <c r="AD636" s="247"/>
      <c r="AE636" s="247"/>
      <c r="AF636" s="247"/>
      <c r="AG636" s="247"/>
    </row>
    <row r="637" ht="15.75" customHeight="1">
      <c r="A637" s="247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247"/>
      <c r="AA637" s="247"/>
      <c r="AB637" s="247"/>
      <c r="AC637" s="247"/>
      <c r="AD637" s="247"/>
      <c r="AE637" s="247"/>
      <c r="AF637" s="247"/>
      <c r="AG637" s="247"/>
    </row>
    <row r="638" ht="15.75" customHeight="1">
      <c r="A638" s="247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247"/>
      <c r="AA638" s="247"/>
      <c r="AB638" s="247"/>
      <c r="AC638" s="247"/>
      <c r="AD638" s="247"/>
      <c r="AE638" s="247"/>
      <c r="AF638" s="247"/>
      <c r="AG638" s="247"/>
    </row>
    <row r="639" ht="15.75" customHeight="1">
      <c r="A639" s="247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247"/>
      <c r="AA639" s="247"/>
      <c r="AB639" s="247"/>
      <c r="AC639" s="247"/>
      <c r="AD639" s="247"/>
      <c r="AE639" s="247"/>
      <c r="AF639" s="247"/>
      <c r="AG639" s="247"/>
    </row>
    <row r="640" ht="15.75" customHeight="1">
      <c r="A640" s="247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247"/>
      <c r="AA640" s="247"/>
      <c r="AB640" s="247"/>
      <c r="AC640" s="247"/>
      <c r="AD640" s="247"/>
      <c r="AE640" s="247"/>
      <c r="AF640" s="247"/>
      <c r="AG640" s="247"/>
    </row>
    <row r="641" ht="15.75" customHeight="1">
      <c r="A641" s="247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247"/>
      <c r="AA641" s="247"/>
      <c r="AB641" s="247"/>
      <c r="AC641" s="247"/>
      <c r="AD641" s="247"/>
      <c r="AE641" s="247"/>
      <c r="AF641" s="247"/>
      <c r="AG641" s="247"/>
    </row>
    <row r="642" ht="15.75" customHeight="1">
      <c r="A642" s="247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247"/>
      <c r="AA642" s="247"/>
      <c r="AB642" s="247"/>
      <c r="AC642" s="247"/>
      <c r="AD642" s="247"/>
      <c r="AE642" s="247"/>
      <c r="AF642" s="247"/>
      <c r="AG642" s="247"/>
    </row>
    <row r="643" ht="15.75" customHeight="1">
      <c r="A643" s="247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247"/>
      <c r="AA643" s="247"/>
      <c r="AB643" s="247"/>
      <c r="AC643" s="247"/>
      <c r="AD643" s="247"/>
      <c r="AE643" s="247"/>
      <c r="AF643" s="247"/>
      <c r="AG643" s="247"/>
    </row>
    <row r="644" ht="15.75" customHeight="1">
      <c r="A644" s="247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247"/>
      <c r="AA644" s="247"/>
      <c r="AB644" s="247"/>
      <c r="AC644" s="247"/>
      <c r="AD644" s="247"/>
      <c r="AE644" s="247"/>
      <c r="AF644" s="247"/>
      <c r="AG644" s="247"/>
    </row>
    <row r="645" ht="15.75" customHeight="1">
      <c r="A645" s="247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247"/>
      <c r="AA645" s="247"/>
      <c r="AB645" s="247"/>
      <c r="AC645" s="247"/>
      <c r="AD645" s="247"/>
      <c r="AE645" s="247"/>
      <c r="AF645" s="247"/>
      <c r="AG645" s="247"/>
    </row>
    <row r="646" ht="15.75" customHeight="1">
      <c r="A646" s="247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247"/>
      <c r="AA646" s="247"/>
      <c r="AB646" s="247"/>
      <c r="AC646" s="247"/>
      <c r="AD646" s="247"/>
      <c r="AE646" s="247"/>
      <c r="AF646" s="247"/>
      <c r="AG646" s="247"/>
    </row>
    <row r="647" ht="15.75" customHeight="1">
      <c r="A647" s="247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247"/>
      <c r="AA647" s="247"/>
      <c r="AB647" s="247"/>
      <c r="AC647" s="247"/>
      <c r="AD647" s="247"/>
      <c r="AE647" s="247"/>
      <c r="AF647" s="247"/>
      <c r="AG647" s="247"/>
    </row>
    <row r="648" ht="15.75" customHeight="1">
      <c r="A648" s="247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247"/>
      <c r="AA648" s="247"/>
      <c r="AB648" s="247"/>
      <c r="AC648" s="247"/>
      <c r="AD648" s="247"/>
      <c r="AE648" s="247"/>
      <c r="AF648" s="247"/>
      <c r="AG648" s="247"/>
    </row>
    <row r="649" ht="15.75" customHeight="1">
      <c r="A649" s="247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247"/>
      <c r="AA649" s="247"/>
      <c r="AB649" s="247"/>
      <c r="AC649" s="247"/>
      <c r="AD649" s="247"/>
      <c r="AE649" s="247"/>
      <c r="AF649" s="247"/>
      <c r="AG649" s="247"/>
    </row>
    <row r="650" ht="15.75" customHeight="1">
      <c r="A650" s="247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247"/>
      <c r="AA650" s="247"/>
      <c r="AB650" s="247"/>
      <c r="AC650" s="247"/>
      <c r="AD650" s="247"/>
      <c r="AE650" s="247"/>
      <c r="AF650" s="247"/>
      <c r="AG650" s="247"/>
    </row>
    <row r="651" ht="15.75" customHeight="1">
      <c r="A651" s="247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247"/>
      <c r="AA651" s="247"/>
      <c r="AB651" s="247"/>
      <c r="AC651" s="247"/>
      <c r="AD651" s="247"/>
      <c r="AE651" s="247"/>
      <c r="AF651" s="247"/>
      <c r="AG651" s="247"/>
    </row>
    <row r="652" ht="15.75" customHeight="1">
      <c r="A652" s="247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247"/>
      <c r="AA652" s="247"/>
      <c r="AB652" s="247"/>
      <c r="AC652" s="247"/>
      <c r="AD652" s="247"/>
      <c r="AE652" s="247"/>
      <c r="AF652" s="247"/>
      <c r="AG652" s="247"/>
    </row>
    <row r="653" ht="15.75" customHeight="1">
      <c r="A653" s="247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247"/>
      <c r="AA653" s="247"/>
      <c r="AB653" s="247"/>
      <c r="AC653" s="247"/>
      <c r="AD653" s="247"/>
      <c r="AE653" s="247"/>
      <c r="AF653" s="247"/>
      <c r="AG653" s="247"/>
    </row>
    <row r="654" ht="15.75" customHeight="1">
      <c r="A654" s="247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247"/>
      <c r="AA654" s="247"/>
      <c r="AB654" s="247"/>
      <c r="AC654" s="247"/>
      <c r="AD654" s="247"/>
      <c r="AE654" s="247"/>
      <c r="AF654" s="247"/>
      <c r="AG654" s="247"/>
    </row>
    <row r="655" ht="15.75" customHeight="1">
      <c r="A655" s="247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247"/>
      <c r="AA655" s="247"/>
      <c r="AB655" s="247"/>
      <c r="AC655" s="247"/>
      <c r="AD655" s="247"/>
      <c r="AE655" s="247"/>
      <c r="AF655" s="247"/>
      <c r="AG655" s="247"/>
    </row>
    <row r="656" ht="15.75" customHeight="1">
      <c r="A656" s="247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247"/>
      <c r="AA656" s="247"/>
      <c r="AB656" s="247"/>
      <c r="AC656" s="247"/>
      <c r="AD656" s="247"/>
      <c r="AE656" s="247"/>
      <c r="AF656" s="247"/>
      <c r="AG656" s="247"/>
    </row>
    <row r="657" ht="15.75" customHeight="1">
      <c r="A657" s="247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247"/>
      <c r="AA657" s="247"/>
      <c r="AB657" s="247"/>
      <c r="AC657" s="247"/>
      <c r="AD657" s="247"/>
      <c r="AE657" s="247"/>
      <c r="AF657" s="247"/>
      <c r="AG657" s="247"/>
    </row>
    <row r="658" ht="15.75" customHeight="1">
      <c r="A658" s="247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247"/>
      <c r="AA658" s="247"/>
      <c r="AB658" s="247"/>
      <c r="AC658" s="247"/>
      <c r="AD658" s="247"/>
      <c r="AE658" s="247"/>
      <c r="AF658" s="247"/>
      <c r="AG658" s="247"/>
    </row>
    <row r="659" ht="15.75" customHeight="1">
      <c r="A659" s="247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247"/>
      <c r="AA659" s="247"/>
      <c r="AB659" s="247"/>
      <c r="AC659" s="247"/>
      <c r="AD659" s="247"/>
      <c r="AE659" s="247"/>
      <c r="AF659" s="247"/>
      <c r="AG659" s="247"/>
    </row>
    <row r="660" ht="15.75" customHeight="1">
      <c r="A660" s="247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247"/>
      <c r="AA660" s="247"/>
      <c r="AB660" s="247"/>
      <c r="AC660" s="247"/>
      <c r="AD660" s="247"/>
      <c r="AE660" s="247"/>
      <c r="AF660" s="247"/>
      <c r="AG660" s="247"/>
    </row>
    <row r="661" ht="15.75" customHeight="1">
      <c r="A661" s="247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247"/>
      <c r="AA661" s="247"/>
      <c r="AB661" s="247"/>
      <c r="AC661" s="247"/>
      <c r="AD661" s="247"/>
      <c r="AE661" s="247"/>
      <c r="AF661" s="247"/>
      <c r="AG661" s="247"/>
    </row>
    <row r="662" ht="15.75" customHeight="1">
      <c r="A662" s="247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7"/>
      <c r="AA662" s="247"/>
      <c r="AB662" s="247"/>
      <c r="AC662" s="247"/>
      <c r="AD662" s="247"/>
      <c r="AE662" s="247"/>
      <c r="AF662" s="247"/>
      <c r="AG662" s="247"/>
    </row>
    <row r="663" ht="15.75" customHeight="1">
      <c r="A663" s="247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247"/>
      <c r="AA663" s="247"/>
      <c r="AB663" s="247"/>
      <c r="AC663" s="247"/>
      <c r="AD663" s="247"/>
      <c r="AE663" s="247"/>
      <c r="AF663" s="247"/>
      <c r="AG663" s="247"/>
    </row>
    <row r="664" ht="15.75" customHeight="1">
      <c r="A664" s="247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247"/>
      <c r="AA664" s="247"/>
      <c r="AB664" s="247"/>
      <c r="AC664" s="247"/>
      <c r="AD664" s="247"/>
      <c r="AE664" s="247"/>
      <c r="AF664" s="247"/>
      <c r="AG664" s="247"/>
    </row>
    <row r="665" ht="15.75" customHeight="1">
      <c r="A665" s="247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247"/>
      <c r="AA665" s="247"/>
      <c r="AB665" s="247"/>
      <c r="AC665" s="247"/>
      <c r="AD665" s="247"/>
      <c r="AE665" s="247"/>
      <c r="AF665" s="247"/>
      <c r="AG665" s="247"/>
    </row>
    <row r="666" ht="15.75" customHeight="1">
      <c r="A666" s="247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247"/>
      <c r="AA666" s="247"/>
      <c r="AB666" s="247"/>
      <c r="AC666" s="247"/>
      <c r="AD666" s="247"/>
      <c r="AE666" s="247"/>
      <c r="AF666" s="247"/>
      <c r="AG666" s="247"/>
    </row>
    <row r="667" ht="15.75" customHeight="1">
      <c r="A667" s="247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247"/>
      <c r="AA667" s="247"/>
      <c r="AB667" s="247"/>
      <c r="AC667" s="247"/>
      <c r="AD667" s="247"/>
      <c r="AE667" s="247"/>
      <c r="AF667" s="247"/>
      <c r="AG667" s="247"/>
    </row>
    <row r="668" ht="15.75" customHeight="1">
      <c r="A668" s="247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247"/>
      <c r="AA668" s="247"/>
      <c r="AB668" s="247"/>
      <c r="AC668" s="247"/>
      <c r="AD668" s="247"/>
      <c r="AE668" s="247"/>
      <c r="AF668" s="247"/>
      <c r="AG668" s="247"/>
    </row>
    <row r="669" ht="15.75" customHeight="1">
      <c r="A669" s="247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247"/>
      <c r="AA669" s="247"/>
      <c r="AB669" s="247"/>
      <c r="AC669" s="247"/>
      <c r="AD669" s="247"/>
      <c r="AE669" s="247"/>
      <c r="AF669" s="247"/>
      <c r="AG669" s="247"/>
    </row>
    <row r="670" ht="15.75" customHeight="1">
      <c r="A670" s="247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247"/>
      <c r="AA670" s="247"/>
      <c r="AB670" s="247"/>
      <c r="AC670" s="247"/>
      <c r="AD670" s="247"/>
      <c r="AE670" s="247"/>
      <c r="AF670" s="247"/>
      <c r="AG670" s="247"/>
    </row>
    <row r="671" ht="15.75" customHeight="1">
      <c r="A671" s="247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247"/>
      <c r="AA671" s="247"/>
      <c r="AB671" s="247"/>
      <c r="AC671" s="247"/>
      <c r="AD671" s="247"/>
      <c r="AE671" s="247"/>
      <c r="AF671" s="247"/>
      <c r="AG671" s="247"/>
    </row>
    <row r="672" ht="15.75" customHeight="1">
      <c r="A672" s="247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247"/>
      <c r="AA672" s="247"/>
      <c r="AB672" s="247"/>
      <c r="AC672" s="247"/>
      <c r="AD672" s="247"/>
      <c r="AE672" s="247"/>
      <c r="AF672" s="247"/>
      <c r="AG672" s="247"/>
    </row>
    <row r="673" ht="15.75" customHeight="1">
      <c r="A673" s="247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247"/>
      <c r="AA673" s="247"/>
      <c r="AB673" s="247"/>
      <c r="AC673" s="247"/>
      <c r="AD673" s="247"/>
      <c r="AE673" s="247"/>
      <c r="AF673" s="247"/>
      <c r="AG673" s="247"/>
    </row>
    <row r="674" ht="15.75" customHeight="1">
      <c r="A674" s="247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247"/>
      <c r="AA674" s="247"/>
      <c r="AB674" s="247"/>
      <c r="AC674" s="247"/>
      <c r="AD674" s="247"/>
      <c r="AE674" s="247"/>
      <c r="AF674" s="247"/>
      <c r="AG674" s="247"/>
    </row>
    <row r="675" ht="15.75" customHeight="1">
      <c r="A675" s="247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247"/>
      <c r="AA675" s="247"/>
      <c r="AB675" s="247"/>
      <c r="AC675" s="247"/>
      <c r="AD675" s="247"/>
      <c r="AE675" s="247"/>
      <c r="AF675" s="247"/>
      <c r="AG675" s="247"/>
    </row>
    <row r="676" ht="15.75" customHeight="1">
      <c r="A676" s="247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247"/>
      <c r="AA676" s="247"/>
      <c r="AB676" s="247"/>
      <c r="AC676" s="247"/>
      <c r="AD676" s="247"/>
      <c r="AE676" s="247"/>
      <c r="AF676" s="247"/>
      <c r="AG676" s="247"/>
    </row>
    <row r="677" ht="15.75" customHeight="1">
      <c r="A677" s="247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247"/>
      <c r="AA677" s="247"/>
      <c r="AB677" s="247"/>
      <c r="AC677" s="247"/>
      <c r="AD677" s="247"/>
      <c r="AE677" s="247"/>
      <c r="AF677" s="247"/>
      <c r="AG677" s="247"/>
    </row>
    <row r="678" ht="15.75" customHeight="1">
      <c r="A678" s="247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247"/>
      <c r="AA678" s="247"/>
      <c r="AB678" s="247"/>
      <c r="AC678" s="247"/>
      <c r="AD678" s="247"/>
      <c r="AE678" s="247"/>
      <c r="AF678" s="247"/>
      <c r="AG678" s="247"/>
    </row>
    <row r="679" ht="15.75" customHeight="1">
      <c r="A679" s="247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247"/>
      <c r="AA679" s="247"/>
      <c r="AB679" s="247"/>
      <c r="AC679" s="247"/>
      <c r="AD679" s="247"/>
      <c r="AE679" s="247"/>
      <c r="AF679" s="247"/>
      <c r="AG679" s="247"/>
    </row>
    <row r="680" ht="15.75" customHeight="1">
      <c r="A680" s="247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247"/>
      <c r="AA680" s="247"/>
      <c r="AB680" s="247"/>
      <c r="AC680" s="247"/>
      <c r="AD680" s="247"/>
      <c r="AE680" s="247"/>
      <c r="AF680" s="247"/>
      <c r="AG680" s="247"/>
    </row>
    <row r="681" ht="15.75" customHeight="1">
      <c r="A681" s="247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247"/>
      <c r="AA681" s="247"/>
      <c r="AB681" s="247"/>
      <c r="AC681" s="247"/>
      <c r="AD681" s="247"/>
      <c r="AE681" s="247"/>
      <c r="AF681" s="247"/>
      <c r="AG681" s="247"/>
    </row>
    <row r="682" ht="15.75" customHeight="1">
      <c r="A682" s="247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247"/>
      <c r="AA682" s="247"/>
      <c r="AB682" s="247"/>
      <c r="AC682" s="247"/>
      <c r="AD682" s="247"/>
      <c r="AE682" s="247"/>
      <c r="AF682" s="247"/>
      <c r="AG682" s="247"/>
    </row>
    <row r="683" ht="15.75" customHeight="1">
      <c r="A683" s="247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247"/>
      <c r="AA683" s="247"/>
      <c r="AB683" s="247"/>
      <c r="AC683" s="247"/>
      <c r="AD683" s="247"/>
      <c r="AE683" s="247"/>
      <c r="AF683" s="247"/>
      <c r="AG683" s="247"/>
    </row>
    <row r="684" ht="15.75" customHeight="1">
      <c r="A684" s="247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247"/>
      <c r="AA684" s="247"/>
      <c r="AB684" s="247"/>
      <c r="AC684" s="247"/>
      <c r="AD684" s="247"/>
      <c r="AE684" s="247"/>
      <c r="AF684" s="247"/>
      <c r="AG684" s="247"/>
    </row>
    <row r="685" ht="15.75" customHeight="1">
      <c r="A685" s="247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247"/>
      <c r="AA685" s="247"/>
      <c r="AB685" s="247"/>
      <c r="AC685" s="247"/>
      <c r="AD685" s="247"/>
      <c r="AE685" s="247"/>
      <c r="AF685" s="247"/>
      <c r="AG685" s="247"/>
    </row>
    <row r="686" ht="15.75" customHeight="1">
      <c r="A686" s="247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247"/>
      <c r="AA686" s="247"/>
      <c r="AB686" s="247"/>
      <c r="AC686" s="247"/>
      <c r="AD686" s="247"/>
      <c r="AE686" s="247"/>
      <c r="AF686" s="247"/>
      <c r="AG686" s="247"/>
    </row>
    <row r="687" ht="15.75" customHeight="1">
      <c r="A687" s="247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7"/>
      <c r="AA687" s="247"/>
      <c r="AB687" s="247"/>
      <c r="AC687" s="247"/>
      <c r="AD687" s="247"/>
      <c r="AE687" s="247"/>
      <c r="AF687" s="247"/>
      <c r="AG687" s="247"/>
    </row>
    <row r="688" ht="15.75" customHeight="1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7"/>
      <c r="AA688" s="247"/>
      <c r="AB688" s="247"/>
      <c r="AC688" s="247"/>
      <c r="AD688" s="247"/>
      <c r="AE688" s="247"/>
      <c r="AF688" s="247"/>
      <c r="AG688" s="247"/>
    </row>
    <row r="689" ht="15.75" customHeight="1">
      <c r="A689" s="247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247"/>
      <c r="AA689" s="247"/>
      <c r="AB689" s="247"/>
      <c r="AC689" s="247"/>
      <c r="AD689" s="247"/>
      <c r="AE689" s="247"/>
      <c r="AF689" s="247"/>
      <c r="AG689" s="247"/>
    </row>
    <row r="690" ht="15.75" customHeight="1">
      <c r="A690" s="247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247"/>
      <c r="AA690" s="247"/>
      <c r="AB690" s="247"/>
      <c r="AC690" s="247"/>
      <c r="AD690" s="247"/>
      <c r="AE690" s="247"/>
      <c r="AF690" s="247"/>
      <c r="AG690" s="247"/>
    </row>
    <row r="691" ht="15.75" customHeight="1">
      <c r="A691" s="247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247"/>
      <c r="AA691" s="247"/>
      <c r="AB691" s="247"/>
      <c r="AC691" s="247"/>
      <c r="AD691" s="247"/>
      <c r="AE691" s="247"/>
      <c r="AF691" s="247"/>
      <c r="AG691" s="247"/>
    </row>
    <row r="692" ht="15.75" customHeight="1">
      <c r="A692" s="247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247"/>
      <c r="AA692" s="247"/>
      <c r="AB692" s="247"/>
      <c r="AC692" s="247"/>
      <c r="AD692" s="247"/>
      <c r="AE692" s="247"/>
      <c r="AF692" s="247"/>
      <c r="AG692" s="247"/>
    </row>
    <row r="693" ht="15.75" customHeight="1">
      <c r="A693" s="247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247"/>
      <c r="AA693" s="247"/>
      <c r="AB693" s="247"/>
      <c r="AC693" s="247"/>
      <c r="AD693" s="247"/>
      <c r="AE693" s="247"/>
      <c r="AF693" s="247"/>
      <c r="AG693" s="247"/>
    </row>
    <row r="694" ht="15.75" customHeight="1">
      <c r="A694" s="247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247"/>
      <c r="AA694" s="247"/>
      <c r="AB694" s="247"/>
      <c r="AC694" s="247"/>
      <c r="AD694" s="247"/>
      <c r="AE694" s="247"/>
      <c r="AF694" s="247"/>
      <c r="AG694" s="247"/>
    </row>
    <row r="695" ht="15.75" customHeight="1">
      <c r="A695" s="247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247"/>
      <c r="AA695" s="247"/>
      <c r="AB695" s="247"/>
      <c r="AC695" s="247"/>
      <c r="AD695" s="247"/>
      <c r="AE695" s="247"/>
      <c r="AF695" s="247"/>
      <c r="AG695" s="247"/>
    </row>
    <row r="696" ht="15.75" customHeight="1">
      <c r="A696" s="247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247"/>
      <c r="AA696" s="247"/>
      <c r="AB696" s="247"/>
      <c r="AC696" s="247"/>
      <c r="AD696" s="247"/>
      <c r="AE696" s="247"/>
      <c r="AF696" s="247"/>
      <c r="AG696" s="247"/>
    </row>
    <row r="697" ht="15.75" customHeight="1">
      <c r="A697" s="247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247"/>
      <c r="AA697" s="247"/>
      <c r="AB697" s="247"/>
      <c r="AC697" s="247"/>
      <c r="AD697" s="247"/>
      <c r="AE697" s="247"/>
      <c r="AF697" s="247"/>
      <c r="AG697" s="247"/>
    </row>
    <row r="698" ht="15.75" customHeight="1">
      <c r="A698" s="247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247"/>
      <c r="AA698" s="247"/>
      <c r="AB698" s="247"/>
      <c r="AC698" s="247"/>
      <c r="AD698" s="247"/>
      <c r="AE698" s="247"/>
      <c r="AF698" s="247"/>
      <c r="AG698" s="247"/>
    </row>
    <row r="699" ht="15.75" customHeight="1">
      <c r="A699" s="247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247"/>
      <c r="AA699" s="247"/>
      <c r="AB699" s="247"/>
      <c r="AC699" s="247"/>
      <c r="AD699" s="247"/>
      <c r="AE699" s="247"/>
      <c r="AF699" s="247"/>
      <c r="AG699" s="247"/>
    </row>
    <row r="700" ht="15.75" customHeight="1">
      <c r="A700" s="247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247"/>
      <c r="AA700" s="247"/>
      <c r="AB700" s="247"/>
      <c r="AC700" s="247"/>
      <c r="AD700" s="247"/>
      <c r="AE700" s="247"/>
      <c r="AF700" s="247"/>
      <c r="AG700" s="247"/>
    </row>
    <row r="701" ht="15.75" customHeight="1">
      <c r="A701" s="247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247"/>
      <c r="AA701" s="247"/>
      <c r="AB701" s="247"/>
      <c r="AC701" s="247"/>
      <c r="AD701" s="247"/>
      <c r="AE701" s="247"/>
      <c r="AF701" s="247"/>
      <c r="AG701" s="247"/>
    </row>
    <row r="702" ht="15.75" customHeight="1">
      <c r="A702" s="247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247"/>
      <c r="AA702" s="247"/>
      <c r="AB702" s="247"/>
      <c r="AC702" s="247"/>
      <c r="AD702" s="247"/>
      <c r="AE702" s="247"/>
      <c r="AF702" s="247"/>
      <c r="AG702" s="247"/>
    </row>
    <row r="703" ht="15.75" customHeight="1">
      <c r="A703" s="247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247"/>
      <c r="AA703" s="247"/>
      <c r="AB703" s="247"/>
      <c r="AC703" s="247"/>
      <c r="AD703" s="247"/>
      <c r="AE703" s="247"/>
      <c r="AF703" s="247"/>
      <c r="AG703" s="247"/>
    </row>
    <row r="704" ht="15.75" customHeight="1">
      <c r="A704" s="247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247"/>
      <c r="AA704" s="247"/>
      <c r="AB704" s="247"/>
      <c r="AC704" s="247"/>
      <c r="AD704" s="247"/>
      <c r="AE704" s="247"/>
      <c r="AF704" s="247"/>
      <c r="AG704" s="247"/>
    </row>
    <row r="705" ht="15.75" customHeight="1">
      <c r="A705" s="247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247"/>
      <c r="AA705" s="247"/>
      <c r="AB705" s="247"/>
      <c r="AC705" s="247"/>
      <c r="AD705" s="247"/>
      <c r="AE705" s="247"/>
      <c r="AF705" s="247"/>
      <c r="AG705" s="247"/>
    </row>
    <row r="706" ht="15.75" customHeight="1">
      <c r="A706" s="247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247"/>
      <c r="AA706" s="247"/>
      <c r="AB706" s="247"/>
      <c r="AC706" s="247"/>
      <c r="AD706" s="247"/>
      <c r="AE706" s="247"/>
      <c r="AF706" s="247"/>
      <c r="AG706" s="247"/>
    </row>
    <row r="707" ht="15.75" customHeight="1">
      <c r="A707" s="247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247"/>
      <c r="AA707" s="247"/>
      <c r="AB707" s="247"/>
      <c r="AC707" s="247"/>
      <c r="AD707" s="247"/>
      <c r="AE707" s="247"/>
      <c r="AF707" s="247"/>
      <c r="AG707" s="247"/>
    </row>
    <row r="708" ht="15.75" customHeight="1">
      <c r="A708" s="247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7"/>
      <c r="AA708" s="247"/>
      <c r="AB708" s="247"/>
      <c r="AC708" s="247"/>
      <c r="AD708" s="247"/>
      <c r="AE708" s="247"/>
      <c r="AF708" s="247"/>
      <c r="AG708" s="247"/>
    </row>
    <row r="709" ht="15.75" customHeight="1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7"/>
      <c r="AA709" s="247"/>
      <c r="AB709" s="247"/>
      <c r="AC709" s="247"/>
      <c r="AD709" s="247"/>
      <c r="AE709" s="247"/>
      <c r="AF709" s="247"/>
      <c r="AG709" s="247"/>
    </row>
    <row r="710" ht="15.75" customHeight="1">
      <c r="A710" s="247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247"/>
      <c r="AA710" s="247"/>
      <c r="AB710" s="247"/>
      <c r="AC710" s="247"/>
      <c r="AD710" s="247"/>
      <c r="AE710" s="247"/>
      <c r="AF710" s="247"/>
      <c r="AG710" s="247"/>
    </row>
    <row r="711" ht="15.75" customHeight="1">
      <c r="A711" s="247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247"/>
      <c r="AA711" s="247"/>
      <c r="AB711" s="247"/>
      <c r="AC711" s="247"/>
      <c r="AD711" s="247"/>
      <c r="AE711" s="247"/>
      <c r="AF711" s="247"/>
      <c r="AG711" s="247"/>
    </row>
    <row r="712" ht="15.75" customHeight="1">
      <c r="A712" s="247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7"/>
      <c r="AA712" s="247"/>
      <c r="AB712" s="247"/>
      <c r="AC712" s="247"/>
      <c r="AD712" s="247"/>
      <c r="AE712" s="247"/>
      <c r="AF712" s="247"/>
      <c r="AG712" s="247"/>
    </row>
    <row r="713" ht="15.75" customHeight="1">
      <c r="A713" s="247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7"/>
      <c r="AA713" s="247"/>
      <c r="AB713" s="247"/>
      <c r="AC713" s="247"/>
      <c r="AD713" s="247"/>
      <c r="AE713" s="247"/>
      <c r="AF713" s="247"/>
      <c r="AG713" s="247"/>
    </row>
    <row r="714" ht="15.75" customHeight="1">
      <c r="A714" s="247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7"/>
      <c r="AA714" s="247"/>
      <c r="AB714" s="247"/>
      <c r="AC714" s="247"/>
      <c r="AD714" s="247"/>
      <c r="AE714" s="247"/>
      <c r="AF714" s="247"/>
      <c r="AG714" s="247"/>
    </row>
    <row r="715" ht="15.75" customHeight="1">
      <c r="A715" s="247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7"/>
      <c r="AA715" s="247"/>
      <c r="AB715" s="247"/>
      <c r="AC715" s="247"/>
      <c r="AD715" s="247"/>
      <c r="AE715" s="247"/>
      <c r="AF715" s="247"/>
      <c r="AG715" s="247"/>
    </row>
    <row r="716" ht="15.75" customHeight="1">
      <c r="A716" s="247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7"/>
      <c r="AA716" s="247"/>
      <c r="AB716" s="247"/>
      <c r="AC716" s="247"/>
      <c r="AD716" s="247"/>
      <c r="AE716" s="247"/>
      <c r="AF716" s="247"/>
      <c r="AG716" s="247"/>
    </row>
    <row r="717" ht="15.75" customHeight="1">
      <c r="A717" s="247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7"/>
      <c r="AA717" s="247"/>
      <c r="AB717" s="247"/>
      <c r="AC717" s="247"/>
      <c r="AD717" s="247"/>
      <c r="AE717" s="247"/>
      <c r="AF717" s="247"/>
      <c r="AG717" s="247"/>
    </row>
    <row r="718" ht="15.75" customHeight="1">
      <c r="A718" s="247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7"/>
      <c r="AA718" s="247"/>
      <c r="AB718" s="247"/>
      <c r="AC718" s="247"/>
      <c r="AD718" s="247"/>
      <c r="AE718" s="247"/>
      <c r="AF718" s="247"/>
      <c r="AG718" s="247"/>
    </row>
    <row r="719" ht="15.75" customHeight="1">
      <c r="A719" s="247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7"/>
      <c r="AA719" s="247"/>
      <c r="AB719" s="247"/>
      <c r="AC719" s="247"/>
      <c r="AD719" s="247"/>
      <c r="AE719" s="247"/>
      <c r="AF719" s="247"/>
      <c r="AG719" s="247"/>
    </row>
    <row r="720" ht="15.75" customHeight="1">
      <c r="A720" s="247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7"/>
      <c r="AA720" s="247"/>
      <c r="AB720" s="247"/>
      <c r="AC720" s="247"/>
      <c r="AD720" s="247"/>
      <c r="AE720" s="247"/>
      <c r="AF720" s="247"/>
      <c r="AG720" s="247"/>
    </row>
    <row r="721" ht="15.75" customHeight="1">
      <c r="A721" s="247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7"/>
      <c r="AA721" s="247"/>
      <c r="AB721" s="247"/>
      <c r="AC721" s="247"/>
      <c r="AD721" s="247"/>
      <c r="AE721" s="247"/>
      <c r="AF721" s="247"/>
      <c r="AG721" s="247"/>
    </row>
    <row r="722" ht="15.75" customHeight="1">
      <c r="A722" s="247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7"/>
      <c r="AA722" s="247"/>
      <c r="AB722" s="247"/>
      <c r="AC722" s="247"/>
      <c r="AD722" s="247"/>
      <c r="AE722" s="247"/>
      <c r="AF722" s="247"/>
      <c r="AG722" s="247"/>
    </row>
    <row r="723" ht="15.75" customHeight="1">
      <c r="A723" s="247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7"/>
      <c r="AA723" s="247"/>
      <c r="AB723" s="247"/>
      <c r="AC723" s="247"/>
      <c r="AD723" s="247"/>
      <c r="AE723" s="247"/>
      <c r="AF723" s="247"/>
      <c r="AG723" s="247"/>
    </row>
    <row r="724" ht="15.75" customHeight="1">
      <c r="A724" s="247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7"/>
      <c r="AA724" s="247"/>
      <c r="AB724" s="247"/>
      <c r="AC724" s="247"/>
      <c r="AD724" s="247"/>
      <c r="AE724" s="247"/>
      <c r="AF724" s="247"/>
      <c r="AG724" s="247"/>
    </row>
    <row r="725" ht="15.75" customHeight="1">
      <c r="A725" s="247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7"/>
      <c r="AA725" s="247"/>
      <c r="AB725" s="247"/>
      <c r="AC725" s="247"/>
      <c r="AD725" s="247"/>
      <c r="AE725" s="247"/>
      <c r="AF725" s="247"/>
      <c r="AG725" s="247"/>
    </row>
    <row r="726" ht="15.75" customHeight="1">
      <c r="A726" s="247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7"/>
      <c r="AA726" s="247"/>
      <c r="AB726" s="247"/>
      <c r="AC726" s="247"/>
      <c r="AD726" s="247"/>
      <c r="AE726" s="247"/>
      <c r="AF726" s="247"/>
      <c r="AG726" s="247"/>
    </row>
    <row r="727" ht="15.75" customHeight="1">
      <c r="A727" s="247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7"/>
      <c r="AA727" s="247"/>
      <c r="AB727" s="247"/>
      <c r="AC727" s="247"/>
      <c r="AD727" s="247"/>
      <c r="AE727" s="247"/>
      <c r="AF727" s="247"/>
      <c r="AG727" s="247"/>
    </row>
    <row r="728" ht="15.75" customHeight="1">
      <c r="A728" s="247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7"/>
      <c r="AA728" s="247"/>
      <c r="AB728" s="247"/>
      <c r="AC728" s="247"/>
      <c r="AD728" s="247"/>
      <c r="AE728" s="247"/>
      <c r="AF728" s="247"/>
      <c r="AG728" s="247"/>
    </row>
    <row r="729" ht="15.75" customHeight="1">
      <c r="A729" s="247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7"/>
      <c r="AA729" s="247"/>
      <c r="AB729" s="247"/>
      <c r="AC729" s="247"/>
      <c r="AD729" s="247"/>
      <c r="AE729" s="247"/>
      <c r="AF729" s="247"/>
      <c r="AG729" s="247"/>
    </row>
    <row r="730" ht="15.75" customHeight="1">
      <c r="A730" s="247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  <c r="AA730" s="247"/>
      <c r="AB730" s="247"/>
      <c r="AC730" s="247"/>
      <c r="AD730" s="247"/>
      <c r="AE730" s="247"/>
      <c r="AF730" s="247"/>
      <c r="AG730" s="247"/>
    </row>
    <row r="731" ht="15.75" customHeight="1">
      <c r="A731" s="247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7"/>
      <c r="AA731" s="247"/>
      <c r="AB731" s="247"/>
      <c r="AC731" s="247"/>
      <c r="AD731" s="247"/>
      <c r="AE731" s="247"/>
      <c r="AF731" s="247"/>
      <c r="AG731" s="247"/>
    </row>
    <row r="732" ht="15.75" customHeight="1">
      <c r="A732" s="247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7"/>
      <c r="AA732" s="247"/>
      <c r="AB732" s="247"/>
      <c r="AC732" s="247"/>
      <c r="AD732" s="247"/>
      <c r="AE732" s="247"/>
      <c r="AF732" s="247"/>
      <c r="AG732" s="247"/>
    </row>
    <row r="733" ht="15.75" customHeight="1">
      <c r="A733" s="247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7"/>
      <c r="AA733" s="247"/>
      <c r="AB733" s="247"/>
      <c r="AC733" s="247"/>
      <c r="AD733" s="247"/>
      <c r="AE733" s="247"/>
      <c r="AF733" s="247"/>
      <c r="AG733" s="247"/>
    </row>
    <row r="734" ht="15.75" customHeight="1">
      <c r="A734" s="247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7"/>
      <c r="AA734" s="247"/>
      <c r="AB734" s="247"/>
      <c r="AC734" s="247"/>
      <c r="AD734" s="247"/>
      <c r="AE734" s="247"/>
      <c r="AF734" s="247"/>
      <c r="AG734" s="247"/>
    </row>
    <row r="735" ht="15.75" customHeight="1">
      <c r="A735" s="247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247"/>
      <c r="AA735" s="247"/>
      <c r="AB735" s="247"/>
      <c r="AC735" s="247"/>
      <c r="AD735" s="247"/>
      <c r="AE735" s="247"/>
      <c r="AF735" s="247"/>
      <c r="AG735" s="247"/>
    </row>
    <row r="736" ht="15.75" customHeight="1">
      <c r="A736" s="247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247"/>
      <c r="AA736" s="247"/>
      <c r="AB736" s="247"/>
      <c r="AC736" s="247"/>
      <c r="AD736" s="247"/>
      <c r="AE736" s="247"/>
      <c r="AF736" s="247"/>
      <c r="AG736" s="247"/>
    </row>
    <row r="737" ht="15.75" customHeight="1">
      <c r="A737" s="247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247"/>
      <c r="AA737" s="247"/>
      <c r="AB737" s="247"/>
      <c r="AC737" s="247"/>
      <c r="AD737" s="247"/>
      <c r="AE737" s="247"/>
      <c r="AF737" s="247"/>
      <c r="AG737" s="247"/>
    </row>
    <row r="738" ht="15.75" customHeight="1">
      <c r="A738" s="247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247"/>
      <c r="AA738" s="247"/>
      <c r="AB738" s="247"/>
      <c r="AC738" s="247"/>
      <c r="AD738" s="247"/>
      <c r="AE738" s="247"/>
      <c r="AF738" s="247"/>
      <c r="AG738" s="247"/>
    </row>
    <row r="739" ht="15.75" customHeight="1">
      <c r="A739" s="247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247"/>
      <c r="AA739" s="247"/>
      <c r="AB739" s="247"/>
      <c r="AC739" s="247"/>
      <c r="AD739" s="247"/>
      <c r="AE739" s="247"/>
      <c r="AF739" s="247"/>
      <c r="AG739" s="247"/>
    </row>
    <row r="740" ht="15.75" customHeight="1">
      <c r="A740" s="247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247"/>
      <c r="AA740" s="247"/>
      <c r="AB740" s="247"/>
      <c r="AC740" s="247"/>
      <c r="AD740" s="247"/>
      <c r="AE740" s="247"/>
      <c r="AF740" s="247"/>
      <c r="AG740" s="247"/>
    </row>
    <row r="741" ht="15.75" customHeight="1">
      <c r="A741" s="247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247"/>
      <c r="AA741" s="247"/>
      <c r="AB741" s="247"/>
      <c r="AC741" s="247"/>
      <c r="AD741" s="247"/>
      <c r="AE741" s="247"/>
      <c r="AF741" s="247"/>
      <c r="AG741" s="247"/>
    </row>
    <row r="742" ht="15.75" customHeight="1">
      <c r="A742" s="247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247"/>
      <c r="AA742" s="247"/>
      <c r="AB742" s="247"/>
      <c r="AC742" s="247"/>
      <c r="AD742" s="247"/>
      <c r="AE742" s="247"/>
      <c r="AF742" s="247"/>
      <c r="AG742" s="247"/>
    </row>
    <row r="743" ht="15.75" customHeight="1">
      <c r="A743" s="247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247"/>
      <c r="AA743" s="247"/>
      <c r="AB743" s="247"/>
      <c r="AC743" s="247"/>
      <c r="AD743" s="247"/>
      <c r="AE743" s="247"/>
      <c r="AF743" s="247"/>
      <c r="AG743" s="247"/>
    </row>
    <row r="744" ht="15.75" customHeight="1">
      <c r="A744" s="247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247"/>
      <c r="AA744" s="247"/>
      <c r="AB744" s="247"/>
      <c r="AC744" s="247"/>
      <c r="AD744" s="247"/>
      <c r="AE744" s="247"/>
      <c r="AF744" s="247"/>
      <c r="AG744" s="247"/>
    </row>
    <row r="745" ht="15.75" customHeight="1">
      <c r="A745" s="247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247"/>
      <c r="AA745" s="247"/>
      <c r="AB745" s="247"/>
      <c r="AC745" s="247"/>
      <c r="AD745" s="247"/>
      <c r="AE745" s="247"/>
      <c r="AF745" s="247"/>
      <c r="AG745" s="247"/>
    </row>
    <row r="746" ht="15.75" customHeight="1">
      <c r="A746" s="247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247"/>
      <c r="AA746" s="247"/>
      <c r="AB746" s="247"/>
      <c r="AC746" s="247"/>
      <c r="AD746" s="247"/>
      <c r="AE746" s="247"/>
      <c r="AF746" s="247"/>
      <c r="AG746" s="247"/>
    </row>
    <row r="747" ht="15.75" customHeight="1">
      <c r="A747" s="247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247"/>
      <c r="AA747" s="247"/>
      <c r="AB747" s="247"/>
      <c r="AC747" s="247"/>
      <c r="AD747" s="247"/>
      <c r="AE747" s="247"/>
      <c r="AF747" s="247"/>
      <c r="AG747" s="247"/>
    </row>
    <row r="748" ht="15.75" customHeight="1">
      <c r="A748" s="247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7"/>
      <c r="AA748" s="247"/>
      <c r="AB748" s="247"/>
      <c r="AC748" s="247"/>
      <c r="AD748" s="247"/>
      <c r="AE748" s="247"/>
      <c r="AF748" s="247"/>
      <c r="AG748" s="247"/>
    </row>
    <row r="749" ht="15.75" customHeight="1">
      <c r="A749" s="247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7"/>
      <c r="AA749" s="247"/>
      <c r="AB749" s="247"/>
      <c r="AC749" s="247"/>
      <c r="AD749" s="247"/>
      <c r="AE749" s="247"/>
      <c r="AF749" s="247"/>
      <c r="AG749" s="247"/>
    </row>
    <row r="750" ht="15.75" customHeight="1">
      <c r="A750" s="247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7"/>
      <c r="AA750" s="247"/>
      <c r="AB750" s="247"/>
      <c r="AC750" s="247"/>
      <c r="AD750" s="247"/>
      <c r="AE750" s="247"/>
      <c r="AF750" s="247"/>
      <c r="AG750" s="247"/>
    </row>
    <row r="751" ht="15.75" customHeight="1">
      <c r="A751" s="247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7"/>
      <c r="AA751" s="247"/>
      <c r="AB751" s="247"/>
      <c r="AC751" s="247"/>
      <c r="AD751" s="247"/>
      <c r="AE751" s="247"/>
      <c r="AF751" s="247"/>
      <c r="AG751" s="247"/>
    </row>
    <row r="752" ht="15.75" customHeight="1">
      <c r="A752" s="247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7"/>
      <c r="AA752" s="247"/>
      <c r="AB752" s="247"/>
      <c r="AC752" s="247"/>
      <c r="AD752" s="247"/>
      <c r="AE752" s="247"/>
      <c r="AF752" s="247"/>
      <c r="AG752" s="247"/>
    </row>
    <row r="753" ht="15.75" customHeight="1">
      <c r="A753" s="247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7"/>
      <c r="AA753" s="247"/>
      <c r="AB753" s="247"/>
      <c r="AC753" s="247"/>
      <c r="AD753" s="247"/>
      <c r="AE753" s="247"/>
      <c r="AF753" s="247"/>
      <c r="AG753" s="247"/>
    </row>
    <row r="754" ht="15.75" customHeight="1">
      <c r="A754" s="247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7"/>
      <c r="AA754" s="247"/>
      <c r="AB754" s="247"/>
      <c r="AC754" s="247"/>
      <c r="AD754" s="247"/>
      <c r="AE754" s="247"/>
      <c r="AF754" s="247"/>
      <c r="AG754" s="247"/>
    </row>
    <row r="755" ht="15.75" customHeight="1">
      <c r="A755" s="247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  <c r="AA755" s="247"/>
      <c r="AB755" s="247"/>
      <c r="AC755" s="247"/>
      <c r="AD755" s="247"/>
      <c r="AE755" s="247"/>
      <c r="AF755" s="247"/>
      <c r="AG755" s="247"/>
    </row>
    <row r="756" ht="15.75" customHeight="1">
      <c r="A756" s="247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7"/>
      <c r="AA756" s="247"/>
      <c r="AB756" s="247"/>
      <c r="AC756" s="247"/>
      <c r="AD756" s="247"/>
      <c r="AE756" s="247"/>
      <c r="AF756" s="247"/>
      <c r="AG756" s="247"/>
    </row>
    <row r="757" ht="15.75" customHeight="1">
      <c r="A757" s="247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7"/>
      <c r="AA757" s="247"/>
      <c r="AB757" s="247"/>
      <c r="AC757" s="247"/>
      <c r="AD757" s="247"/>
      <c r="AE757" s="247"/>
      <c r="AF757" s="247"/>
      <c r="AG757" s="247"/>
    </row>
    <row r="758" ht="15.75" customHeight="1">
      <c r="A758" s="247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7"/>
      <c r="AA758" s="247"/>
      <c r="AB758" s="247"/>
      <c r="AC758" s="247"/>
      <c r="AD758" s="247"/>
      <c r="AE758" s="247"/>
      <c r="AF758" s="247"/>
      <c r="AG758" s="247"/>
    </row>
    <row r="759" ht="15.75" customHeight="1">
      <c r="A759" s="247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7"/>
      <c r="AA759" s="247"/>
      <c r="AB759" s="247"/>
      <c r="AC759" s="247"/>
      <c r="AD759" s="247"/>
      <c r="AE759" s="247"/>
      <c r="AF759" s="247"/>
      <c r="AG759" s="247"/>
    </row>
    <row r="760" ht="15.75" customHeight="1">
      <c r="A760" s="247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7"/>
      <c r="AA760" s="247"/>
      <c r="AB760" s="247"/>
      <c r="AC760" s="247"/>
      <c r="AD760" s="247"/>
      <c r="AE760" s="247"/>
      <c r="AF760" s="247"/>
      <c r="AG760" s="247"/>
    </row>
    <row r="761" ht="15.75" customHeight="1">
      <c r="A761" s="247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7"/>
      <c r="AA761" s="247"/>
      <c r="AB761" s="247"/>
      <c r="AC761" s="247"/>
      <c r="AD761" s="247"/>
      <c r="AE761" s="247"/>
      <c r="AF761" s="247"/>
      <c r="AG761" s="247"/>
    </row>
    <row r="762" ht="15.75" customHeight="1">
      <c r="A762" s="247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7"/>
      <c r="AA762" s="247"/>
      <c r="AB762" s="247"/>
      <c r="AC762" s="247"/>
      <c r="AD762" s="247"/>
      <c r="AE762" s="247"/>
      <c r="AF762" s="247"/>
      <c r="AG762" s="247"/>
    </row>
    <row r="763" ht="15.75" customHeight="1">
      <c r="A763" s="247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7"/>
      <c r="AA763" s="247"/>
      <c r="AB763" s="247"/>
      <c r="AC763" s="247"/>
      <c r="AD763" s="247"/>
      <c r="AE763" s="247"/>
      <c r="AF763" s="247"/>
      <c r="AG763" s="247"/>
    </row>
    <row r="764" ht="15.75" customHeight="1">
      <c r="A764" s="247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7"/>
      <c r="AA764" s="247"/>
      <c r="AB764" s="247"/>
      <c r="AC764" s="247"/>
      <c r="AD764" s="247"/>
      <c r="AE764" s="247"/>
      <c r="AF764" s="247"/>
      <c r="AG764" s="247"/>
    </row>
    <row r="765" ht="15.75" customHeight="1">
      <c r="A765" s="247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7"/>
      <c r="AA765" s="247"/>
      <c r="AB765" s="247"/>
      <c r="AC765" s="247"/>
      <c r="AD765" s="247"/>
      <c r="AE765" s="247"/>
      <c r="AF765" s="247"/>
      <c r="AG765" s="247"/>
    </row>
    <row r="766" ht="15.75" customHeight="1">
      <c r="A766" s="247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7"/>
      <c r="AA766" s="247"/>
      <c r="AB766" s="247"/>
      <c r="AC766" s="247"/>
      <c r="AD766" s="247"/>
      <c r="AE766" s="247"/>
      <c r="AF766" s="247"/>
      <c r="AG766" s="247"/>
    </row>
    <row r="767" ht="15.75" customHeight="1">
      <c r="A767" s="247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7"/>
      <c r="AA767" s="247"/>
      <c r="AB767" s="247"/>
      <c r="AC767" s="247"/>
      <c r="AD767" s="247"/>
      <c r="AE767" s="247"/>
      <c r="AF767" s="247"/>
      <c r="AG767" s="247"/>
    </row>
    <row r="768" ht="15.75" customHeight="1">
      <c r="A768" s="247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7"/>
      <c r="AA768" s="247"/>
      <c r="AB768" s="247"/>
      <c r="AC768" s="247"/>
      <c r="AD768" s="247"/>
      <c r="AE768" s="247"/>
      <c r="AF768" s="247"/>
      <c r="AG768" s="247"/>
    </row>
    <row r="769" ht="15.75" customHeight="1">
      <c r="A769" s="247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7"/>
      <c r="AA769" s="247"/>
      <c r="AB769" s="247"/>
      <c r="AC769" s="247"/>
      <c r="AD769" s="247"/>
      <c r="AE769" s="247"/>
      <c r="AF769" s="247"/>
      <c r="AG769" s="247"/>
    </row>
    <row r="770" ht="15.75" customHeight="1">
      <c r="A770" s="247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7"/>
      <c r="AA770" s="247"/>
      <c r="AB770" s="247"/>
      <c r="AC770" s="247"/>
      <c r="AD770" s="247"/>
      <c r="AE770" s="247"/>
      <c r="AF770" s="247"/>
      <c r="AG770" s="247"/>
    </row>
    <row r="771" ht="15.75" customHeight="1">
      <c r="A771" s="247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7"/>
      <c r="AA771" s="247"/>
      <c r="AB771" s="247"/>
      <c r="AC771" s="247"/>
      <c r="AD771" s="247"/>
      <c r="AE771" s="247"/>
      <c r="AF771" s="247"/>
      <c r="AG771" s="247"/>
    </row>
    <row r="772" ht="15.75" customHeight="1">
      <c r="A772" s="247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7"/>
      <c r="AA772" s="247"/>
      <c r="AB772" s="247"/>
      <c r="AC772" s="247"/>
      <c r="AD772" s="247"/>
      <c r="AE772" s="247"/>
      <c r="AF772" s="247"/>
      <c r="AG772" s="247"/>
    </row>
    <row r="773" ht="15.75" customHeight="1">
      <c r="A773" s="247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7"/>
      <c r="AA773" s="247"/>
      <c r="AB773" s="247"/>
      <c r="AC773" s="247"/>
      <c r="AD773" s="247"/>
      <c r="AE773" s="247"/>
      <c r="AF773" s="247"/>
      <c r="AG773" s="247"/>
    </row>
    <row r="774" ht="15.75" customHeight="1">
      <c r="A774" s="247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7"/>
      <c r="AA774" s="247"/>
      <c r="AB774" s="247"/>
      <c r="AC774" s="247"/>
      <c r="AD774" s="247"/>
      <c r="AE774" s="247"/>
      <c r="AF774" s="247"/>
      <c r="AG774" s="247"/>
    </row>
    <row r="775" ht="15.75" customHeight="1">
      <c r="A775" s="247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7"/>
      <c r="AA775" s="247"/>
      <c r="AB775" s="247"/>
      <c r="AC775" s="247"/>
      <c r="AD775" s="247"/>
      <c r="AE775" s="247"/>
      <c r="AF775" s="247"/>
      <c r="AG775" s="247"/>
    </row>
    <row r="776" ht="15.75" customHeight="1">
      <c r="A776" s="247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7"/>
      <c r="AA776" s="247"/>
      <c r="AB776" s="247"/>
      <c r="AC776" s="247"/>
      <c r="AD776" s="247"/>
      <c r="AE776" s="247"/>
      <c r="AF776" s="247"/>
      <c r="AG776" s="247"/>
    </row>
    <row r="777" ht="15.75" customHeight="1">
      <c r="A777" s="247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7"/>
      <c r="AA777" s="247"/>
      <c r="AB777" s="247"/>
      <c r="AC777" s="247"/>
      <c r="AD777" s="247"/>
      <c r="AE777" s="247"/>
      <c r="AF777" s="247"/>
      <c r="AG777" s="247"/>
    </row>
    <row r="778" ht="15.75" customHeight="1">
      <c r="A778" s="247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247"/>
      <c r="AA778" s="247"/>
      <c r="AB778" s="247"/>
      <c r="AC778" s="247"/>
      <c r="AD778" s="247"/>
      <c r="AE778" s="247"/>
      <c r="AF778" s="247"/>
      <c r="AG778" s="247"/>
    </row>
    <row r="779" ht="15.75" customHeight="1">
      <c r="A779" s="247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247"/>
      <c r="AA779" s="247"/>
      <c r="AB779" s="247"/>
      <c r="AC779" s="247"/>
      <c r="AD779" s="247"/>
      <c r="AE779" s="247"/>
      <c r="AF779" s="247"/>
      <c r="AG779" s="247"/>
    </row>
    <row r="780" ht="15.75" customHeight="1">
      <c r="A780" s="247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247"/>
      <c r="AA780" s="247"/>
      <c r="AB780" s="247"/>
      <c r="AC780" s="247"/>
      <c r="AD780" s="247"/>
      <c r="AE780" s="247"/>
      <c r="AF780" s="247"/>
      <c r="AG780" s="247"/>
    </row>
    <row r="781" ht="15.75" customHeight="1">
      <c r="A781" s="247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247"/>
      <c r="AA781" s="247"/>
      <c r="AB781" s="247"/>
      <c r="AC781" s="247"/>
      <c r="AD781" s="247"/>
      <c r="AE781" s="247"/>
      <c r="AF781" s="247"/>
      <c r="AG781" s="247"/>
    </row>
    <row r="782" ht="15.75" customHeight="1">
      <c r="A782" s="247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247"/>
      <c r="AA782" s="247"/>
      <c r="AB782" s="247"/>
      <c r="AC782" s="247"/>
      <c r="AD782" s="247"/>
      <c r="AE782" s="247"/>
      <c r="AF782" s="247"/>
      <c r="AG782" s="247"/>
    </row>
    <row r="783" ht="15.75" customHeight="1">
      <c r="A783" s="247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247"/>
      <c r="AA783" s="247"/>
      <c r="AB783" s="247"/>
      <c r="AC783" s="247"/>
      <c r="AD783" s="247"/>
      <c r="AE783" s="247"/>
      <c r="AF783" s="247"/>
      <c r="AG783" s="247"/>
    </row>
    <row r="784" ht="15.75" customHeight="1">
      <c r="A784" s="247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7"/>
      <c r="AA784" s="247"/>
      <c r="AB784" s="247"/>
      <c r="AC784" s="247"/>
      <c r="AD784" s="247"/>
      <c r="AE784" s="247"/>
      <c r="AF784" s="247"/>
      <c r="AG784" s="247"/>
    </row>
    <row r="785" ht="15.75" customHeight="1">
      <c r="A785" s="247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7"/>
      <c r="AA785" s="247"/>
      <c r="AB785" s="247"/>
      <c r="AC785" s="247"/>
      <c r="AD785" s="247"/>
      <c r="AE785" s="247"/>
      <c r="AF785" s="247"/>
      <c r="AG785" s="247"/>
    </row>
    <row r="786" ht="15.75" customHeight="1">
      <c r="A786" s="247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247"/>
      <c r="AA786" s="247"/>
      <c r="AB786" s="247"/>
      <c r="AC786" s="247"/>
      <c r="AD786" s="247"/>
      <c r="AE786" s="247"/>
      <c r="AF786" s="247"/>
      <c r="AG786" s="247"/>
    </row>
    <row r="787" ht="15.75" customHeight="1">
      <c r="A787" s="247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247"/>
      <c r="AA787" s="247"/>
      <c r="AB787" s="247"/>
      <c r="AC787" s="247"/>
      <c r="AD787" s="247"/>
      <c r="AE787" s="247"/>
      <c r="AF787" s="247"/>
      <c r="AG787" s="247"/>
    </row>
    <row r="788" ht="15.75" customHeight="1">
      <c r="A788" s="247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247"/>
      <c r="AA788" s="247"/>
      <c r="AB788" s="247"/>
      <c r="AC788" s="247"/>
      <c r="AD788" s="247"/>
      <c r="AE788" s="247"/>
      <c r="AF788" s="247"/>
      <c r="AG788" s="247"/>
    </row>
    <row r="789" ht="15.75" customHeight="1">
      <c r="A789" s="247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247"/>
      <c r="AA789" s="247"/>
      <c r="AB789" s="247"/>
      <c r="AC789" s="247"/>
      <c r="AD789" s="247"/>
      <c r="AE789" s="247"/>
      <c r="AF789" s="247"/>
      <c r="AG789" s="247"/>
    </row>
    <row r="790" ht="15.75" customHeight="1">
      <c r="A790" s="247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247"/>
      <c r="AA790" s="247"/>
      <c r="AB790" s="247"/>
      <c r="AC790" s="247"/>
      <c r="AD790" s="247"/>
      <c r="AE790" s="247"/>
      <c r="AF790" s="247"/>
      <c r="AG790" s="247"/>
    </row>
    <row r="791" ht="15.75" customHeight="1">
      <c r="A791" s="247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247"/>
      <c r="AA791" s="247"/>
      <c r="AB791" s="247"/>
      <c r="AC791" s="247"/>
      <c r="AD791" s="247"/>
      <c r="AE791" s="247"/>
      <c r="AF791" s="247"/>
      <c r="AG791" s="247"/>
    </row>
    <row r="792" ht="15.75" customHeight="1">
      <c r="A792" s="247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247"/>
      <c r="AA792" s="247"/>
      <c r="AB792" s="247"/>
      <c r="AC792" s="247"/>
      <c r="AD792" s="247"/>
      <c r="AE792" s="247"/>
      <c r="AF792" s="247"/>
      <c r="AG792" s="247"/>
    </row>
    <row r="793" ht="15.75" customHeight="1">
      <c r="A793" s="247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7"/>
      <c r="AA793" s="247"/>
      <c r="AB793" s="247"/>
      <c r="AC793" s="247"/>
      <c r="AD793" s="247"/>
      <c r="AE793" s="247"/>
      <c r="AF793" s="247"/>
      <c r="AG793" s="247"/>
    </row>
    <row r="794" ht="15.75" customHeight="1">
      <c r="A794" s="247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7"/>
      <c r="AA794" s="247"/>
      <c r="AB794" s="247"/>
      <c r="AC794" s="247"/>
      <c r="AD794" s="247"/>
      <c r="AE794" s="247"/>
      <c r="AF794" s="247"/>
      <c r="AG794" s="247"/>
    </row>
    <row r="795" ht="15.75" customHeight="1">
      <c r="A795" s="247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247"/>
      <c r="AA795" s="247"/>
      <c r="AB795" s="247"/>
      <c r="AC795" s="247"/>
      <c r="AD795" s="247"/>
      <c r="AE795" s="247"/>
      <c r="AF795" s="247"/>
      <c r="AG795" s="247"/>
    </row>
    <row r="796" ht="15.75" customHeight="1">
      <c r="A796" s="247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247"/>
      <c r="AA796" s="247"/>
      <c r="AB796" s="247"/>
      <c r="AC796" s="247"/>
      <c r="AD796" s="247"/>
      <c r="AE796" s="247"/>
      <c r="AF796" s="247"/>
      <c r="AG796" s="247"/>
    </row>
    <row r="797" ht="15.75" customHeight="1">
      <c r="A797" s="247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7"/>
      <c r="AA797" s="247"/>
      <c r="AB797" s="247"/>
      <c r="AC797" s="247"/>
      <c r="AD797" s="247"/>
      <c r="AE797" s="247"/>
      <c r="AF797" s="247"/>
      <c r="AG797" s="247"/>
    </row>
    <row r="798" ht="15.75" customHeight="1">
      <c r="A798" s="247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7"/>
      <c r="AA798" s="247"/>
      <c r="AB798" s="247"/>
      <c r="AC798" s="247"/>
      <c r="AD798" s="247"/>
      <c r="AE798" s="247"/>
      <c r="AF798" s="247"/>
      <c r="AG798" s="247"/>
    </row>
    <row r="799" ht="15.75" customHeight="1">
      <c r="A799" s="247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247"/>
      <c r="AA799" s="247"/>
      <c r="AB799" s="247"/>
      <c r="AC799" s="247"/>
      <c r="AD799" s="247"/>
      <c r="AE799" s="247"/>
      <c r="AF799" s="247"/>
      <c r="AG799" s="247"/>
    </row>
    <row r="800" ht="15.75" customHeight="1">
      <c r="A800" s="247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247"/>
      <c r="AA800" s="247"/>
      <c r="AB800" s="247"/>
      <c r="AC800" s="247"/>
      <c r="AD800" s="247"/>
      <c r="AE800" s="247"/>
      <c r="AF800" s="247"/>
      <c r="AG800" s="247"/>
    </row>
    <row r="801" ht="15.75" customHeight="1">
      <c r="A801" s="247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247"/>
      <c r="AA801" s="247"/>
      <c r="AB801" s="247"/>
      <c r="AC801" s="247"/>
      <c r="AD801" s="247"/>
      <c r="AE801" s="247"/>
      <c r="AF801" s="247"/>
      <c r="AG801" s="247"/>
    </row>
    <row r="802" ht="15.75" customHeight="1">
      <c r="A802" s="247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247"/>
      <c r="AA802" s="247"/>
      <c r="AB802" s="247"/>
      <c r="AC802" s="247"/>
      <c r="AD802" s="247"/>
      <c r="AE802" s="247"/>
      <c r="AF802" s="247"/>
      <c r="AG802" s="247"/>
    </row>
    <row r="803" ht="15.75" customHeight="1">
      <c r="A803" s="247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7"/>
      <c r="AA803" s="247"/>
      <c r="AB803" s="247"/>
      <c r="AC803" s="247"/>
      <c r="AD803" s="247"/>
      <c r="AE803" s="247"/>
      <c r="AF803" s="247"/>
      <c r="AG803" s="247"/>
    </row>
    <row r="804" ht="15.75" customHeight="1">
      <c r="A804" s="247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7"/>
      <c r="AA804" s="247"/>
      <c r="AB804" s="247"/>
      <c r="AC804" s="247"/>
      <c r="AD804" s="247"/>
      <c r="AE804" s="247"/>
      <c r="AF804" s="247"/>
      <c r="AG804" s="247"/>
    </row>
    <row r="805" ht="15.75" customHeight="1">
      <c r="A805" s="247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7"/>
      <c r="AA805" s="247"/>
      <c r="AB805" s="247"/>
      <c r="AC805" s="247"/>
      <c r="AD805" s="247"/>
      <c r="AE805" s="247"/>
      <c r="AF805" s="247"/>
      <c r="AG805" s="247"/>
    </row>
    <row r="806" ht="15.75" customHeight="1">
      <c r="A806" s="247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7"/>
      <c r="AA806" s="247"/>
      <c r="AB806" s="247"/>
      <c r="AC806" s="247"/>
      <c r="AD806" s="247"/>
      <c r="AE806" s="247"/>
      <c r="AF806" s="247"/>
      <c r="AG806" s="247"/>
    </row>
    <row r="807" ht="15.75" customHeight="1">
      <c r="A807" s="247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247"/>
      <c r="AA807" s="247"/>
      <c r="AB807" s="247"/>
      <c r="AC807" s="247"/>
      <c r="AD807" s="247"/>
      <c r="AE807" s="247"/>
      <c r="AF807" s="247"/>
      <c r="AG807" s="247"/>
    </row>
    <row r="808" ht="15.75" customHeight="1">
      <c r="A808" s="247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247"/>
      <c r="AA808" s="247"/>
      <c r="AB808" s="247"/>
      <c r="AC808" s="247"/>
      <c r="AD808" s="247"/>
      <c r="AE808" s="247"/>
      <c r="AF808" s="247"/>
      <c r="AG808" s="247"/>
    </row>
    <row r="809" ht="15.75" customHeight="1">
      <c r="A809" s="247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247"/>
      <c r="AA809" s="247"/>
      <c r="AB809" s="247"/>
      <c r="AC809" s="247"/>
      <c r="AD809" s="247"/>
      <c r="AE809" s="247"/>
      <c r="AF809" s="247"/>
      <c r="AG809" s="247"/>
    </row>
    <row r="810" ht="15.75" customHeight="1">
      <c r="A810" s="247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247"/>
      <c r="AA810" s="247"/>
      <c r="AB810" s="247"/>
      <c r="AC810" s="247"/>
      <c r="AD810" s="247"/>
      <c r="AE810" s="247"/>
      <c r="AF810" s="247"/>
      <c r="AG810" s="247"/>
    </row>
    <row r="811" ht="15.75" customHeight="1">
      <c r="A811" s="247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247"/>
      <c r="AA811" s="247"/>
      <c r="AB811" s="247"/>
      <c r="AC811" s="247"/>
      <c r="AD811" s="247"/>
      <c r="AE811" s="247"/>
      <c r="AF811" s="247"/>
      <c r="AG811" s="247"/>
    </row>
    <row r="812" ht="15.75" customHeight="1">
      <c r="A812" s="247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247"/>
      <c r="AA812" s="247"/>
      <c r="AB812" s="247"/>
      <c r="AC812" s="247"/>
      <c r="AD812" s="247"/>
      <c r="AE812" s="247"/>
      <c r="AF812" s="247"/>
      <c r="AG812" s="247"/>
    </row>
    <row r="813" ht="15.75" customHeight="1">
      <c r="A813" s="247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247"/>
      <c r="AA813" s="247"/>
      <c r="AB813" s="247"/>
      <c r="AC813" s="247"/>
      <c r="AD813" s="247"/>
      <c r="AE813" s="247"/>
      <c r="AF813" s="247"/>
      <c r="AG813" s="247"/>
    </row>
    <row r="814" ht="15.75" customHeight="1">
      <c r="A814" s="247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247"/>
      <c r="AA814" s="247"/>
      <c r="AB814" s="247"/>
      <c r="AC814" s="247"/>
      <c r="AD814" s="247"/>
      <c r="AE814" s="247"/>
      <c r="AF814" s="247"/>
      <c r="AG814" s="247"/>
    </row>
    <row r="815" ht="15.75" customHeight="1">
      <c r="A815" s="247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7"/>
      <c r="AA815" s="247"/>
      <c r="AB815" s="247"/>
      <c r="AC815" s="247"/>
      <c r="AD815" s="247"/>
      <c r="AE815" s="247"/>
      <c r="AF815" s="247"/>
      <c r="AG815" s="247"/>
    </row>
    <row r="816" ht="15.75" customHeight="1">
      <c r="A816" s="247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7"/>
      <c r="AA816" s="247"/>
      <c r="AB816" s="247"/>
      <c r="AC816" s="247"/>
      <c r="AD816" s="247"/>
      <c r="AE816" s="247"/>
      <c r="AF816" s="247"/>
      <c r="AG816" s="247"/>
    </row>
    <row r="817" ht="15.75" customHeight="1">
      <c r="A817" s="247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7"/>
      <c r="AA817" s="247"/>
      <c r="AB817" s="247"/>
      <c r="AC817" s="247"/>
      <c r="AD817" s="247"/>
      <c r="AE817" s="247"/>
      <c r="AF817" s="247"/>
      <c r="AG817" s="247"/>
    </row>
    <row r="818" ht="15.75" customHeight="1">
      <c r="A818" s="247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7"/>
      <c r="AA818" s="247"/>
      <c r="AB818" s="247"/>
      <c r="AC818" s="247"/>
      <c r="AD818" s="247"/>
      <c r="AE818" s="247"/>
      <c r="AF818" s="247"/>
      <c r="AG818" s="247"/>
    </row>
    <row r="819" ht="15.75" customHeight="1">
      <c r="A819" s="247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7"/>
      <c r="AA819" s="247"/>
      <c r="AB819" s="247"/>
      <c r="AC819" s="247"/>
      <c r="AD819" s="247"/>
      <c r="AE819" s="247"/>
      <c r="AF819" s="247"/>
      <c r="AG819" s="247"/>
    </row>
    <row r="820" ht="15.75" customHeight="1">
      <c r="A820" s="247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247"/>
      <c r="AA820" s="247"/>
      <c r="AB820" s="247"/>
      <c r="AC820" s="247"/>
      <c r="AD820" s="247"/>
      <c r="AE820" s="247"/>
      <c r="AF820" s="247"/>
      <c r="AG820" s="247"/>
    </row>
    <row r="821" ht="15.75" customHeight="1">
      <c r="A821" s="247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7"/>
      <c r="AA821" s="247"/>
      <c r="AB821" s="247"/>
      <c r="AC821" s="247"/>
      <c r="AD821" s="247"/>
      <c r="AE821" s="247"/>
      <c r="AF821" s="247"/>
      <c r="AG821" s="247"/>
    </row>
    <row r="822" ht="15.75" customHeight="1">
      <c r="A822" s="247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7"/>
      <c r="AA822" s="247"/>
      <c r="AB822" s="247"/>
      <c r="AC822" s="247"/>
      <c r="AD822" s="247"/>
      <c r="AE822" s="247"/>
      <c r="AF822" s="247"/>
      <c r="AG822" s="247"/>
    </row>
    <row r="823" ht="15.75" customHeight="1">
      <c r="A823" s="247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  <c r="AA823" s="247"/>
      <c r="AB823" s="247"/>
      <c r="AC823" s="247"/>
      <c r="AD823" s="247"/>
      <c r="AE823" s="247"/>
      <c r="AF823" s="247"/>
      <c r="AG823" s="247"/>
    </row>
    <row r="824" ht="15.75" customHeight="1">
      <c r="A824" s="247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7"/>
      <c r="AA824" s="247"/>
      <c r="AB824" s="247"/>
      <c r="AC824" s="247"/>
      <c r="AD824" s="247"/>
      <c r="AE824" s="247"/>
      <c r="AF824" s="247"/>
      <c r="AG824" s="247"/>
    </row>
    <row r="825" ht="15.75" customHeight="1">
      <c r="A825" s="247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247"/>
      <c r="AA825" s="247"/>
      <c r="AB825" s="247"/>
      <c r="AC825" s="247"/>
      <c r="AD825" s="247"/>
      <c r="AE825" s="247"/>
      <c r="AF825" s="247"/>
      <c r="AG825" s="247"/>
    </row>
    <row r="826" ht="15.75" customHeight="1">
      <c r="A826" s="247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247"/>
      <c r="AA826" s="247"/>
      <c r="AB826" s="247"/>
      <c r="AC826" s="247"/>
      <c r="AD826" s="247"/>
      <c r="AE826" s="247"/>
      <c r="AF826" s="247"/>
      <c r="AG826" s="247"/>
    </row>
    <row r="827" ht="15.75" customHeight="1">
      <c r="A827" s="247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247"/>
      <c r="AA827" s="247"/>
      <c r="AB827" s="247"/>
      <c r="AC827" s="247"/>
      <c r="AD827" s="247"/>
      <c r="AE827" s="247"/>
      <c r="AF827" s="247"/>
      <c r="AG827" s="247"/>
    </row>
    <row r="828" ht="15.75" customHeight="1">
      <c r="A828" s="247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247"/>
      <c r="AA828" s="247"/>
      <c r="AB828" s="247"/>
      <c r="AC828" s="247"/>
      <c r="AD828" s="247"/>
      <c r="AE828" s="247"/>
      <c r="AF828" s="247"/>
      <c r="AG828" s="247"/>
    </row>
    <row r="829" ht="15.75" customHeight="1">
      <c r="A829" s="247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7"/>
      <c r="AA829" s="247"/>
      <c r="AB829" s="247"/>
      <c r="AC829" s="247"/>
      <c r="AD829" s="247"/>
      <c r="AE829" s="247"/>
      <c r="AF829" s="247"/>
      <c r="AG829" s="247"/>
    </row>
    <row r="830" ht="15.75" customHeight="1">
      <c r="A830" s="247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7"/>
      <c r="AA830" s="247"/>
      <c r="AB830" s="247"/>
      <c r="AC830" s="247"/>
      <c r="AD830" s="247"/>
      <c r="AE830" s="247"/>
      <c r="AF830" s="247"/>
      <c r="AG830" s="247"/>
    </row>
    <row r="831" ht="15.75" customHeight="1">
      <c r="A831" s="247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7"/>
      <c r="AA831" s="247"/>
      <c r="AB831" s="247"/>
      <c r="AC831" s="247"/>
      <c r="AD831" s="247"/>
      <c r="AE831" s="247"/>
      <c r="AF831" s="247"/>
      <c r="AG831" s="247"/>
    </row>
    <row r="832" ht="15.75" customHeight="1">
      <c r="A832" s="247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7"/>
      <c r="AA832" s="247"/>
      <c r="AB832" s="247"/>
      <c r="AC832" s="247"/>
      <c r="AD832" s="247"/>
      <c r="AE832" s="247"/>
      <c r="AF832" s="247"/>
      <c r="AG832" s="247"/>
    </row>
    <row r="833" ht="15.75" customHeight="1">
      <c r="A833" s="247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247"/>
      <c r="AA833" s="247"/>
      <c r="AB833" s="247"/>
      <c r="AC833" s="247"/>
      <c r="AD833" s="247"/>
      <c r="AE833" s="247"/>
      <c r="AF833" s="247"/>
      <c r="AG833" s="247"/>
    </row>
    <row r="834" ht="15.75" customHeight="1">
      <c r="A834" s="247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247"/>
      <c r="AA834" s="247"/>
      <c r="AB834" s="247"/>
      <c r="AC834" s="247"/>
      <c r="AD834" s="247"/>
      <c r="AE834" s="247"/>
      <c r="AF834" s="247"/>
      <c r="AG834" s="247"/>
    </row>
    <row r="835" ht="15.75" customHeight="1">
      <c r="A835" s="247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7"/>
      <c r="AA835" s="247"/>
      <c r="AB835" s="247"/>
      <c r="AC835" s="247"/>
      <c r="AD835" s="247"/>
      <c r="AE835" s="247"/>
      <c r="AF835" s="247"/>
      <c r="AG835" s="247"/>
    </row>
    <row r="836" ht="15.75" customHeight="1">
      <c r="A836" s="247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7"/>
      <c r="AA836" s="247"/>
      <c r="AB836" s="247"/>
      <c r="AC836" s="247"/>
      <c r="AD836" s="247"/>
      <c r="AE836" s="247"/>
      <c r="AF836" s="247"/>
      <c r="AG836" s="247"/>
    </row>
    <row r="837" ht="15.75" customHeight="1">
      <c r="A837" s="247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247"/>
      <c r="AA837" s="247"/>
      <c r="AB837" s="247"/>
      <c r="AC837" s="247"/>
      <c r="AD837" s="247"/>
      <c r="AE837" s="247"/>
      <c r="AF837" s="247"/>
      <c r="AG837" s="247"/>
    </row>
    <row r="838" ht="15.75" customHeight="1">
      <c r="A838" s="247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7"/>
      <c r="AA838" s="247"/>
      <c r="AB838" s="247"/>
      <c r="AC838" s="247"/>
      <c r="AD838" s="247"/>
      <c r="AE838" s="247"/>
      <c r="AF838" s="247"/>
      <c r="AG838" s="247"/>
    </row>
    <row r="839" ht="15.75" customHeight="1">
      <c r="A839" s="247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7"/>
      <c r="AA839" s="247"/>
      <c r="AB839" s="247"/>
      <c r="AC839" s="247"/>
      <c r="AD839" s="247"/>
      <c r="AE839" s="247"/>
      <c r="AF839" s="247"/>
      <c r="AG839" s="247"/>
    </row>
    <row r="840" ht="15.75" customHeight="1">
      <c r="A840" s="247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7"/>
      <c r="AA840" s="247"/>
      <c r="AB840" s="247"/>
      <c r="AC840" s="247"/>
      <c r="AD840" s="247"/>
      <c r="AE840" s="247"/>
      <c r="AF840" s="247"/>
      <c r="AG840" s="247"/>
    </row>
    <row r="841" ht="15.75" customHeight="1">
      <c r="A841" s="247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247"/>
      <c r="AA841" s="247"/>
      <c r="AB841" s="247"/>
      <c r="AC841" s="247"/>
      <c r="AD841" s="247"/>
      <c r="AE841" s="247"/>
      <c r="AF841" s="247"/>
      <c r="AG841" s="247"/>
    </row>
    <row r="842" ht="15.75" customHeight="1">
      <c r="A842" s="247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247"/>
      <c r="AA842" s="247"/>
      <c r="AB842" s="247"/>
      <c r="AC842" s="247"/>
      <c r="AD842" s="247"/>
      <c r="AE842" s="247"/>
      <c r="AF842" s="247"/>
      <c r="AG842" s="247"/>
    </row>
    <row r="843" ht="15.75" customHeight="1">
      <c r="A843" s="247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247"/>
      <c r="AA843" s="247"/>
      <c r="AB843" s="247"/>
      <c r="AC843" s="247"/>
      <c r="AD843" s="247"/>
      <c r="AE843" s="247"/>
      <c r="AF843" s="247"/>
      <c r="AG843" s="247"/>
    </row>
    <row r="844" ht="15.75" customHeight="1">
      <c r="A844" s="247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247"/>
      <c r="AA844" s="247"/>
      <c r="AB844" s="247"/>
      <c r="AC844" s="247"/>
      <c r="AD844" s="247"/>
      <c r="AE844" s="247"/>
      <c r="AF844" s="247"/>
      <c r="AG844" s="247"/>
    </row>
    <row r="845" ht="15.75" customHeight="1">
      <c r="A845" s="247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7"/>
      <c r="AA845" s="247"/>
      <c r="AB845" s="247"/>
      <c r="AC845" s="247"/>
      <c r="AD845" s="247"/>
      <c r="AE845" s="247"/>
      <c r="AF845" s="247"/>
      <c r="AG845" s="247"/>
    </row>
    <row r="846" ht="15.75" customHeight="1">
      <c r="A846" s="247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7"/>
      <c r="AA846" s="247"/>
      <c r="AB846" s="247"/>
      <c r="AC846" s="247"/>
      <c r="AD846" s="247"/>
      <c r="AE846" s="247"/>
      <c r="AF846" s="247"/>
      <c r="AG846" s="247"/>
    </row>
    <row r="847" ht="15.75" customHeight="1">
      <c r="A847" s="247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7"/>
      <c r="AA847" s="247"/>
      <c r="AB847" s="247"/>
      <c r="AC847" s="247"/>
      <c r="AD847" s="247"/>
      <c r="AE847" s="247"/>
      <c r="AF847" s="247"/>
      <c r="AG847" s="247"/>
    </row>
    <row r="848" ht="15.75" customHeight="1">
      <c r="A848" s="247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7"/>
      <c r="AA848" s="247"/>
      <c r="AB848" s="247"/>
      <c r="AC848" s="247"/>
      <c r="AD848" s="247"/>
      <c r="AE848" s="247"/>
      <c r="AF848" s="247"/>
      <c r="AG848" s="247"/>
    </row>
    <row r="849" ht="15.75" customHeight="1">
      <c r="A849" s="247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7"/>
      <c r="AA849" s="247"/>
      <c r="AB849" s="247"/>
      <c r="AC849" s="247"/>
      <c r="AD849" s="247"/>
      <c r="AE849" s="247"/>
      <c r="AF849" s="247"/>
      <c r="AG849" s="247"/>
    </row>
    <row r="850" ht="15.75" customHeight="1">
      <c r="A850" s="247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7"/>
      <c r="AA850" s="247"/>
      <c r="AB850" s="247"/>
      <c r="AC850" s="247"/>
      <c r="AD850" s="247"/>
      <c r="AE850" s="247"/>
      <c r="AF850" s="247"/>
      <c r="AG850" s="247"/>
    </row>
    <row r="851" ht="15.75" customHeight="1">
      <c r="A851" s="247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7"/>
      <c r="AA851" s="247"/>
      <c r="AB851" s="247"/>
      <c r="AC851" s="247"/>
      <c r="AD851" s="247"/>
      <c r="AE851" s="247"/>
      <c r="AF851" s="247"/>
      <c r="AG851" s="247"/>
    </row>
    <row r="852" ht="15.75" customHeight="1">
      <c r="A852" s="247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7"/>
      <c r="AA852" s="247"/>
      <c r="AB852" s="247"/>
      <c r="AC852" s="247"/>
      <c r="AD852" s="247"/>
      <c r="AE852" s="247"/>
      <c r="AF852" s="247"/>
      <c r="AG852" s="247"/>
    </row>
    <row r="853" ht="15.75" customHeight="1">
      <c r="A853" s="247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7"/>
      <c r="AA853" s="247"/>
      <c r="AB853" s="247"/>
      <c r="AC853" s="247"/>
      <c r="AD853" s="247"/>
      <c r="AE853" s="247"/>
      <c r="AF853" s="247"/>
      <c r="AG853" s="247"/>
    </row>
    <row r="854" ht="15.75" customHeight="1">
      <c r="A854" s="247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7"/>
      <c r="AA854" s="247"/>
      <c r="AB854" s="247"/>
      <c r="AC854" s="247"/>
      <c r="AD854" s="247"/>
      <c r="AE854" s="247"/>
      <c r="AF854" s="247"/>
      <c r="AG854" s="247"/>
    </row>
    <row r="855" ht="15.75" customHeight="1">
      <c r="A855" s="247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247"/>
      <c r="AA855" s="247"/>
      <c r="AB855" s="247"/>
      <c r="AC855" s="247"/>
      <c r="AD855" s="247"/>
      <c r="AE855" s="247"/>
      <c r="AF855" s="247"/>
      <c r="AG855" s="247"/>
    </row>
    <row r="856" ht="15.75" customHeight="1">
      <c r="A856" s="247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247"/>
      <c r="AA856" s="247"/>
      <c r="AB856" s="247"/>
      <c r="AC856" s="247"/>
      <c r="AD856" s="247"/>
      <c r="AE856" s="247"/>
      <c r="AF856" s="247"/>
      <c r="AG856" s="247"/>
    </row>
    <row r="857" ht="15.75" customHeight="1">
      <c r="A857" s="247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247"/>
      <c r="AA857" s="247"/>
      <c r="AB857" s="247"/>
      <c r="AC857" s="247"/>
      <c r="AD857" s="247"/>
      <c r="AE857" s="247"/>
      <c r="AF857" s="247"/>
      <c r="AG857" s="247"/>
    </row>
    <row r="858" ht="15.75" customHeight="1">
      <c r="A858" s="247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247"/>
      <c r="AA858" s="247"/>
      <c r="AB858" s="247"/>
      <c r="AC858" s="247"/>
      <c r="AD858" s="247"/>
      <c r="AE858" s="247"/>
      <c r="AF858" s="247"/>
      <c r="AG858" s="247"/>
    </row>
    <row r="859" ht="15.75" customHeight="1">
      <c r="A859" s="247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247"/>
      <c r="AA859" s="247"/>
      <c r="AB859" s="247"/>
      <c r="AC859" s="247"/>
      <c r="AD859" s="247"/>
      <c r="AE859" s="247"/>
      <c r="AF859" s="247"/>
      <c r="AG859" s="247"/>
    </row>
    <row r="860" ht="15.75" customHeight="1">
      <c r="A860" s="247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247"/>
      <c r="AA860" s="247"/>
      <c r="AB860" s="247"/>
      <c r="AC860" s="247"/>
      <c r="AD860" s="247"/>
      <c r="AE860" s="247"/>
      <c r="AF860" s="247"/>
      <c r="AG860" s="247"/>
    </row>
    <row r="861" ht="15.75" customHeight="1">
      <c r="A861" s="247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247"/>
      <c r="AA861" s="247"/>
      <c r="AB861" s="247"/>
      <c r="AC861" s="247"/>
      <c r="AD861" s="247"/>
      <c r="AE861" s="247"/>
      <c r="AF861" s="247"/>
      <c r="AG861" s="247"/>
    </row>
    <row r="862" ht="15.75" customHeight="1">
      <c r="A862" s="247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247"/>
      <c r="AA862" s="247"/>
      <c r="AB862" s="247"/>
      <c r="AC862" s="247"/>
      <c r="AD862" s="247"/>
      <c r="AE862" s="247"/>
      <c r="AF862" s="247"/>
      <c r="AG862" s="247"/>
    </row>
    <row r="863" ht="15.75" customHeight="1">
      <c r="A863" s="247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7"/>
      <c r="AA863" s="247"/>
      <c r="AB863" s="247"/>
      <c r="AC863" s="247"/>
      <c r="AD863" s="247"/>
      <c r="AE863" s="247"/>
      <c r="AF863" s="247"/>
      <c r="AG863" s="247"/>
    </row>
    <row r="864" ht="15.75" customHeight="1">
      <c r="A864" s="247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7"/>
      <c r="AA864" s="247"/>
      <c r="AB864" s="247"/>
      <c r="AC864" s="247"/>
      <c r="AD864" s="247"/>
      <c r="AE864" s="247"/>
      <c r="AF864" s="247"/>
      <c r="AG864" s="247"/>
    </row>
    <row r="865" ht="15.75" customHeight="1">
      <c r="A865" s="247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7"/>
      <c r="AA865" s="247"/>
      <c r="AB865" s="247"/>
      <c r="AC865" s="247"/>
      <c r="AD865" s="247"/>
      <c r="AE865" s="247"/>
      <c r="AF865" s="247"/>
      <c r="AG865" s="247"/>
    </row>
    <row r="866" ht="15.75" customHeight="1">
      <c r="A866" s="247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7"/>
      <c r="AA866" s="247"/>
      <c r="AB866" s="247"/>
      <c r="AC866" s="247"/>
      <c r="AD866" s="247"/>
      <c r="AE866" s="247"/>
      <c r="AF866" s="247"/>
      <c r="AG866" s="247"/>
    </row>
    <row r="867" ht="15.75" customHeight="1">
      <c r="A867" s="247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7"/>
      <c r="AA867" s="247"/>
      <c r="AB867" s="247"/>
      <c r="AC867" s="247"/>
      <c r="AD867" s="247"/>
      <c r="AE867" s="247"/>
      <c r="AF867" s="247"/>
      <c r="AG867" s="247"/>
    </row>
    <row r="868" ht="15.75" customHeight="1">
      <c r="A868" s="247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7"/>
      <c r="AA868" s="247"/>
      <c r="AB868" s="247"/>
      <c r="AC868" s="247"/>
      <c r="AD868" s="247"/>
      <c r="AE868" s="247"/>
      <c r="AF868" s="247"/>
      <c r="AG868" s="247"/>
    </row>
    <row r="869" ht="15.75" customHeight="1">
      <c r="A869" s="247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7"/>
      <c r="AA869" s="247"/>
      <c r="AB869" s="247"/>
      <c r="AC869" s="247"/>
      <c r="AD869" s="247"/>
      <c r="AE869" s="247"/>
      <c r="AF869" s="247"/>
      <c r="AG869" s="247"/>
    </row>
    <row r="870" ht="15.75" customHeight="1">
      <c r="A870" s="247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7"/>
      <c r="AA870" s="247"/>
      <c r="AB870" s="247"/>
      <c r="AC870" s="247"/>
      <c r="AD870" s="247"/>
      <c r="AE870" s="247"/>
      <c r="AF870" s="247"/>
      <c r="AG870" s="247"/>
    </row>
    <row r="871" ht="15.75" customHeight="1">
      <c r="A871" s="247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7"/>
      <c r="AA871" s="247"/>
      <c r="AB871" s="247"/>
      <c r="AC871" s="247"/>
      <c r="AD871" s="247"/>
      <c r="AE871" s="247"/>
      <c r="AF871" s="247"/>
      <c r="AG871" s="247"/>
    </row>
    <row r="872" ht="15.75" customHeight="1">
      <c r="A872" s="247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7"/>
      <c r="AA872" s="247"/>
      <c r="AB872" s="247"/>
      <c r="AC872" s="247"/>
      <c r="AD872" s="247"/>
      <c r="AE872" s="247"/>
      <c r="AF872" s="247"/>
      <c r="AG872" s="247"/>
    </row>
    <row r="873" ht="15.75" customHeight="1">
      <c r="A873" s="247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7"/>
      <c r="AA873" s="247"/>
      <c r="AB873" s="247"/>
      <c r="AC873" s="247"/>
      <c r="AD873" s="247"/>
      <c r="AE873" s="247"/>
      <c r="AF873" s="247"/>
      <c r="AG873" s="247"/>
    </row>
    <row r="874" ht="15.75" customHeight="1">
      <c r="A874" s="247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7"/>
      <c r="AA874" s="247"/>
      <c r="AB874" s="247"/>
      <c r="AC874" s="247"/>
      <c r="AD874" s="247"/>
      <c r="AE874" s="247"/>
      <c r="AF874" s="247"/>
      <c r="AG874" s="247"/>
    </row>
    <row r="875" ht="15.75" customHeight="1">
      <c r="A875" s="247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7"/>
      <c r="AA875" s="247"/>
      <c r="AB875" s="247"/>
      <c r="AC875" s="247"/>
      <c r="AD875" s="247"/>
      <c r="AE875" s="247"/>
      <c r="AF875" s="247"/>
      <c r="AG875" s="247"/>
    </row>
    <row r="876" ht="15.75" customHeight="1">
      <c r="A876" s="247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7"/>
      <c r="AA876" s="247"/>
      <c r="AB876" s="247"/>
      <c r="AC876" s="247"/>
      <c r="AD876" s="247"/>
      <c r="AE876" s="247"/>
      <c r="AF876" s="247"/>
      <c r="AG876" s="247"/>
    </row>
    <row r="877" ht="15.75" customHeight="1">
      <c r="A877" s="247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7"/>
      <c r="AA877" s="247"/>
      <c r="AB877" s="247"/>
      <c r="AC877" s="247"/>
      <c r="AD877" s="247"/>
      <c r="AE877" s="247"/>
      <c r="AF877" s="247"/>
      <c r="AG877" s="247"/>
    </row>
    <row r="878" ht="15.75" customHeight="1">
      <c r="A878" s="247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7"/>
      <c r="AA878" s="247"/>
      <c r="AB878" s="247"/>
      <c r="AC878" s="247"/>
      <c r="AD878" s="247"/>
      <c r="AE878" s="247"/>
      <c r="AF878" s="247"/>
      <c r="AG878" s="247"/>
    </row>
    <row r="879" ht="15.75" customHeight="1">
      <c r="A879" s="247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7"/>
      <c r="AA879" s="247"/>
      <c r="AB879" s="247"/>
      <c r="AC879" s="247"/>
      <c r="AD879" s="247"/>
      <c r="AE879" s="247"/>
      <c r="AF879" s="247"/>
      <c r="AG879" s="247"/>
    </row>
    <row r="880" ht="15.75" customHeight="1">
      <c r="A880" s="247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7"/>
      <c r="AA880" s="247"/>
      <c r="AB880" s="247"/>
      <c r="AC880" s="247"/>
      <c r="AD880" s="247"/>
      <c r="AE880" s="247"/>
      <c r="AF880" s="247"/>
      <c r="AG880" s="247"/>
    </row>
    <row r="881" ht="15.75" customHeight="1">
      <c r="A881" s="247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247"/>
      <c r="AA881" s="247"/>
      <c r="AB881" s="247"/>
      <c r="AC881" s="247"/>
      <c r="AD881" s="247"/>
      <c r="AE881" s="247"/>
      <c r="AF881" s="247"/>
      <c r="AG881" s="247"/>
    </row>
    <row r="882" ht="15.75" customHeight="1">
      <c r="A882" s="247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247"/>
      <c r="AA882" s="247"/>
      <c r="AB882" s="247"/>
      <c r="AC882" s="247"/>
      <c r="AD882" s="247"/>
      <c r="AE882" s="247"/>
      <c r="AF882" s="247"/>
      <c r="AG882" s="247"/>
    </row>
    <row r="883" ht="15.75" customHeight="1">
      <c r="A883" s="247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247"/>
      <c r="AA883" s="247"/>
      <c r="AB883" s="247"/>
      <c r="AC883" s="247"/>
      <c r="AD883" s="247"/>
      <c r="AE883" s="247"/>
      <c r="AF883" s="247"/>
      <c r="AG883" s="247"/>
    </row>
    <row r="884" ht="15.75" customHeight="1">
      <c r="A884" s="247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247"/>
      <c r="AA884" s="247"/>
      <c r="AB884" s="247"/>
      <c r="AC884" s="247"/>
      <c r="AD884" s="247"/>
      <c r="AE884" s="247"/>
      <c r="AF884" s="247"/>
      <c r="AG884" s="247"/>
    </row>
    <row r="885" ht="15.75" customHeight="1">
      <c r="A885" s="247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247"/>
      <c r="AA885" s="247"/>
      <c r="AB885" s="247"/>
      <c r="AC885" s="247"/>
      <c r="AD885" s="247"/>
      <c r="AE885" s="247"/>
      <c r="AF885" s="247"/>
      <c r="AG885" s="247"/>
    </row>
    <row r="886" ht="15.75" customHeight="1">
      <c r="A886" s="247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247"/>
      <c r="AA886" s="247"/>
      <c r="AB886" s="247"/>
      <c r="AC886" s="247"/>
      <c r="AD886" s="247"/>
      <c r="AE886" s="247"/>
      <c r="AF886" s="247"/>
      <c r="AG886" s="247"/>
    </row>
    <row r="887" ht="15.75" customHeight="1">
      <c r="A887" s="247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247"/>
      <c r="AA887" s="247"/>
      <c r="AB887" s="247"/>
      <c r="AC887" s="247"/>
      <c r="AD887" s="247"/>
      <c r="AE887" s="247"/>
      <c r="AF887" s="247"/>
      <c r="AG887" s="247"/>
    </row>
    <row r="888" ht="15.75" customHeight="1">
      <c r="A888" s="247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247"/>
      <c r="AA888" s="247"/>
      <c r="AB888" s="247"/>
      <c r="AC888" s="247"/>
      <c r="AD888" s="247"/>
      <c r="AE888" s="247"/>
      <c r="AF888" s="247"/>
      <c r="AG888" s="247"/>
    </row>
    <row r="889" ht="15.75" customHeight="1">
      <c r="A889" s="247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247"/>
      <c r="AA889" s="247"/>
      <c r="AB889" s="247"/>
      <c r="AC889" s="247"/>
      <c r="AD889" s="247"/>
      <c r="AE889" s="247"/>
      <c r="AF889" s="247"/>
      <c r="AG889" s="247"/>
    </row>
    <row r="890" ht="15.75" customHeight="1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7"/>
      <c r="AA890" s="247"/>
      <c r="AB890" s="247"/>
      <c r="AC890" s="247"/>
      <c r="AD890" s="247"/>
      <c r="AE890" s="247"/>
      <c r="AF890" s="247"/>
      <c r="AG890" s="247"/>
    </row>
    <row r="891" ht="15.75" customHeight="1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7"/>
      <c r="AA891" s="247"/>
      <c r="AB891" s="247"/>
      <c r="AC891" s="247"/>
      <c r="AD891" s="247"/>
      <c r="AE891" s="247"/>
      <c r="AF891" s="247"/>
      <c r="AG891" s="247"/>
    </row>
    <row r="892" ht="15.75" customHeight="1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247"/>
      <c r="AA892" s="247"/>
      <c r="AB892" s="247"/>
      <c r="AC892" s="247"/>
      <c r="AD892" s="247"/>
      <c r="AE892" s="247"/>
      <c r="AF892" s="247"/>
      <c r="AG892" s="247"/>
    </row>
    <row r="893" ht="15.75" customHeight="1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247"/>
      <c r="AA893" s="247"/>
      <c r="AB893" s="247"/>
      <c r="AC893" s="247"/>
      <c r="AD893" s="247"/>
      <c r="AE893" s="247"/>
      <c r="AF893" s="247"/>
      <c r="AG893" s="247"/>
    </row>
    <row r="894" ht="15.75" customHeight="1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247"/>
      <c r="AA894" s="247"/>
      <c r="AB894" s="247"/>
      <c r="AC894" s="247"/>
      <c r="AD894" s="247"/>
      <c r="AE894" s="247"/>
      <c r="AF894" s="247"/>
      <c r="AG894" s="247"/>
    </row>
    <row r="895" ht="15.75" customHeight="1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247"/>
      <c r="AA895" s="247"/>
      <c r="AB895" s="247"/>
      <c r="AC895" s="247"/>
      <c r="AD895" s="247"/>
      <c r="AE895" s="247"/>
      <c r="AF895" s="247"/>
      <c r="AG895" s="247"/>
    </row>
    <row r="896" ht="15.75" customHeight="1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247"/>
      <c r="AA896" s="247"/>
      <c r="AB896" s="247"/>
      <c r="AC896" s="247"/>
      <c r="AD896" s="247"/>
      <c r="AE896" s="247"/>
      <c r="AF896" s="247"/>
      <c r="AG896" s="247"/>
    </row>
    <row r="897" ht="15.75" customHeight="1">
      <c r="A897" s="247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247"/>
      <c r="AA897" s="247"/>
      <c r="AB897" s="247"/>
      <c r="AC897" s="247"/>
      <c r="AD897" s="247"/>
      <c r="AE897" s="247"/>
      <c r="AF897" s="247"/>
      <c r="AG897" s="247"/>
    </row>
    <row r="898" ht="15.75" customHeight="1">
      <c r="A898" s="247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7"/>
      <c r="AA898" s="247"/>
      <c r="AB898" s="247"/>
      <c r="AC898" s="247"/>
      <c r="AD898" s="247"/>
      <c r="AE898" s="247"/>
      <c r="AF898" s="247"/>
      <c r="AG898" s="247"/>
    </row>
    <row r="899" ht="15.75" customHeight="1">
      <c r="A899" s="247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7"/>
      <c r="AA899" s="247"/>
      <c r="AB899" s="247"/>
      <c r="AC899" s="247"/>
      <c r="AD899" s="247"/>
      <c r="AE899" s="247"/>
      <c r="AF899" s="247"/>
      <c r="AG899" s="247"/>
    </row>
    <row r="900" ht="15.75" customHeight="1">
      <c r="A900" s="247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247"/>
      <c r="AA900" s="247"/>
      <c r="AB900" s="247"/>
      <c r="AC900" s="247"/>
      <c r="AD900" s="247"/>
      <c r="AE900" s="247"/>
      <c r="AF900" s="247"/>
      <c r="AG900" s="247"/>
    </row>
    <row r="901" ht="15.75" customHeight="1">
      <c r="A901" s="247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247"/>
      <c r="AA901" s="247"/>
      <c r="AB901" s="247"/>
      <c r="AC901" s="247"/>
      <c r="AD901" s="247"/>
      <c r="AE901" s="247"/>
      <c r="AF901" s="247"/>
      <c r="AG901" s="247"/>
    </row>
    <row r="902" ht="15.75" customHeight="1">
      <c r="A902" s="247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7"/>
      <c r="AA902" s="247"/>
      <c r="AB902" s="247"/>
      <c r="AC902" s="247"/>
      <c r="AD902" s="247"/>
      <c r="AE902" s="247"/>
      <c r="AF902" s="247"/>
      <c r="AG902" s="247"/>
    </row>
    <row r="903" ht="15.75" customHeight="1">
      <c r="A903" s="247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7"/>
      <c r="AA903" s="247"/>
      <c r="AB903" s="247"/>
      <c r="AC903" s="247"/>
      <c r="AD903" s="247"/>
      <c r="AE903" s="247"/>
      <c r="AF903" s="247"/>
      <c r="AG903" s="247"/>
    </row>
    <row r="904" ht="15.75" customHeight="1">
      <c r="A904" s="247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247"/>
      <c r="AA904" s="247"/>
      <c r="AB904" s="247"/>
      <c r="AC904" s="247"/>
      <c r="AD904" s="247"/>
      <c r="AE904" s="247"/>
      <c r="AF904" s="247"/>
      <c r="AG904" s="247"/>
    </row>
    <row r="905" ht="15.75" customHeight="1">
      <c r="A905" s="247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247"/>
      <c r="AA905" s="247"/>
      <c r="AB905" s="247"/>
      <c r="AC905" s="247"/>
      <c r="AD905" s="247"/>
      <c r="AE905" s="247"/>
      <c r="AF905" s="247"/>
      <c r="AG905" s="247"/>
    </row>
    <row r="906" ht="15.75" customHeight="1">
      <c r="A906" s="247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247"/>
      <c r="AA906" s="247"/>
      <c r="AB906" s="247"/>
      <c r="AC906" s="247"/>
      <c r="AD906" s="247"/>
      <c r="AE906" s="247"/>
      <c r="AF906" s="247"/>
      <c r="AG906" s="247"/>
    </row>
    <row r="907" ht="15.75" customHeight="1">
      <c r="A907" s="247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247"/>
      <c r="AA907" s="247"/>
      <c r="AB907" s="247"/>
      <c r="AC907" s="247"/>
      <c r="AD907" s="247"/>
      <c r="AE907" s="247"/>
      <c r="AF907" s="247"/>
      <c r="AG907" s="247"/>
    </row>
    <row r="908" ht="15.75" customHeight="1">
      <c r="A908" s="247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247"/>
      <c r="AA908" s="247"/>
      <c r="AB908" s="247"/>
      <c r="AC908" s="247"/>
      <c r="AD908" s="247"/>
      <c r="AE908" s="247"/>
      <c r="AF908" s="247"/>
      <c r="AG908" s="247"/>
    </row>
    <row r="909" ht="15.75" customHeight="1">
      <c r="A909" s="247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247"/>
      <c r="AA909" s="247"/>
      <c r="AB909" s="247"/>
      <c r="AC909" s="247"/>
      <c r="AD909" s="247"/>
      <c r="AE909" s="247"/>
      <c r="AF909" s="247"/>
      <c r="AG909" s="247"/>
    </row>
    <row r="910" ht="15.75" customHeight="1">
      <c r="A910" s="247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247"/>
      <c r="AA910" s="247"/>
      <c r="AB910" s="247"/>
      <c r="AC910" s="247"/>
      <c r="AD910" s="247"/>
      <c r="AE910" s="247"/>
      <c r="AF910" s="247"/>
      <c r="AG910" s="247"/>
    </row>
    <row r="911" ht="15.75" customHeight="1">
      <c r="A911" s="247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247"/>
      <c r="AA911" s="247"/>
      <c r="AB911" s="247"/>
      <c r="AC911" s="247"/>
      <c r="AD911" s="247"/>
      <c r="AE911" s="247"/>
      <c r="AF911" s="247"/>
      <c r="AG911" s="247"/>
    </row>
    <row r="912" ht="15.75" customHeight="1">
      <c r="A912" s="247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247"/>
      <c r="AA912" s="247"/>
      <c r="AB912" s="247"/>
      <c r="AC912" s="247"/>
      <c r="AD912" s="247"/>
      <c r="AE912" s="247"/>
      <c r="AF912" s="247"/>
      <c r="AG912" s="247"/>
    </row>
    <row r="913" ht="15.75" customHeight="1">
      <c r="A913" s="247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247"/>
      <c r="AA913" s="247"/>
      <c r="AB913" s="247"/>
      <c r="AC913" s="247"/>
      <c r="AD913" s="247"/>
      <c r="AE913" s="247"/>
      <c r="AF913" s="247"/>
      <c r="AG913" s="247"/>
    </row>
    <row r="914" ht="15.75" customHeight="1">
      <c r="A914" s="247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247"/>
      <c r="AA914" s="247"/>
      <c r="AB914" s="247"/>
      <c r="AC914" s="247"/>
      <c r="AD914" s="247"/>
      <c r="AE914" s="247"/>
      <c r="AF914" s="247"/>
      <c r="AG914" s="247"/>
    </row>
    <row r="915" ht="15.75" customHeight="1">
      <c r="A915" s="247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247"/>
      <c r="AA915" s="247"/>
      <c r="AB915" s="247"/>
      <c r="AC915" s="247"/>
      <c r="AD915" s="247"/>
      <c r="AE915" s="247"/>
      <c r="AF915" s="247"/>
      <c r="AG915" s="247"/>
    </row>
    <row r="916" ht="15.75" customHeight="1">
      <c r="A916" s="247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247"/>
      <c r="AA916" s="247"/>
      <c r="AB916" s="247"/>
      <c r="AC916" s="247"/>
      <c r="AD916" s="247"/>
      <c r="AE916" s="247"/>
      <c r="AF916" s="247"/>
      <c r="AG916" s="247"/>
    </row>
    <row r="917" ht="15.75" customHeight="1">
      <c r="A917" s="247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247"/>
      <c r="AA917" s="247"/>
      <c r="AB917" s="247"/>
      <c r="AC917" s="247"/>
      <c r="AD917" s="247"/>
      <c r="AE917" s="247"/>
      <c r="AF917" s="247"/>
      <c r="AG917" s="247"/>
    </row>
    <row r="918" ht="15.75" customHeight="1">
      <c r="A918" s="247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247"/>
      <c r="AA918" s="247"/>
      <c r="AB918" s="247"/>
      <c r="AC918" s="247"/>
      <c r="AD918" s="247"/>
      <c r="AE918" s="247"/>
      <c r="AF918" s="247"/>
      <c r="AG918" s="247"/>
    </row>
    <row r="919" ht="15.75" customHeight="1">
      <c r="A919" s="247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247"/>
      <c r="AA919" s="247"/>
      <c r="AB919" s="247"/>
      <c r="AC919" s="247"/>
      <c r="AD919" s="247"/>
      <c r="AE919" s="247"/>
      <c r="AF919" s="247"/>
      <c r="AG919" s="247"/>
    </row>
    <row r="920" ht="15.75" customHeight="1">
      <c r="A920" s="247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247"/>
      <c r="AA920" s="247"/>
      <c r="AB920" s="247"/>
      <c r="AC920" s="247"/>
      <c r="AD920" s="247"/>
      <c r="AE920" s="247"/>
      <c r="AF920" s="247"/>
      <c r="AG920" s="247"/>
    </row>
    <row r="921" ht="15.75" customHeight="1">
      <c r="A921" s="247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247"/>
      <c r="AA921" s="247"/>
      <c r="AB921" s="247"/>
      <c r="AC921" s="247"/>
      <c r="AD921" s="247"/>
      <c r="AE921" s="247"/>
      <c r="AF921" s="247"/>
      <c r="AG921" s="247"/>
    </row>
    <row r="922" ht="15.75" customHeight="1">
      <c r="A922" s="247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247"/>
      <c r="AA922" s="247"/>
      <c r="AB922" s="247"/>
      <c r="AC922" s="247"/>
      <c r="AD922" s="247"/>
      <c r="AE922" s="247"/>
      <c r="AF922" s="247"/>
      <c r="AG922" s="247"/>
    </row>
    <row r="923" ht="15.75" customHeight="1">
      <c r="A923" s="247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247"/>
      <c r="AA923" s="247"/>
      <c r="AB923" s="247"/>
      <c r="AC923" s="247"/>
      <c r="AD923" s="247"/>
      <c r="AE923" s="247"/>
      <c r="AF923" s="247"/>
      <c r="AG923" s="247"/>
    </row>
    <row r="924" ht="15.75" customHeight="1">
      <c r="A924" s="247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247"/>
      <c r="AA924" s="247"/>
      <c r="AB924" s="247"/>
      <c r="AC924" s="247"/>
      <c r="AD924" s="247"/>
      <c r="AE924" s="247"/>
      <c r="AF924" s="247"/>
      <c r="AG924" s="247"/>
    </row>
    <row r="925" ht="15.75" customHeight="1">
      <c r="A925" s="247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247"/>
      <c r="AA925" s="247"/>
      <c r="AB925" s="247"/>
      <c r="AC925" s="247"/>
      <c r="AD925" s="247"/>
      <c r="AE925" s="247"/>
      <c r="AF925" s="247"/>
      <c r="AG925" s="247"/>
    </row>
    <row r="926" ht="15.75" customHeight="1">
      <c r="A926" s="247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247"/>
      <c r="AA926" s="247"/>
      <c r="AB926" s="247"/>
      <c r="AC926" s="247"/>
      <c r="AD926" s="247"/>
      <c r="AE926" s="247"/>
      <c r="AF926" s="247"/>
      <c r="AG926" s="247"/>
    </row>
    <row r="927" ht="15.75" customHeight="1">
      <c r="A927" s="247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247"/>
      <c r="AA927" s="247"/>
      <c r="AB927" s="247"/>
      <c r="AC927" s="247"/>
      <c r="AD927" s="247"/>
      <c r="AE927" s="247"/>
      <c r="AF927" s="247"/>
      <c r="AG927" s="247"/>
    </row>
    <row r="928" ht="15.75" customHeight="1">
      <c r="A928" s="247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7"/>
      <c r="AA928" s="247"/>
      <c r="AB928" s="247"/>
      <c r="AC928" s="247"/>
      <c r="AD928" s="247"/>
      <c r="AE928" s="247"/>
      <c r="AF928" s="247"/>
      <c r="AG928" s="247"/>
    </row>
    <row r="929" ht="15.75" customHeight="1">
      <c r="A929" s="247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7"/>
      <c r="AA929" s="247"/>
      <c r="AB929" s="247"/>
      <c r="AC929" s="247"/>
      <c r="AD929" s="247"/>
      <c r="AE929" s="247"/>
      <c r="AF929" s="247"/>
      <c r="AG929" s="247"/>
    </row>
    <row r="930" ht="15.75" customHeight="1">
      <c r="A930" s="247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247"/>
      <c r="AA930" s="247"/>
      <c r="AB930" s="247"/>
      <c r="AC930" s="247"/>
      <c r="AD930" s="247"/>
      <c r="AE930" s="247"/>
      <c r="AF930" s="247"/>
      <c r="AG930" s="247"/>
    </row>
    <row r="931" ht="15.75" customHeight="1">
      <c r="A931" s="247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247"/>
      <c r="AA931" s="247"/>
      <c r="AB931" s="247"/>
      <c r="AC931" s="247"/>
      <c r="AD931" s="247"/>
      <c r="AE931" s="247"/>
      <c r="AF931" s="247"/>
      <c r="AG931" s="247"/>
    </row>
    <row r="932" ht="15.75" customHeight="1">
      <c r="A932" s="247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247"/>
      <c r="AA932" s="247"/>
      <c r="AB932" s="247"/>
      <c r="AC932" s="247"/>
      <c r="AD932" s="247"/>
      <c r="AE932" s="247"/>
      <c r="AF932" s="247"/>
      <c r="AG932" s="247"/>
    </row>
    <row r="933" ht="15.75" customHeight="1">
      <c r="A933" s="247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247"/>
      <c r="AA933" s="247"/>
      <c r="AB933" s="247"/>
      <c r="AC933" s="247"/>
      <c r="AD933" s="247"/>
      <c r="AE933" s="247"/>
      <c r="AF933" s="247"/>
      <c r="AG933" s="247"/>
    </row>
    <row r="934" ht="15.75" customHeight="1">
      <c r="A934" s="247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247"/>
      <c r="AA934" s="247"/>
      <c r="AB934" s="247"/>
      <c r="AC934" s="247"/>
      <c r="AD934" s="247"/>
      <c r="AE934" s="247"/>
      <c r="AF934" s="247"/>
      <c r="AG934" s="247"/>
    </row>
    <row r="935" ht="15.75" customHeight="1">
      <c r="A935" s="247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247"/>
      <c r="AA935" s="247"/>
      <c r="AB935" s="247"/>
      <c r="AC935" s="247"/>
      <c r="AD935" s="247"/>
      <c r="AE935" s="247"/>
      <c r="AF935" s="247"/>
      <c r="AG935" s="247"/>
    </row>
    <row r="936" ht="15.75" customHeight="1">
      <c r="A936" s="247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247"/>
      <c r="AA936" s="247"/>
      <c r="AB936" s="247"/>
      <c r="AC936" s="247"/>
      <c r="AD936" s="247"/>
      <c r="AE936" s="247"/>
      <c r="AF936" s="247"/>
      <c r="AG936" s="247"/>
    </row>
    <row r="937" ht="15.75" customHeight="1">
      <c r="A937" s="247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247"/>
      <c r="AA937" s="247"/>
      <c r="AB937" s="247"/>
      <c r="AC937" s="247"/>
      <c r="AD937" s="247"/>
      <c r="AE937" s="247"/>
      <c r="AF937" s="247"/>
      <c r="AG937" s="247"/>
    </row>
    <row r="938" ht="15.75" customHeight="1">
      <c r="A938" s="247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247"/>
      <c r="AA938" s="247"/>
      <c r="AB938" s="247"/>
      <c r="AC938" s="247"/>
      <c r="AD938" s="247"/>
      <c r="AE938" s="247"/>
      <c r="AF938" s="247"/>
      <c r="AG938" s="247"/>
    </row>
    <row r="939" ht="15.75" customHeight="1">
      <c r="A939" s="247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247"/>
      <c r="AA939" s="247"/>
      <c r="AB939" s="247"/>
      <c r="AC939" s="247"/>
      <c r="AD939" s="247"/>
      <c r="AE939" s="247"/>
      <c r="AF939" s="247"/>
      <c r="AG939" s="247"/>
    </row>
    <row r="940" ht="15.75" customHeight="1">
      <c r="A940" s="247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247"/>
      <c r="AA940" s="247"/>
      <c r="AB940" s="247"/>
      <c r="AC940" s="247"/>
      <c r="AD940" s="247"/>
      <c r="AE940" s="247"/>
      <c r="AF940" s="247"/>
      <c r="AG940" s="247"/>
    </row>
    <row r="941" ht="15.75" customHeight="1">
      <c r="A941" s="247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247"/>
      <c r="AA941" s="247"/>
      <c r="AB941" s="247"/>
      <c r="AC941" s="247"/>
      <c r="AD941" s="247"/>
      <c r="AE941" s="247"/>
      <c r="AF941" s="247"/>
      <c r="AG941" s="247"/>
    </row>
    <row r="942" ht="15.75" customHeight="1">
      <c r="A942" s="247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247"/>
      <c r="AA942" s="247"/>
      <c r="AB942" s="247"/>
      <c r="AC942" s="247"/>
      <c r="AD942" s="247"/>
      <c r="AE942" s="247"/>
      <c r="AF942" s="247"/>
      <c r="AG942" s="247"/>
    </row>
    <row r="943" ht="15.75" customHeight="1">
      <c r="A943" s="247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247"/>
      <c r="AA943" s="247"/>
      <c r="AB943" s="247"/>
      <c r="AC943" s="247"/>
      <c r="AD943" s="247"/>
      <c r="AE943" s="247"/>
      <c r="AF943" s="247"/>
      <c r="AG943" s="247"/>
    </row>
    <row r="944" ht="15.75" customHeight="1">
      <c r="A944" s="247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247"/>
      <c r="AA944" s="247"/>
      <c r="AB944" s="247"/>
      <c r="AC944" s="247"/>
      <c r="AD944" s="247"/>
      <c r="AE944" s="247"/>
      <c r="AF944" s="247"/>
      <c r="AG944" s="247"/>
    </row>
    <row r="945" ht="15.75" customHeight="1">
      <c r="A945" s="247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247"/>
      <c r="AA945" s="247"/>
      <c r="AB945" s="247"/>
      <c r="AC945" s="247"/>
      <c r="AD945" s="247"/>
      <c r="AE945" s="247"/>
      <c r="AF945" s="247"/>
      <c r="AG945" s="247"/>
    </row>
    <row r="946" ht="15.75" customHeight="1">
      <c r="A946" s="247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247"/>
      <c r="AA946" s="247"/>
      <c r="AB946" s="247"/>
      <c r="AC946" s="247"/>
      <c r="AD946" s="247"/>
      <c r="AE946" s="247"/>
      <c r="AF946" s="247"/>
      <c r="AG946" s="247"/>
    </row>
    <row r="947" ht="15.75" customHeight="1">
      <c r="A947" s="247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247"/>
      <c r="AA947" s="247"/>
      <c r="AB947" s="247"/>
      <c r="AC947" s="247"/>
      <c r="AD947" s="247"/>
      <c r="AE947" s="247"/>
      <c r="AF947" s="247"/>
      <c r="AG947" s="247"/>
    </row>
    <row r="948" ht="15.75" customHeight="1">
      <c r="A948" s="247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247"/>
      <c r="AA948" s="247"/>
      <c r="AB948" s="247"/>
      <c r="AC948" s="247"/>
      <c r="AD948" s="247"/>
      <c r="AE948" s="247"/>
      <c r="AF948" s="247"/>
      <c r="AG948" s="247"/>
    </row>
    <row r="949" ht="15.75" customHeight="1">
      <c r="A949" s="247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247"/>
      <c r="AA949" s="247"/>
      <c r="AB949" s="247"/>
      <c r="AC949" s="247"/>
      <c r="AD949" s="247"/>
      <c r="AE949" s="247"/>
      <c r="AF949" s="247"/>
      <c r="AG949" s="247"/>
    </row>
    <row r="950" ht="15.75" customHeight="1">
      <c r="A950" s="247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247"/>
      <c r="AA950" s="247"/>
      <c r="AB950" s="247"/>
      <c r="AC950" s="247"/>
      <c r="AD950" s="247"/>
      <c r="AE950" s="247"/>
      <c r="AF950" s="247"/>
      <c r="AG950" s="247"/>
    </row>
    <row r="951" ht="15.75" customHeight="1">
      <c r="A951" s="247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247"/>
      <c r="AA951" s="247"/>
      <c r="AB951" s="247"/>
      <c r="AC951" s="247"/>
      <c r="AD951" s="247"/>
      <c r="AE951" s="247"/>
      <c r="AF951" s="247"/>
      <c r="AG951" s="247"/>
    </row>
    <row r="952" ht="15.75" customHeight="1">
      <c r="A952" s="247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247"/>
      <c r="AA952" s="247"/>
      <c r="AB952" s="247"/>
      <c r="AC952" s="247"/>
      <c r="AD952" s="247"/>
      <c r="AE952" s="247"/>
      <c r="AF952" s="247"/>
      <c r="AG952" s="247"/>
    </row>
    <row r="953" ht="15.75" customHeight="1">
      <c r="A953" s="247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247"/>
      <c r="AA953" s="247"/>
      <c r="AB953" s="247"/>
      <c r="AC953" s="247"/>
      <c r="AD953" s="247"/>
      <c r="AE953" s="247"/>
      <c r="AF953" s="247"/>
      <c r="AG953" s="247"/>
    </row>
    <row r="954" ht="15.75" customHeight="1">
      <c r="A954" s="247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247"/>
      <c r="AA954" s="247"/>
      <c r="AB954" s="247"/>
      <c r="AC954" s="247"/>
      <c r="AD954" s="247"/>
      <c r="AE954" s="247"/>
      <c r="AF954" s="247"/>
      <c r="AG954" s="247"/>
    </row>
    <row r="955" ht="15.75" customHeight="1">
      <c r="A955" s="247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247"/>
      <c r="AA955" s="247"/>
      <c r="AB955" s="247"/>
      <c r="AC955" s="247"/>
      <c r="AD955" s="247"/>
      <c r="AE955" s="247"/>
      <c r="AF955" s="247"/>
      <c r="AG955" s="247"/>
    </row>
    <row r="956" ht="15.75" customHeight="1">
      <c r="A956" s="247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247"/>
      <c r="AA956" s="247"/>
      <c r="AB956" s="247"/>
      <c r="AC956" s="247"/>
      <c r="AD956" s="247"/>
      <c r="AE956" s="247"/>
      <c r="AF956" s="247"/>
      <c r="AG956" s="247"/>
    </row>
    <row r="957" ht="15.75" customHeight="1">
      <c r="A957" s="247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247"/>
      <c r="AA957" s="247"/>
      <c r="AB957" s="247"/>
      <c r="AC957" s="247"/>
      <c r="AD957" s="247"/>
      <c r="AE957" s="247"/>
      <c r="AF957" s="247"/>
      <c r="AG957" s="247"/>
    </row>
    <row r="958" ht="15.75" customHeight="1">
      <c r="A958" s="247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247"/>
      <c r="AA958" s="247"/>
      <c r="AB958" s="247"/>
      <c r="AC958" s="247"/>
      <c r="AD958" s="247"/>
      <c r="AE958" s="247"/>
      <c r="AF958" s="247"/>
      <c r="AG958" s="247"/>
    </row>
    <row r="959" ht="15.75" customHeight="1">
      <c r="A959" s="247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247"/>
      <c r="AA959" s="247"/>
      <c r="AB959" s="247"/>
      <c r="AC959" s="247"/>
      <c r="AD959" s="247"/>
      <c r="AE959" s="247"/>
      <c r="AF959" s="247"/>
      <c r="AG959" s="247"/>
    </row>
    <row r="960" ht="15.75" customHeight="1">
      <c r="A960" s="247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247"/>
      <c r="AA960" s="247"/>
      <c r="AB960" s="247"/>
      <c r="AC960" s="247"/>
      <c r="AD960" s="247"/>
      <c r="AE960" s="247"/>
      <c r="AF960" s="247"/>
      <c r="AG960" s="247"/>
    </row>
    <row r="961" ht="15.75" customHeight="1">
      <c r="A961" s="247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247"/>
      <c r="AA961" s="247"/>
      <c r="AB961" s="247"/>
      <c r="AC961" s="247"/>
      <c r="AD961" s="247"/>
      <c r="AE961" s="247"/>
      <c r="AF961" s="247"/>
      <c r="AG961" s="247"/>
    </row>
    <row r="962" ht="15.75" customHeight="1">
      <c r="A962" s="247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247"/>
      <c r="AA962" s="247"/>
      <c r="AB962" s="247"/>
      <c r="AC962" s="247"/>
      <c r="AD962" s="247"/>
      <c r="AE962" s="247"/>
      <c r="AF962" s="247"/>
      <c r="AG962" s="247"/>
    </row>
    <row r="963" ht="15.75" customHeight="1">
      <c r="A963" s="247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  <c r="Z963" s="247"/>
      <c r="AA963" s="247"/>
      <c r="AB963" s="247"/>
      <c r="AC963" s="247"/>
      <c r="AD963" s="247"/>
      <c r="AE963" s="247"/>
      <c r="AF963" s="247"/>
      <c r="AG963" s="247"/>
    </row>
    <row r="964" ht="15.75" customHeight="1">
      <c r="A964" s="247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  <c r="Z964" s="247"/>
      <c r="AA964" s="247"/>
      <c r="AB964" s="247"/>
      <c r="AC964" s="247"/>
      <c r="AD964" s="247"/>
      <c r="AE964" s="247"/>
      <c r="AF964" s="247"/>
      <c r="AG964" s="247"/>
    </row>
    <row r="965" ht="15.75" customHeight="1">
      <c r="A965" s="247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  <c r="Z965" s="247"/>
      <c r="AA965" s="247"/>
      <c r="AB965" s="247"/>
      <c r="AC965" s="247"/>
      <c r="AD965" s="247"/>
      <c r="AE965" s="247"/>
      <c r="AF965" s="247"/>
      <c r="AG965" s="247"/>
    </row>
    <row r="966" ht="15.75" customHeight="1">
      <c r="A966" s="247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  <c r="Z966" s="247"/>
      <c r="AA966" s="247"/>
      <c r="AB966" s="247"/>
      <c r="AC966" s="247"/>
      <c r="AD966" s="247"/>
      <c r="AE966" s="247"/>
      <c r="AF966" s="247"/>
      <c r="AG966" s="247"/>
    </row>
    <row r="967" ht="15.75" customHeight="1">
      <c r="A967" s="247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  <c r="Z967" s="247"/>
      <c r="AA967" s="247"/>
      <c r="AB967" s="247"/>
      <c r="AC967" s="247"/>
      <c r="AD967" s="247"/>
      <c r="AE967" s="247"/>
      <c r="AF967" s="247"/>
      <c r="AG967" s="247"/>
    </row>
    <row r="968" ht="15.75" customHeight="1">
      <c r="A968" s="247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  <c r="Z968" s="247"/>
      <c r="AA968" s="247"/>
      <c r="AB968" s="247"/>
      <c r="AC968" s="247"/>
      <c r="AD968" s="247"/>
      <c r="AE968" s="247"/>
      <c r="AF968" s="247"/>
      <c r="AG968" s="247"/>
    </row>
    <row r="969" ht="15.75" customHeight="1">
      <c r="A969" s="247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  <c r="Z969" s="247"/>
      <c r="AA969" s="247"/>
      <c r="AB969" s="247"/>
      <c r="AC969" s="247"/>
      <c r="AD969" s="247"/>
      <c r="AE969" s="247"/>
      <c r="AF969" s="247"/>
      <c r="AG969" s="247"/>
    </row>
    <row r="970" ht="15.75" customHeight="1">
      <c r="A970" s="247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  <c r="Z970" s="247"/>
      <c r="AA970" s="247"/>
      <c r="AB970" s="247"/>
      <c r="AC970" s="247"/>
      <c r="AD970" s="247"/>
      <c r="AE970" s="247"/>
      <c r="AF970" s="247"/>
      <c r="AG970" s="247"/>
    </row>
    <row r="971" ht="15.75" customHeight="1">
      <c r="A971" s="247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  <c r="Z971" s="247"/>
      <c r="AA971" s="247"/>
      <c r="AB971" s="247"/>
      <c r="AC971" s="247"/>
      <c r="AD971" s="247"/>
      <c r="AE971" s="247"/>
      <c r="AF971" s="247"/>
      <c r="AG971" s="247"/>
    </row>
    <row r="972" ht="15.75" customHeight="1">
      <c r="A972" s="247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  <c r="Z972" s="247"/>
      <c r="AA972" s="247"/>
      <c r="AB972" s="247"/>
      <c r="AC972" s="247"/>
      <c r="AD972" s="247"/>
      <c r="AE972" s="247"/>
      <c r="AF972" s="247"/>
      <c r="AG972" s="247"/>
    </row>
    <row r="973" ht="15.75" customHeight="1">
      <c r="A973" s="247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  <c r="Z973" s="247"/>
      <c r="AA973" s="247"/>
      <c r="AB973" s="247"/>
      <c r="AC973" s="247"/>
      <c r="AD973" s="247"/>
      <c r="AE973" s="247"/>
      <c r="AF973" s="247"/>
      <c r="AG973" s="247"/>
    </row>
    <row r="974" ht="15.75" customHeight="1">
      <c r="A974" s="247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  <c r="Z974" s="247"/>
      <c r="AA974" s="247"/>
      <c r="AB974" s="247"/>
      <c r="AC974" s="247"/>
      <c r="AD974" s="247"/>
      <c r="AE974" s="247"/>
      <c r="AF974" s="247"/>
      <c r="AG974" s="247"/>
    </row>
    <row r="975" ht="15.75" customHeight="1">
      <c r="A975" s="247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  <c r="Z975" s="247"/>
      <c r="AA975" s="247"/>
      <c r="AB975" s="247"/>
      <c r="AC975" s="247"/>
      <c r="AD975" s="247"/>
      <c r="AE975" s="247"/>
      <c r="AF975" s="247"/>
      <c r="AG975" s="247"/>
    </row>
    <row r="976" ht="15.75" customHeight="1">
      <c r="A976" s="247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  <c r="Z976" s="247"/>
      <c r="AA976" s="247"/>
      <c r="AB976" s="247"/>
      <c r="AC976" s="247"/>
      <c r="AD976" s="247"/>
      <c r="AE976" s="247"/>
      <c r="AF976" s="247"/>
      <c r="AG976" s="247"/>
    </row>
    <row r="977" ht="15.75" customHeight="1">
      <c r="A977" s="247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  <c r="Z977" s="247"/>
      <c r="AA977" s="247"/>
      <c r="AB977" s="247"/>
      <c r="AC977" s="247"/>
      <c r="AD977" s="247"/>
      <c r="AE977" s="247"/>
      <c r="AF977" s="247"/>
      <c r="AG977" s="247"/>
    </row>
    <row r="978" ht="15.75" customHeight="1">
      <c r="A978" s="247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  <c r="Z978" s="247"/>
      <c r="AA978" s="247"/>
      <c r="AB978" s="247"/>
      <c r="AC978" s="247"/>
      <c r="AD978" s="247"/>
      <c r="AE978" s="247"/>
      <c r="AF978" s="247"/>
      <c r="AG978" s="247"/>
    </row>
    <row r="979" ht="15.75" customHeight="1">
      <c r="A979" s="247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  <c r="Z979" s="247"/>
      <c r="AA979" s="247"/>
      <c r="AB979" s="247"/>
      <c r="AC979" s="247"/>
      <c r="AD979" s="247"/>
      <c r="AE979" s="247"/>
      <c r="AF979" s="247"/>
      <c r="AG979" s="247"/>
    </row>
    <row r="980" ht="15.75" customHeight="1">
      <c r="A980" s="247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  <c r="Z980" s="247"/>
      <c r="AA980" s="247"/>
      <c r="AB980" s="247"/>
      <c r="AC980" s="247"/>
      <c r="AD980" s="247"/>
      <c r="AE980" s="247"/>
      <c r="AF980" s="247"/>
      <c r="AG980" s="247"/>
    </row>
    <row r="981" ht="15.75" customHeight="1">
      <c r="A981" s="247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  <c r="Z981" s="247"/>
      <c r="AA981" s="247"/>
      <c r="AB981" s="247"/>
      <c r="AC981" s="247"/>
      <c r="AD981" s="247"/>
      <c r="AE981" s="247"/>
      <c r="AF981" s="247"/>
      <c r="AG981" s="247"/>
    </row>
    <row r="982" ht="15.75" customHeight="1">
      <c r="A982" s="247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  <c r="Z982" s="247"/>
      <c r="AA982" s="247"/>
      <c r="AB982" s="247"/>
      <c r="AC982" s="247"/>
      <c r="AD982" s="247"/>
      <c r="AE982" s="247"/>
      <c r="AF982" s="247"/>
      <c r="AG982" s="247"/>
    </row>
    <row r="983" ht="15.75" customHeight="1">
      <c r="A983" s="247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  <c r="Z983" s="247"/>
      <c r="AA983" s="247"/>
      <c r="AB983" s="247"/>
      <c r="AC983" s="247"/>
      <c r="AD983" s="247"/>
      <c r="AE983" s="247"/>
      <c r="AF983" s="247"/>
      <c r="AG983" s="247"/>
    </row>
    <row r="984" ht="15.75" customHeight="1">
      <c r="A984" s="247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  <c r="Z984" s="247"/>
      <c r="AA984" s="247"/>
      <c r="AB984" s="247"/>
      <c r="AC984" s="247"/>
      <c r="AD984" s="247"/>
      <c r="AE984" s="247"/>
      <c r="AF984" s="247"/>
      <c r="AG984" s="247"/>
    </row>
    <row r="985" ht="15.75" customHeight="1">
      <c r="A985" s="247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  <c r="Z985" s="247"/>
      <c r="AA985" s="247"/>
      <c r="AB985" s="247"/>
      <c r="AC985" s="247"/>
      <c r="AD985" s="247"/>
      <c r="AE985" s="247"/>
      <c r="AF985" s="247"/>
      <c r="AG985" s="247"/>
    </row>
    <row r="986" ht="15.75" customHeight="1">
      <c r="A986" s="247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  <c r="Z986" s="247"/>
      <c r="AA986" s="247"/>
      <c r="AB986" s="247"/>
      <c r="AC986" s="247"/>
      <c r="AD986" s="247"/>
      <c r="AE986" s="247"/>
      <c r="AF986" s="247"/>
      <c r="AG986" s="247"/>
    </row>
    <row r="987" ht="15.75" customHeight="1">
      <c r="A987" s="247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  <c r="Z987" s="247"/>
      <c r="AA987" s="247"/>
      <c r="AB987" s="247"/>
      <c r="AC987" s="247"/>
      <c r="AD987" s="247"/>
      <c r="AE987" s="247"/>
      <c r="AF987" s="247"/>
      <c r="AG987" s="247"/>
    </row>
    <row r="988" ht="15.75" customHeight="1">
      <c r="A988" s="247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  <c r="Z988" s="247"/>
      <c r="AA988" s="247"/>
      <c r="AB988" s="247"/>
      <c r="AC988" s="247"/>
      <c r="AD988" s="247"/>
      <c r="AE988" s="247"/>
      <c r="AF988" s="247"/>
      <c r="AG988" s="247"/>
    </row>
    <row r="989" ht="15.75" customHeight="1">
      <c r="A989" s="247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  <c r="Z989" s="247"/>
      <c r="AA989" s="247"/>
      <c r="AB989" s="247"/>
      <c r="AC989" s="247"/>
      <c r="AD989" s="247"/>
      <c r="AE989" s="247"/>
      <c r="AF989" s="247"/>
      <c r="AG989" s="247"/>
    </row>
    <row r="990" ht="15.75" customHeight="1">
      <c r="A990" s="247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  <c r="Z990" s="247"/>
      <c r="AA990" s="247"/>
      <c r="AB990" s="247"/>
      <c r="AC990" s="247"/>
      <c r="AD990" s="247"/>
      <c r="AE990" s="247"/>
      <c r="AF990" s="247"/>
      <c r="AG990" s="247"/>
    </row>
    <row r="991" ht="15.75" customHeight="1">
      <c r="A991" s="247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  <c r="Z991" s="247"/>
      <c r="AA991" s="247"/>
      <c r="AB991" s="247"/>
      <c r="AC991" s="247"/>
      <c r="AD991" s="247"/>
      <c r="AE991" s="247"/>
      <c r="AF991" s="247"/>
      <c r="AG991" s="247"/>
    </row>
    <row r="992" ht="15.75" customHeight="1">
      <c r="A992" s="247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  <c r="Z992" s="247"/>
      <c r="AA992" s="247"/>
      <c r="AB992" s="247"/>
      <c r="AC992" s="247"/>
      <c r="AD992" s="247"/>
      <c r="AE992" s="247"/>
      <c r="AF992" s="247"/>
      <c r="AG992" s="247"/>
    </row>
    <row r="993" ht="15.75" customHeight="1">
      <c r="A993" s="247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  <c r="Z993" s="247"/>
      <c r="AA993" s="247"/>
      <c r="AB993" s="247"/>
      <c r="AC993" s="247"/>
      <c r="AD993" s="247"/>
      <c r="AE993" s="247"/>
      <c r="AF993" s="247"/>
      <c r="AG993" s="247"/>
    </row>
    <row r="994" ht="15.75" customHeight="1">
      <c r="A994" s="247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  <c r="Z994" s="247"/>
      <c r="AA994" s="247"/>
      <c r="AB994" s="247"/>
      <c r="AC994" s="247"/>
      <c r="AD994" s="247"/>
      <c r="AE994" s="247"/>
      <c r="AF994" s="247"/>
      <c r="AG994" s="247"/>
    </row>
    <row r="995" ht="15.75" customHeight="1">
      <c r="A995" s="247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  <c r="Z995" s="247"/>
      <c r="AA995" s="247"/>
      <c r="AB995" s="247"/>
      <c r="AC995" s="247"/>
      <c r="AD995" s="247"/>
      <c r="AE995" s="247"/>
      <c r="AF995" s="247"/>
      <c r="AG995" s="247"/>
    </row>
    <row r="996" ht="15.75" customHeight="1">
      <c r="A996" s="247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  <c r="Z996" s="247"/>
      <c r="AA996" s="247"/>
      <c r="AB996" s="247"/>
      <c r="AC996" s="247"/>
      <c r="AD996" s="247"/>
      <c r="AE996" s="247"/>
      <c r="AF996" s="247"/>
      <c r="AG996" s="247"/>
    </row>
    <row r="997" ht="15.75" customHeight="1">
      <c r="A997" s="247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  <c r="Z997" s="247"/>
      <c r="AA997" s="247"/>
      <c r="AB997" s="247"/>
      <c r="AC997" s="247"/>
      <c r="AD997" s="247"/>
      <c r="AE997" s="247"/>
      <c r="AF997" s="247"/>
      <c r="AG997" s="247"/>
    </row>
    <row r="998" ht="15.75" customHeight="1">
      <c r="A998" s="247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  <c r="Z998" s="247"/>
      <c r="AA998" s="247"/>
      <c r="AB998" s="247"/>
      <c r="AC998" s="247"/>
      <c r="AD998" s="247"/>
      <c r="AE998" s="247"/>
      <c r="AF998" s="247"/>
      <c r="AG998" s="247"/>
    </row>
    <row r="999" ht="15.75" customHeight="1">
      <c r="A999" s="247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  <c r="Z999" s="247"/>
      <c r="AA999" s="247"/>
      <c r="AB999" s="247"/>
      <c r="AC999" s="247"/>
      <c r="AD999" s="247"/>
      <c r="AE999" s="247"/>
      <c r="AF999" s="247"/>
      <c r="AG999" s="247"/>
    </row>
    <row r="1000" ht="15.75" customHeight="1">
      <c r="A1000" s="247"/>
      <c r="B1000" s="247"/>
      <c r="C1000" s="247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  <c r="Y1000" s="247"/>
      <c r="Z1000" s="247"/>
      <c r="AA1000" s="247"/>
      <c r="AB1000" s="247"/>
      <c r="AC1000" s="247"/>
      <c r="AD1000" s="247"/>
      <c r="AE1000" s="247"/>
      <c r="AF1000" s="247"/>
      <c r="AG1000" s="247"/>
    </row>
    <row r="1001" ht="15.75" customHeight="1">
      <c r="A1001" s="247"/>
      <c r="B1001" s="247"/>
      <c r="C1001" s="247"/>
      <c r="D1001" s="247"/>
      <c r="E1001" s="247"/>
      <c r="F1001" s="247"/>
      <c r="G1001" s="247"/>
      <c r="H1001" s="247"/>
      <c r="I1001" s="247"/>
      <c r="J1001" s="247"/>
      <c r="K1001" s="247"/>
      <c r="L1001" s="247"/>
      <c r="M1001" s="247"/>
      <c r="N1001" s="247"/>
      <c r="O1001" s="247"/>
      <c r="P1001" s="247"/>
      <c r="Q1001" s="247"/>
      <c r="R1001" s="247"/>
      <c r="S1001" s="247"/>
      <c r="T1001" s="247"/>
      <c r="U1001" s="247"/>
      <c r="V1001" s="247"/>
      <c r="W1001" s="247"/>
      <c r="X1001" s="247"/>
      <c r="Y1001" s="247"/>
      <c r="Z1001" s="247"/>
      <c r="AA1001" s="247"/>
      <c r="AB1001" s="247"/>
      <c r="AC1001" s="247"/>
      <c r="AD1001" s="247"/>
      <c r="AE1001" s="247"/>
      <c r="AF1001" s="247"/>
      <c r="AG1001" s="247"/>
    </row>
    <row r="1002" ht="15.75" customHeight="1">
      <c r="A1002" s="247"/>
      <c r="B1002" s="247"/>
      <c r="C1002" s="247"/>
      <c r="D1002" s="247"/>
      <c r="E1002" s="247"/>
      <c r="F1002" s="247"/>
      <c r="G1002" s="247"/>
      <c r="H1002" s="247"/>
      <c r="I1002" s="247"/>
      <c r="J1002" s="247"/>
      <c r="K1002" s="247"/>
      <c r="L1002" s="247"/>
      <c r="M1002" s="247"/>
      <c r="N1002" s="247"/>
      <c r="O1002" s="247"/>
      <c r="P1002" s="247"/>
      <c r="Q1002" s="247"/>
      <c r="R1002" s="247"/>
      <c r="S1002" s="247"/>
      <c r="T1002" s="247"/>
      <c r="U1002" s="247"/>
      <c r="V1002" s="247"/>
      <c r="W1002" s="247"/>
      <c r="X1002" s="247"/>
      <c r="Y1002" s="247"/>
      <c r="Z1002" s="247"/>
      <c r="AA1002" s="247"/>
      <c r="AB1002" s="247"/>
      <c r="AC1002" s="247"/>
      <c r="AD1002" s="247"/>
      <c r="AE1002" s="247"/>
      <c r="AF1002" s="247"/>
      <c r="AG1002" s="247"/>
    </row>
    <row r="1003" ht="15.75" customHeight="1">
      <c r="A1003" s="247"/>
      <c r="B1003" s="247"/>
      <c r="C1003" s="247"/>
      <c r="D1003" s="247"/>
      <c r="E1003" s="247"/>
      <c r="F1003" s="247"/>
      <c r="G1003" s="247"/>
      <c r="H1003" s="247"/>
      <c r="I1003" s="247"/>
      <c r="J1003" s="247"/>
      <c r="K1003" s="247"/>
      <c r="L1003" s="247"/>
      <c r="M1003" s="247"/>
      <c r="N1003" s="247"/>
      <c r="O1003" s="247"/>
      <c r="P1003" s="247"/>
      <c r="Q1003" s="247"/>
      <c r="R1003" s="247"/>
      <c r="S1003" s="247"/>
      <c r="T1003" s="247"/>
      <c r="U1003" s="247"/>
      <c r="V1003" s="247"/>
      <c r="W1003" s="247"/>
      <c r="X1003" s="247"/>
      <c r="Y1003" s="247"/>
      <c r="Z1003" s="247"/>
      <c r="AA1003" s="247"/>
      <c r="AB1003" s="247"/>
      <c r="AC1003" s="247"/>
      <c r="AD1003" s="247"/>
      <c r="AE1003" s="247"/>
      <c r="AF1003" s="247"/>
      <c r="AG1003" s="247"/>
    </row>
    <row r="1004" ht="15.75" customHeight="1">
      <c r="A1004" s="247"/>
      <c r="B1004" s="247"/>
      <c r="C1004" s="247"/>
      <c r="D1004" s="247"/>
      <c r="E1004" s="247"/>
      <c r="F1004" s="247"/>
      <c r="G1004" s="247"/>
      <c r="H1004" s="247"/>
      <c r="I1004" s="247"/>
      <c r="J1004" s="247"/>
      <c r="K1004" s="247"/>
      <c r="L1004" s="247"/>
      <c r="M1004" s="247"/>
      <c r="N1004" s="247"/>
      <c r="O1004" s="247"/>
      <c r="P1004" s="247"/>
      <c r="Q1004" s="247"/>
      <c r="R1004" s="247"/>
      <c r="S1004" s="247"/>
      <c r="T1004" s="247"/>
      <c r="U1004" s="247"/>
      <c r="V1004" s="247"/>
      <c r="W1004" s="247"/>
      <c r="X1004" s="247"/>
      <c r="Y1004" s="247"/>
      <c r="Z1004" s="247"/>
      <c r="AA1004" s="247"/>
      <c r="AB1004" s="247"/>
      <c r="AC1004" s="247"/>
      <c r="AD1004" s="247"/>
      <c r="AE1004" s="247"/>
      <c r="AF1004" s="247"/>
      <c r="AG1004" s="247"/>
    </row>
    <row r="1005" ht="15.75" customHeight="1">
      <c r="A1005" s="247"/>
      <c r="B1005" s="247"/>
      <c r="C1005" s="247"/>
      <c r="D1005" s="247"/>
      <c r="E1005" s="247"/>
      <c r="F1005" s="247"/>
      <c r="G1005" s="247"/>
      <c r="H1005" s="247"/>
      <c r="I1005" s="247"/>
      <c r="J1005" s="247"/>
      <c r="K1005" s="247"/>
      <c r="L1005" s="247"/>
      <c r="M1005" s="247"/>
      <c r="N1005" s="247"/>
      <c r="O1005" s="247"/>
      <c r="P1005" s="247"/>
      <c r="Q1005" s="247"/>
      <c r="R1005" s="247"/>
      <c r="S1005" s="247"/>
      <c r="T1005" s="247"/>
      <c r="U1005" s="247"/>
      <c r="V1005" s="247"/>
      <c r="W1005" s="247"/>
      <c r="X1005" s="247"/>
      <c r="Y1005" s="247"/>
      <c r="Z1005" s="247"/>
      <c r="AA1005" s="247"/>
      <c r="AB1005" s="247"/>
      <c r="AC1005" s="247"/>
      <c r="AD1005" s="247"/>
      <c r="AE1005" s="247"/>
      <c r="AF1005" s="247"/>
      <c r="AG1005" s="247"/>
    </row>
    <row r="1006" ht="15.75" customHeight="1">
      <c r="A1006" s="247"/>
      <c r="B1006" s="247"/>
      <c r="C1006" s="247"/>
      <c r="D1006" s="247"/>
      <c r="E1006" s="247"/>
      <c r="F1006" s="247"/>
      <c r="G1006" s="247"/>
      <c r="H1006" s="247"/>
      <c r="I1006" s="247"/>
      <c r="J1006" s="247"/>
      <c r="K1006" s="247"/>
      <c r="L1006" s="247"/>
      <c r="M1006" s="247"/>
      <c r="N1006" s="247"/>
      <c r="O1006" s="247"/>
      <c r="P1006" s="247"/>
      <c r="Q1006" s="247"/>
      <c r="R1006" s="247"/>
      <c r="S1006" s="247"/>
      <c r="T1006" s="247"/>
      <c r="U1006" s="247"/>
      <c r="V1006" s="247"/>
      <c r="W1006" s="247"/>
      <c r="X1006" s="247"/>
      <c r="Y1006" s="247"/>
      <c r="Z1006" s="247"/>
      <c r="AA1006" s="247"/>
      <c r="AB1006" s="247"/>
      <c r="AC1006" s="247"/>
      <c r="AD1006" s="247"/>
      <c r="AE1006" s="247"/>
      <c r="AF1006" s="247"/>
      <c r="AG1006" s="247"/>
    </row>
    <row r="1007" ht="15.75" customHeight="1">
      <c r="A1007" s="247"/>
      <c r="B1007" s="247"/>
      <c r="C1007" s="247"/>
      <c r="D1007" s="247"/>
      <c r="E1007" s="247"/>
      <c r="F1007" s="247"/>
      <c r="G1007" s="247"/>
      <c r="H1007" s="247"/>
      <c r="I1007" s="247"/>
      <c r="J1007" s="247"/>
      <c r="K1007" s="247"/>
      <c r="L1007" s="247"/>
      <c r="M1007" s="247"/>
      <c r="N1007" s="247"/>
      <c r="O1007" s="247"/>
      <c r="P1007" s="247"/>
      <c r="Q1007" s="247"/>
      <c r="R1007" s="247"/>
      <c r="S1007" s="247"/>
      <c r="T1007" s="247"/>
      <c r="U1007" s="247"/>
      <c r="V1007" s="247"/>
      <c r="W1007" s="247"/>
      <c r="X1007" s="247"/>
      <c r="Y1007" s="247"/>
      <c r="Z1007" s="247"/>
      <c r="AA1007" s="247"/>
      <c r="AB1007" s="247"/>
      <c r="AC1007" s="247"/>
      <c r="AD1007" s="247"/>
      <c r="AE1007" s="247"/>
      <c r="AF1007" s="247"/>
      <c r="AG1007" s="247"/>
    </row>
    <row r="1008" ht="15.75" customHeight="1">
      <c r="A1008" s="247"/>
      <c r="B1008" s="247"/>
      <c r="C1008" s="247"/>
      <c r="D1008" s="247"/>
      <c r="E1008" s="247"/>
      <c r="F1008" s="247"/>
      <c r="G1008" s="247"/>
      <c r="H1008" s="247"/>
      <c r="I1008" s="247"/>
      <c r="J1008" s="247"/>
      <c r="K1008" s="247"/>
      <c r="L1008" s="247"/>
      <c r="M1008" s="247"/>
      <c r="N1008" s="247"/>
      <c r="O1008" s="247"/>
      <c r="P1008" s="247"/>
      <c r="Q1008" s="247"/>
      <c r="R1008" s="247"/>
      <c r="S1008" s="247"/>
      <c r="T1008" s="247"/>
      <c r="U1008" s="247"/>
      <c r="V1008" s="247"/>
      <c r="W1008" s="247"/>
      <c r="X1008" s="247"/>
      <c r="Y1008" s="247"/>
      <c r="Z1008" s="247"/>
      <c r="AA1008" s="247"/>
      <c r="AB1008" s="247"/>
      <c r="AC1008" s="247"/>
      <c r="AD1008" s="247"/>
      <c r="AE1008" s="247"/>
      <c r="AF1008" s="247"/>
      <c r="AG1008" s="247"/>
    </row>
    <row r="1009" ht="15.75" customHeight="1">
      <c r="A1009" s="247"/>
      <c r="B1009" s="247"/>
      <c r="C1009" s="247"/>
      <c r="D1009" s="247"/>
      <c r="E1009" s="247"/>
      <c r="F1009" s="247"/>
      <c r="G1009" s="247"/>
      <c r="H1009" s="247"/>
      <c r="I1009" s="247"/>
      <c r="J1009" s="247"/>
      <c r="K1009" s="247"/>
      <c r="L1009" s="247"/>
      <c r="M1009" s="247"/>
      <c r="N1009" s="247"/>
      <c r="O1009" s="247"/>
      <c r="P1009" s="247"/>
      <c r="Q1009" s="247"/>
      <c r="R1009" s="247"/>
      <c r="S1009" s="247"/>
      <c r="T1009" s="247"/>
      <c r="U1009" s="247"/>
      <c r="V1009" s="247"/>
      <c r="W1009" s="247"/>
      <c r="X1009" s="247"/>
      <c r="Y1009" s="247"/>
      <c r="Z1009" s="247"/>
      <c r="AA1009" s="247"/>
      <c r="AB1009" s="247"/>
      <c r="AC1009" s="247"/>
      <c r="AD1009" s="247"/>
      <c r="AE1009" s="247"/>
      <c r="AF1009" s="247"/>
      <c r="AG1009" s="247"/>
    </row>
    <row r="1010" ht="15.75" customHeight="1">
      <c r="A1010" s="247"/>
      <c r="B1010" s="247"/>
      <c r="C1010" s="247"/>
      <c r="D1010" s="247"/>
      <c r="E1010" s="247"/>
      <c r="F1010" s="247"/>
      <c r="G1010" s="247"/>
      <c r="H1010" s="247"/>
      <c r="I1010" s="247"/>
      <c r="J1010" s="247"/>
      <c r="K1010" s="247"/>
      <c r="L1010" s="247"/>
      <c r="M1010" s="247"/>
      <c r="N1010" s="247"/>
      <c r="O1010" s="247"/>
      <c r="P1010" s="247"/>
      <c r="Q1010" s="247"/>
      <c r="R1010" s="247"/>
      <c r="S1010" s="247"/>
      <c r="T1010" s="247"/>
      <c r="U1010" s="247"/>
      <c r="V1010" s="247"/>
      <c r="W1010" s="247"/>
      <c r="X1010" s="247"/>
      <c r="Y1010" s="247"/>
      <c r="Z1010" s="247"/>
      <c r="AA1010" s="247"/>
      <c r="AB1010" s="247"/>
      <c r="AC1010" s="247"/>
      <c r="AD1010" s="247"/>
      <c r="AE1010" s="247"/>
      <c r="AF1010" s="247"/>
      <c r="AG1010" s="247"/>
    </row>
    <row r="1011" ht="15.75" customHeight="1">
      <c r="A1011" s="247"/>
      <c r="B1011" s="247"/>
      <c r="C1011" s="247"/>
      <c r="D1011" s="247"/>
      <c r="E1011" s="247"/>
      <c r="F1011" s="247"/>
      <c r="G1011" s="247"/>
      <c r="H1011" s="247"/>
      <c r="I1011" s="247"/>
      <c r="J1011" s="247"/>
      <c r="K1011" s="247"/>
      <c r="L1011" s="247"/>
      <c r="M1011" s="247"/>
      <c r="N1011" s="247"/>
      <c r="O1011" s="247"/>
      <c r="P1011" s="247"/>
      <c r="Q1011" s="247"/>
      <c r="R1011" s="247"/>
      <c r="S1011" s="247"/>
      <c r="T1011" s="247"/>
      <c r="U1011" s="247"/>
      <c r="V1011" s="247"/>
      <c r="W1011" s="247"/>
      <c r="X1011" s="247"/>
      <c r="Y1011" s="247"/>
      <c r="Z1011" s="247"/>
      <c r="AA1011" s="247"/>
      <c r="AB1011" s="247"/>
      <c r="AC1011" s="247"/>
      <c r="AD1011" s="247"/>
      <c r="AE1011" s="247"/>
      <c r="AF1011" s="247"/>
      <c r="AG1011" s="247"/>
    </row>
    <row r="1012" ht="15.75" customHeight="1">
      <c r="A1012" s="247"/>
      <c r="B1012" s="247"/>
      <c r="C1012" s="247"/>
      <c r="D1012" s="247"/>
      <c r="E1012" s="247"/>
      <c r="F1012" s="247"/>
      <c r="G1012" s="247"/>
      <c r="H1012" s="247"/>
      <c r="I1012" s="247"/>
      <c r="J1012" s="247"/>
      <c r="K1012" s="247"/>
      <c r="L1012" s="247"/>
      <c r="M1012" s="247"/>
      <c r="N1012" s="247"/>
      <c r="O1012" s="247"/>
      <c r="P1012" s="247"/>
      <c r="Q1012" s="247"/>
      <c r="R1012" s="247"/>
      <c r="S1012" s="247"/>
      <c r="T1012" s="247"/>
      <c r="U1012" s="247"/>
      <c r="V1012" s="247"/>
      <c r="W1012" s="247"/>
      <c r="X1012" s="247"/>
      <c r="Y1012" s="247"/>
      <c r="Z1012" s="247"/>
      <c r="AA1012" s="247"/>
      <c r="AB1012" s="247"/>
      <c r="AC1012" s="247"/>
      <c r="AD1012" s="247"/>
      <c r="AE1012" s="247"/>
      <c r="AF1012" s="247"/>
      <c r="AG1012" s="247"/>
    </row>
    <row r="1013" ht="15.75" customHeight="1">
      <c r="A1013" s="247"/>
      <c r="B1013" s="247"/>
      <c r="C1013" s="247"/>
      <c r="D1013" s="247"/>
      <c r="E1013" s="247"/>
      <c r="F1013" s="247"/>
      <c r="G1013" s="247"/>
      <c r="H1013" s="247"/>
      <c r="I1013" s="247"/>
      <c r="J1013" s="247"/>
      <c r="K1013" s="247"/>
      <c r="L1013" s="247"/>
      <c r="M1013" s="247"/>
      <c r="N1013" s="247"/>
      <c r="O1013" s="247"/>
      <c r="P1013" s="247"/>
      <c r="Q1013" s="247"/>
      <c r="R1013" s="247"/>
      <c r="S1013" s="247"/>
      <c r="T1013" s="247"/>
      <c r="U1013" s="247"/>
      <c r="V1013" s="247"/>
      <c r="W1013" s="247"/>
      <c r="X1013" s="247"/>
      <c r="Y1013" s="247"/>
      <c r="Z1013" s="247"/>
      <c r="AA1013" s="247"/>
      <c r="AB1013" s="247"/>
      <c r="AC1013" s="247"/>
      <c r="AD1013" s="247"/>
      <c r="AE1013" s="247"/>
      <c r="AF1013" s="247"/>
      <c r="AG1013" s="247"/>
    </row>
    <row r="1014" ht="15.75" customHeight="1">
      <c r="A1014" s="247"/>
      <c r="B1014" s="247"/>
      <c r="C1014" s="247"/>
      <c r="D1014" s="247"/>
      <c r="E1014" s="247"/>
      <c r="F1014" s="247"/>
      <c r="G1014" s="247"/>
      <c r="H1014" s="247"/>
      <c r="I1014" s="247"/>
      <c r="J1014" s="247"/>
      <c r="K1014" s="247"/>
      <c r="L1014" s="247"/>
      <c r="M1014" s="247"/>
      <c r="N1014" s="247"/>
      <c r="O1014" s="247"/>
      <c r="P1014" s="247"/>
      <c r="Q1014" s="247"/>
      <c r="R1014" s="247"/>
      <c r="S1014" s="247"/>
      <c r="T1014" s="247"/>
      <c r="U1014" s="247"/>
      <c r="V1014" s="247"/>
      <c r="W1014" s="247"/>
      <c r="X1014" s="247"/>
      <c r="Y1014" s="247"/>
      <c r="Z1014" s="247"/>
      <c r="AA1014" s="247"/>
      <c r="AB1014" s="247"/>
      <c r="AC1014" s="247"/>
      <c r="AD1014" s="247"/>
      <c r="AE1014" s="247"/>
      <c r="AF1014" s="247"/>
      <c r="AG1014" s="247"/>
    </row>
    <row r="1015" ht="15.75" customHeight="1">
      <c r="A1015" s="247"/>
      <c r="B1015" s="247"/>
      <c r="C1015" s="247"/>
      <c r="D1015" s="247"/>
      <c r="E1015" s="247"/>
      <c r="F1015" s="247"/>
      <c r="G1015" s="247"/>
      <c r="H1015" s="247"/>
      <c r="I1015" s="247"/>
      <c r="J1015" s="247"/>
      <c r="K1015" s="247"/>
      <c r="L1015" s="247"/>
      <c r="M1015" s="247"/>
      <c r="N1015" s="247"/>
      <c r="O1015" s="247"/>
      <c r="P1015" s="247"/>
      <c r="Q1015" s="247"/>
      <c r="R1015" s="247"/>
      <c r="S1015" s="247"/>
      <c r="T1015" s="247"/>
      <c r="U1015" s="247"/>
      <c r="V1015" s="247"/>
      <c r="W1015" s="247"/>
      <c r="X1015" s="247"/>
      <c r="Y1015" s="247"/>
      <c r="Z1015" s="247"/>
      <c r="AA1015" s="247"/>
      <c r="AB1015" s="247"/>
      <c r="AC1015" s="247"/>
      <c r="AD1015" s="247"/>
      <c r="AE1015" s="247"/>
      <c r="AF1015" s="247"/>
      <c r="AG1015" s="247"/>
    </row>
    <row r="1016" ht="15.75" customHeight="1">
      <c r="A1016" s="247"/>
      <c r="B1016" s="247"/>
      <c r="C1016" s="247"/>
      <c r="D1016" s="247"/>
      <c r="E1016" s="247"/>
      <c r="F1016" s="247"/>
      <c r="G1016" s="247"/>
      <c r="H1016" s="247"/>
      <c r="I1016" s="247"/>
      <c r="J1016" s="247"/>
      <c r="K1016" s="247"/>
      <c r="L1016" s="247"/>
      <c r="M1016" s="247"/>
      <c r="N1016" s="247"/>
      <c r="O1016" s="247"/>
      <c r="P1016" s="247"/>
      <c r="Q1016" s="247"/>
      <c r="R1016" s="247"/>
      <c r="S1016" s="247"/>
      <c r="T1016" s="247"/>
      <c r="U1016" s="247"/>
      <c r="V1016" s="247"/>
      <c r="W1016" s="247"/>
      <c r="X1016" s="247"/>
      <c r="Y1016" s="247"/>
      <c r="Z1016" s="247"/>
      <c r="AA1016" s="247"/>
      <c r="AB1016" s="247"/>
      <c r="AC1016" s="247"/>
      <c r="AD1016" s="247"/>
      <c r="AE1016" s="247"/>
      <c r="AF1016" s="247"/>
      <c r="AG1016" s="247"/>
    </row>
    <row r="1017" ht="15.75" customHeight="1">
      <c r="A1017" s="247"/>
      <c r="B1017" s="247"/>
      <c r="C1017" s="247"/>
      <c r="D1017" s="247"/>
      <c r="E1017" s="247"/>
      <c r="F1017" s="247"/>
      <c r="G1017" s="247"/>
      <c r="H1017" s="247"/>
      <c r="I1017" s="247"/>
      <c r="J1017" s="247"/>
      <c r="K1017" s="247"/>
      <c r="L1017" s="247"/>
      <c r="M1017" s="247"/>
      <c r="N1017" s="247"/>
      <c r="O1017" s="247"/>
      <c r="P1017" s="247"/>
      <c r="Q1017" s="247"/>
      <c r="R1017" s="247"/>
      <c r="S1017" s="247"/>
      <c r="T1017" s="247"/>
      <c r="U1017" s="247"/>
      <c r="V1017" s="247"/>
      <c r="W1017" s="247"/>
      <c r="X1017" s="247"/>
      <c r="Y1017" s="247"/>
      <c r="Z1017" s="247"/>
      <c r="AA1017" s="247"/>
      <c r="AB1017" s="247"/>
      <c r="AC1017" s="247"/>
      <c r="AD1017" s="247"/>
      <c r="AE1017" s="247"/>
      <c r="AF1017" s="247"/>
      <c r="AG1017" s="247"/>
    </row>
    <row r="1018" ht="15.75" customHeight="1">
      <c r="A1018" s="247"/>
      <c r="B1018" s="247"/>
      <c r="C1018" s="247"/>
      <c r="D1018" s="247"/>
      <c r="E1018" s="247"/>
      <c r="F1018" s="247"/>
      <c r="G1018" s="247"/>
      <c r="H1018" s="247"/>
      <c r="I1018" s="247"/>
      <c r="J1018" s="247"/>
      <c r="K1018" s="247"/>
      <c r="L1018" s="247"/>
      <c r="M1018" s="247"/>
      <c r="N1018" s="247"/>
      <c r="O1018" s="247"/>
      <c r="P1018" s="247"/>
      <c r="Q1018" s="247"/>
      <c r="R1018" s="247"/>
      <c r="S1018" s="247"/>
      <c r="T1018" s="247"/>
      <c r="U1018" s="247"/>
      <c r="V1018" s="247"/>
      <c r="W1018" s="247"/>
      <c r="X1018" s="247"/>
      <c r="Y1018" s="247"/>
      <c r="Z1018" s="247"/>
      <c r="AA1018" s="247"/>
      <c r="AB1018" s="247"/>
      <c r="AC1018" s="247"/>
      <c r="AD1018" s="247"/>
      <c r="AE1018" s="247"/>
      <c r="AF1018" s="247"/>
      <c r="AG1018" s="247"/>
    </row>
    <row r="1019" ht="15.75" customHeight="1">
      <c r="A1019" s="247"/>
      <c r="B1019" s="247"/>
      <c r="C1019" s="247"/>
      <c r="D1019" s="247"/>
      <c r="E1019" s="247"/>
      <c r="F1019" s="247"/>
      <c r="G1019" s="247"/>
      <c r="H1019" s="247"/>
      <c r="I1019" s="247"/>
      <c r="J1019" s="247"/>
      <c r="K1019" s="247"/>
      <c r="L1019" s="247"/>
      <c r="M1019" s="247"/>
      <c r="N1019" s="247"/>
      <c r="O1019" s="247"/>
      <c r="P1019" s="247"/>
      <c r="Q1019" s="247"/>
      <c r="R1019" s="247"/>
      <c r="S1019" s="247"/>
      <c r="T1019" s="247"/>
      <c r="U1019" s="247"/>
      <c r="V1019" s="247"/>
      <c r="W1019" s="247"/>
      <c r="X1019" s="247"/>
      <c r="Y1019" s="247"/>
      <c r="Z1019" s="247"/>
      <c r="AA1019" s="247"/>
      <c r="AB1019" s="247"/>
      <c r="AC1019" s="247"/>
      <c r="AD1019" s="247"/>
      <c r="AE1019" s="247"/>
      <c r="AF1019" s="247"/>
      <c r="AG1019" s="247"/>
    </row>
    <row r="1020" ht="15.75" customHeight="1">
      <c r="A1020" s="247"/>
      <c r="B1020" s="247"/>
      <c r="C1020" s="247"/>
      <c r="D1020" s="247"/>
      <c r="E1020" s="247"/>
      <c r="F1020" s="247"/>
      <c r="G1020" s="247"/>
      <c r="H1020" s="247"/>
      <c r="I1020" s="247"/>
      <c r="J1020" s="247"/>
      <c r="K1020" s="247"/>
      <c r="L1020" s="247"/>
      <c r="M1020" s="247"/>
      <c r="N1020" s="247"/>
      <c r="O1020" s="247"/>
      <c r="P1020" s="247"/>
      <c r="Q1020" s="247"/>
      <c r="R1020" s="247"/>
      <c r="S1020" s="247"/>
      <c r="T1020" s="247"/>
      <c r="U1020" s="247"/>
      <c r="V1020" s="247"/>
      <c r="W1020" s="247"/>
      <c r="X1020" s="247"/>
      <c r="Y1020" s="247"/>
      <c r="Z1020" s="247"/>
      <c r="AA1020" s="247"/>
      <c r="AB1020" s="247"/>
      <c r="AC1020" s="247"/>
      <c r="AD1020" s="247"/>
      <c r="AE1020" s="247"/>
      <c r="AF1020" s="247"/>
      <c r="AG1020" s="247"/>
    </row>
    <row r="1021" ht="15.75" customHeight="1">
      <c r="A1021" s="247"/>
      <c r="B1021" s="247"/>
      <c r="C1021" s="247"/>
      <c r="D1021" s="247"/>
      <c r="E1021" s="247"/>
      <c r="F1021" s="247"/>
      <c r="G1021" s="247"/>
      <c r="H1021" s="247"/>
      <c r="I1021" s="247"/>
      <c r="J1021" s="247"/>
      <c r="K1021" s="247"/>
      <c r="L1021" s="247"/>
      <c r="M1021" s="247"/>
      <c r="N1021" s="247"/>
      <c r="O1021" s="247"/>
      <c r="P1021" s="247"/>
      <c r="Q1021" s="247"/>
      <c r="R1021" s="247"/>
      <c r="S1021" s="247"/>
      <c r="T1021" s="247"/>
      <c r="U1021" s="247"/>
      <c r="V1021" s="247"/>
      <c r="W1021" s="247"/>
      <c r="X1021" s="247"/>
      <c r="Y1021" s="247"/>
      <c r="Z1021" s="247"/>
      <c r="AA1021" s="247"/>
      <c r="AB1021" s="247"/>
      <c r="AC1021" s="247"/>
      <c r="AD1021" s="247"/>
      <c r="AE1021" s="247"/>
      <c r="AF1021" s="247"/>
      <c r="AG1021" s="247"/>
    </row>
    <row r="1022" ht="15.75" customHeight="1">
      <c r="A1022" s="247"/>
      <c r="B1022" s="247"/>
      <c r="C1022" s="247"/>
      <c r="D1022" s="247"/>
      <c r="E1022" s="247"/>
      <c r="F1022" s="247"/>
      <c r="G1022" s="247"/>
      <c r="H1022" s="247"/>
      <c r="I1022" s="247"/>
      <c r="J1022" s="247"/>
      <c r="K1022" s="247"/>
      <c r="L1022" s="247"/>
      <c r="M1022" s="247"/>
      <c r="N1022" s="247"/>
      <c r="O1022" s="247"/>
      <c r="P1022" s="247"/>
      <c r="Q1022" s="247"/>
      <c r="R1022" s="247"/>
      <c r="S1022" s="247"/>
      <c r="T1022" s="247"/>
      <c r="U1022" s="247"/>
      <c r="V1022" s="247"/>
      <c r="W1022" s="247"/>
      <c r="X1022" s="247"/>
      <c r="Y1022" s="247"/>
      <c r="Z1022" s="247"/>
      <c r="AA1022" s="247"/>
      <c r="AB1022" s="247"/>
      <c r="AC1022" s="247"/>
      <c r="AD1022" s="247"/>
      <c r="AE1022" s="247"/>
      <c r="AF1022" s="247"/>
      <c r="AG1022" s="247"/>
    </row>
    <row r="1023" ht="15.75" customHeight="1">
      <c r="A1023" s="247"/>
      <c r="B1023" s="247"/>
      <c r="C1023" s="247"/>
      <c r="D1023" s="247"/>
      <c r="E1023" s="247"/>
      <c r="F1023" s="247"/>
      <c r="G1023" s="247"/>
      <c r="H1023" s="247"/>
      <c r="I1023" s="247"/>
      <c r="J1023" s="247"/>
      <c r="K1023" s="247"/>
      <c r="L1023" s="247"/>
      <c r="M1023" s="247"/>
      <c r="N1023" s="247"/>
      <c r="O1023" s="247"/>
      <c r="P1023" s="247"/>
      <c r="Q1023" s="247"/>
      <c r="R1023" s="247"/>
      <c r="S1023" s="247"/>
      <c r="T1023" s="247"/>
      <c r="U1023" s="247"/>
      <c r="V1023" s="247"/>
      <c r="W1023" s="247"/>
      <c r="X1023" s="247"/>
      <c r="Y1023" s="247"/>
      <c r="Z1023" s="247"/>
      <c r="AA1023" s="247"/>
      <c r="AB1023" s="247"/>
      <c r="AC1023" s="247"/>
      <c r="AD1023" s="247"/>
      <c r="AE1023" s="247"/>
      <c r="AF1023" s="247"/>
      <c r="AG1023" s="247"/>
    </row>
    <row r="1024" ht="15.75" customHeight="1">
      <c r="A1024" s="247"/>
      <c r="B1024" s="247"/>
      <c r="C1024" s="247"/>
      <c r="D1024" s="247"/>
      <c r="E1024" s="247"/>
      <c r="F1024" s="247"/>
      <c r="G1024" s="247"/>
      <c r="H1024" s="247"/>
      <c r="I1024" s="247"/>
      <c r="J1024" s="247"/>
      <c r="K1024" s="247"/>
      <c r="L1024" s="247"/>
      <c r="M1024" s="247"/>
      <c r="N1024" s="247"/>
      <c r="O1024" s="247"/>
      <c r="P1024" s="247"/>
      <c r="Q1024" s="247"/>
      <c r="R1024" s="247"/>
      <c r="S1024" s="247"/>
      <c r="T1024" s="247"/>
      <c r="U1024" s="247"/>
      <c r="V1024" s="247"/>
      <c r="W1024" s="247"/>
      <c r="X1024" s="247"/>
      <c r="Y1024" s="247"/>
      <c r="Z1024" s="247"/>
      <c r="AA1024" s="247"/>
      <c r="AB1024" s="247"/>
      <c r="AC1024" s="247"/>
      <c r="AD1024" s="247"/>
      <c r="AE1024" s="247"/>
      <c r="AF1024" s="247"/>
      <c r="AG1024" s="247"/>
    </row>
    <row r="1025" ht="15.75" customHeight="1">
      <c r="A1025" s="247"/>
      <c r="B1025" s="247"/>
      <c r="C1025" s="247"/>
      <c r="D1025" s="247"/>
      <c r="E1025" s="247"/>
      <c r="F1025" s="247"/>
      <c r="G1025" s="247"/>
      <c r="H1025" s="247"/>
      <c r="I1025" s="247"/>
      <c r="J1025" s="247"/>
      <c r="K1025" s="247"/>
      <c r="L1025" s="247"/>
      <c r="M1025" s="247"/>
      <c r="N1025" s="247"/>
      <c r="O1025" s="247"/>
      <c r="P1025" s="247"/>
      <c r="Q1025" s="247"/>
      <c r="R1025" s="247"/>
      <c r="S1025" s="247"/>
      <c r="T1025" s="247"/>
      <c r="U1025" s="247"/>
      <c r="V1025" s="247"/>
      <c r="W1025" s="247"/>
      <c r="X1025" s="247"/>
      <c r="Y1025" s="247"/>
      <c r="Z1025" s="247"/>
      <c r="AA1025" s="247"/>
      <c r="AB1025" s="247"/>
      <c r="AC1025" s="247"/>
      <c r="AD1025" s="247"/>
      <c r="AE1025" s="247"/>
      <c r="AF1025" s="247"/>
      <c r="AG1025" s="247"/>
    </row>
    <row r="1026" ht="15.75" customHeight="1">
      <c r="A1026" s="247"/>
      <c r="B1026" s="247"/>
      <c r="C1026" s="247"/>
      <c r="D1026" s="247"/>
      <c r="E1026" s="247"/>
      <c r="F1026" s="247"/>
      <c r="G1026" s="247"/>
      <c r="H1026" s="247"/>
      <c r="I1026" s="247"/>
      <c r="J1026" s="247"/>
      <c r="K1026" s="247"/>
      <c r="L1026" s="247"/>
      <c r="M1026" s="247"/>
      <c r="N1026" s="247"/>
      <c r="O1026" s="247"/>
      <c r="P1026" s="247"/>
      <c r="Q1026" s="247"/>
      <c r="R1026" s="247"/>
      <c r="S1026" s="247"/>
      <c r="T1026" s="247"/>
      <c r="U1026" s="247"/>
      <c r="V1026" s="247"/>
      <c r="W1026" s="247"/>
      <c r="X1026" s="247"/>
      <c r="Y1026" s="247"/>
      <c r="Z1026" s="247"/>
      <c r="AA1026" s="247"/>
      <c r="AB1026" s="247"/>
      <c r="AC1026" s="247"/>
      <c r="AD1026" s="247"/>
      <c r="AE1026" s="247"/>
      <c r="AF1026" s="247"/>
      <c r="AG1026" s="247"/>
    </row>
    <row r="1027" ht="15.75" customHeight="1">
      <c r="A1027" s="247"/>
      <c r="B1027" s="247"/>
      <c r="C1027" s="247"/>
      <c r="D1027" s="247"/>
      <c r="E1027" s="247"/>
      <c r="F1027" s="247"/>
      <c r="G1027" s="247"/>
      <c r="H1027" s="247"/>
      <c r="I1027" s="247"/>
      <c r="J1027" s="247"/>
      <c r="K1027" s="247"/>
      <c r="L1027" s="247"/>
      <c r="M1027" s="247"/>
      <c r="N1027" s="247"/>
      <c r="O1027" s="247"/>
      <c r="P1027" s="247"/>
      <c r="Q1027" s="247"/>
      <c r="R1027" s="247"/>
      <c r="S1027" s="247"/>
      <c r="T1027" s="247"/>
      <c r="U1027" s="247"/>
      <c r="V1027" s="247"/>
      <c r="W1027" s="247"/>
      <c r="X1027" s="247"/>
      <c r="Y1027" s="247"/>
      <c r="Z1027" s="247"/>
      <c r="AA1027" s="247"/>
      <c r="AB1027" s="247"/>
      <c r="AC1027" s="247"/>
      <c r="AD1027" s="247"/>
      <c r="AE1027" s="247"/>
      <c r="AF1027" s="247"/>
      <c r="AG1027" s="247"/>
    </row>
    <row r="1028" ht="15.75" customHeight="1">
      <c r="A1028" s="247"/>
      <c r="B1028" s="247"/>
      <c r="C1028" s="247"/>
      <c r="D1028" s="247"/>
      <c r="E1028" s="247"/>
      <c r="F1028" s="247"/>
      <c r="G1028" s="247"/>
      <c r="H1028" s="247"/>
      <c r="I1028" s="247"/>
      <c r="J1028" s="247"/>
      <c r="K1028" s="247"/>
      <c r="L1028" s="247"/>
      <c r="M1028" s="247"/>
      <c r="N1028" s="247"/>
      <c r="O1028" s="247"/>
      <c r="P1028" s="247"/>
      <c r="Q1028" s="247"/>
      <c r="R1028" s="247"/>
      <c r="S1028" s="247"/>
      <c r="T1028" s="247"/>
      <c r="U1028" s="247"/>
      <c r="V1028" s="247"/>
      <c r="W1028" s="247"/>
      <c r="X1028" s="247"/>
      <c r="Y1028" s="247"/>
      <c r="Z1028" s="247"/>
      <c r="AA1028" s="247"/>
      <c r="AB1028" s="247"/>
      <c r="AC1028" s="247"/>
      <c r="AD1028" s="247"/>
      <c r="AE1028" s="247"/>
      <c r="AF1028" s="247"/>
      <c r="AG1028" s="247"/>
    </row>
    <row r="1029" ht="15.75" customHeight="1">
      <c r="A1029" s="247"/>
      <c r="B1029" s="247"/>
      <c r="C1029" s="247"/>
      <c r="D1029" s="247"/>
      <c r="E1029" s="247"/>
      <c r="F1029" s="247"/>
      <c r="G1029" s="247"/>
      <c r="H1029" s="247"/>
      <c r="I1029" s="247"/>
      <c r="J1029" s="247"/>
      <c r="K1029" s="247"/>
      <c r="L1029" s="247"/>
      <c r="M1029" s="247"/>
      <c r="N1029" s="247"/>
      <c r="O1029" s="247"/>
      <c r="P1029" s="247"/>
      <c r="Q1029" s="247"/>
      <c r="R1029" s="247"/>
      <c r="S1029" s="247"/>
      <c r="T1029" s="247"/>
      <c r="U1029" s="247"/>
      <c r="V1029" s="247"/>
      <c r="W1029" s="247"/>
      <c r="X1029" s="247"/>
      <c r="Y1029" s="247"/>
      <c r="Z1029" s="247"/>
      <c r="AA1029" s="247"/>
      <c r="AB1029" s="247"/>
      <c r="AC1029" s="247"/>
      <c r="AD1029" s="247"/>
      <c r="AE1029" s="247"/>
      <c r="AF1029" s="247"/>
      <c r="AG1029" s="247"/>
    </row>
    <row r="1030" ht="15.75" customHeight="1">
      <c r="A1030" s="247"/>
      <c r="B1030" s="247"/>
      <c r="C1030" s="247"/>
      <c r="D1030" s="247"/>
      <c r="E1030" s="247"/>
      <c r="F1030" s="247"/>
      <c r="G1030" s="247"/>
      <c r="H1030" s="247"/>
      <c r="I1030" s="247"/>
      <c r="J1030" s="247"/>
      <c r="K1030" s="247"/>
      <c r="L1030" s="247"/>
      <c r="M1030" s="247"/>
      <c r="N1030" s="247"/>
      <c r="O1030" s="247"/>
      <c r="P1030" s="247"/>
      <c r="Q1030" s="247"/>
      <c r="R1030" s="247"/>
      <c r="S1030" s="247"/>
      <c r="T1030" s="247"/>
      <c r="U1030" s="247"/>
      <c r="V1030" s="247"/>
      <c r="W1030" s="247"/>
      <c r="X1030" s="247"/>
      <c r="Y1030" s="247"/>
      <c r="Z1030" s="247"/>
      <c r="AA1030" s="247"/>
      <c r="AB1030" s="247"/>
      <c r="AC1030" s="247"/>
      <c r="AD1030" s="247"/>
      <c r="AE1030" s="247"/>
      <c r="AF1030" s="247"/>
      <c r="AG1030" s="247"/>
    </row>
    <row r="1031" ht="15.75" customHeight="1">
      <c r="A1031" s="247"/>
      <c r="B1031" s="247"/>
      <c r="C1031" s="247"/>
      <c r="D1031" s="247"/>
      <c r="E1031" s="247"/>
      <c r="F1031" s="247"/>
      <c r="G1031" s="247"/>
      <c r="H1031" s="247"/>
      <c r="I1031" s="247"/>
      <c r="J1031" s="247"/>
      <c r="K1031" s="247"/>
      <c r="L1031" s="247"/>
      <c r="M1031" s="247"/>
      <c r="N1031" s="247"/>
      <c r="O1031" s="247"/>
      <c r="P1031" s="247"/>
      <c r="Q1031" s="247"/>
      <c r="R1031" s="247"/>
      <c r="S1031" s="247"/>
      <c r="T1031" s="247"/>
      <c r="U1031" s="247"/>
      <c r="V1031" s="247"/>
      <c r="W1031" s="247"/>
      <c r="X1031" s="247"/>
      <c r="Y1031" s="247"/>
      <c r="Z1031" s="247"/>
      <c r="AA1031" s="247"/>
      <c r="AB1031" s="247"/>
      <c r="AC1031" s="247"/>
      <c r="AD1031" s="247"/>
      <c r="AE1031" s="247"/>
      <c r="AF1031" s="247"/>
      <c r="AG1031" s="247"/>
    </row>
    <row r="1032" ht="15.75" customHeight="1">
      <c r="A1032" s="247"/>
      <c r="B1032" s="247"/>
      <c r="C1032" s="247"/>
      <c r="D1032" s="247"/>
      <c r="E1032" s="247"/>
      <c r="F1032" s="247"/>
      <c r="G1032" s="247"/>
      <c r="H1032" s="247"/>
      <c r="I1032" s="247"/>
      <c r="J1032" s="247"/>
      <c r="K1032" s="247"/>
      <c r="L1032" s="247"/>
      <c r="M1032" s="247"/>
      <c r="N1032" s="247"/>
      <c r="O1032" s="247"/>
      <c r="P1032" s="247"/>
      <c r="Q1032" s="247"/>
      <c r="R1032" s="247"/>
      <c r="S1032" s="247"/>
      <c r="T1032" s="247"/>
      <c r="U1032" s="247"/>
      <c r="V1032" s="247"/>
      <c r="W1032" s="247"/>
      <c r="X1032" s="247"/>
      <c r="Y1032" s="247"/>
      <c r="Z1032" s="247"/>
      <c r="AA1032" s="247"/>
      <c r="AB1032" s="247"/>
      <c r="AC1032" s="247"/>
      <c r="AD1032" s="247"/>
      <c r="AE1032" s="247"/>
      <c r="AF1032" s="247"/>
      <c r="AG1032" s="247"/>
    </row>
    <row r="1033" ht="15.75" customHeight="1">
      <c r="A1033" s="247"/>
      <c r="B1033" s="247"/>
      <c r="C1033" s="247"/>
      <c r="D1033" s="247"/>
      <c r="E1033" s="247"/>
      <c r="F1033" s="247"/>
      <c r="G1033" s="247"/>
      <c r="H1033" s="247"/>
      <c r="I1033" s="247"/>
      <c r="J1033" s="247"/>
      <c r="K1033" s="247"/>
      <c r="L1033" s="247"/>
      <c r="M1033" s="247"/>
      <c r="N1033" s="247"/>
      <c r="O1033" s="247"/>
      <c r="P1033" s="247"/>
      <c r="Q1033" s="247"/>
      <c r="R1033" s="247"/>
      <c r="S1033" s="247"/>
      <c r="T1033" s="247"/>
      <c r="U1033" s="247"/>
      <c r="V1033" s="247"/>
      <c r="W1033" s="247"/>
      <c r="X1033" s="247"/>
      <c r="Y1033" s="247"/>
      <c r="Z1033" s="247"/>
      <c r="AA1033" s="247"/>
      <c r="AB1033" s="247"/>
      <c r="AC1033" s="247"/>
      <c r="AD1033" s="247"/>
      <c r="AE1033" s="247"/>
      <c r="AF1033" s="247"/>
      <c r="AG1033" s="247"/>
    </row>
  </sheetData>
  <autoFilter ref="$A$1:$AC$1033"/>
  <conditionalFormatting sqref="N2:N23">
    <cfRule type="cellIs" dxfId="1" priority="1" operator="lessThan">
      <formula>24</formula>
    </cfRule>
  </conditionalFormatting>
  <printOptions/>
  <pageMargins bottom="0.7480314960629921" footer="0.0" header="0.0" left="0.7086614173228347" right="0.7086614173228347" top="0.7480314960629921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.13"/>
    <col customWidth="1" min="2" max="2" width="12.63"/>
    <col customWidth="1" min="3" max="3" width="11.88"/>
    <col customWidth="1" min="4" max="4" width="16.5"/>
    <col customWidth="1" min="5" max="5" width="9.38"/>
    <col customWidth="1" min="6" max="6" width="3.13"/>
    <col customWidth="1" min="7" max="7" width="6.13"/>
    <col customWidth="1" min="8" max="8" width="3.13"/>
    <col customWidth="1" min="9" max="9" width="31.5"/>
    <col customWidth="1" min="10" max="10" width="11.25"/>
    <col customWidth="1" min="11" max="11" width="16.38"/>
    <col customWidth="1" min="12" max="12" width="31.5"/>
    <col customWidth="1" min="13" max="13" width="10.38"/>
    <col customWidth="1" min="14" max="14" width="12.38"/>
    <col customWidth="1" min="15" max="25" width="8.63"/>
  </cols>
  <sheetData>
    <row r="1" ht="13.5" customHeight="1">
      <c r="A1" s="2"/>
      <c r="B1" s="2"/>
      <c r="C1" s="9"/>
      <c r="D1" s="2"/>
      <c r="E1" s="11"/>
      <c r="F1" s="2"/>
      <c r="G1" s="13"/>
      <c r="H1" s="15"/>
      <c r="I1" s="15" t="s">
        <v>3</v>
      </c>
      <c r="J1" s="15" t="s">
        <v>22</v>
      </c>
      <c r="K1" s="19" t="s">
        <v>25</v>
      </c>
      <c r="L1" s="15" t="s">
        <v>29</v>
      </c>
      <c r="M1" s="20" t="s">
        <v>32</v>
      </c>
      <c r="N1" s="15" t="s">
        <v>35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4"/>
      <c r="B2" s="29" t="s">
        <v>42</v>
      </c>
      <c r="C2" s="32"/>
      <c r="D2" s="32"/>
      <c r="E2" s="32"/>
      <c r="F2" s="24"/>
      <c r="G2" s="13"/>
      <c r="H2" s="36">
        <v>1.0</v>
      </c>
      <c r="I2" s="38" t="s">
        <v>43</v>
      </c>
      <c r="J2" s="38" t="s">
        <v>45</v>
      </c>
      <c r="K2" s="40" t="s">
        <v>46</v>
      </c>
      <c r="L2" s="38" t="s">
        <v>47</v>
      </c>
      <c r="M2" s="38" t="s">
        <v>48</v>
      </c>
      <c r="N2" s="4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4"/>
      <c r="B3" s="49" t="str">
        <f t="array" ref="B3">INDEX('Panduan Gaji'!$Q:$Q,MATCH($D$6,'Panduan Gaji'!C:C,0))</f>
        <v>GS</v>
      </c>
      <c r="C3" s="50"/>
      <c r="D3" s="50"/>
      <c r="E3" s="50"/>
      <c r="F3" s="24"/>
      <c r="G3" s="13"/>
      <c r="H3" s="36">
        <f t="shared" ref="H3:H25" si="1">H2+1</f>
        <v>2</v>
      </c>
      <c r="I3" s="38" t="s">
        <v>49</v>
      </c>
      <c r="J3" s="38" t="s">
        <v>45</v>
      </c>
      <c r="K3" s="57"/>
      <c r="L3" s="38"/>
      <c r="M3" s="38"/>
      <c r="N3" s="4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24"/>
      <c r="B4" s="59">
        <f>TODAY()</f>
        <v>46262</v>
      </c>
      <c r="C4" s="60"/>
      <c r="D4" s="60"/>
      <c r="E4" s="60"/>
      <c r="F4" s="24"/>
      <c r="G4" s="13"/>
      <c r="H4" s="36">
        <f t="shared" si="1"/>
        <v>3</v>
      </c>
      <c r="I4" s="38" t="s">
        <v>50</v>
      </c>
      <c r="J4" s="38" t="s">
        <v>45</v>
      </c>
      <c r="K4" s="57"/>
      <c r="L4" s="38"/>
      <c r="M4" s="38"/>
      <c r="N4" s="4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2"/>
      <c r="B5" s="64"/>
      <c r="C5" s="65"/>
      <c r="D5" s="66"/>
      <c r="E5" s="67"/>
      <c r="F5" s="2"/>
      <c r="G5" s="13"/>
      <c r="H5" s="36">
        <f t="shared" si="1"/>
        <v>4</v>
      </c>
      <c r="I5" s="38" t="s">
        <v>51</v>
      </c>
      <c r="J5" s="38" t="s">
        <v>45</v>
      </c>
      <c r="K5" s="57"/>
      <c r="L5" s="38"/>
      <c r="M5" s="38"/>
      <c r="N5" s="3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2"/>
      <c r="B6" s="69" t="s">
        <v>3</v>
      </c>
      <c r="C6" s="70"/>
      <c r="D6" s="71" t="str">
        <f t="array" ref="D6">INDEX($I:$I,MATCH(D7,$H:$H,0))</f>
        <v>Made</v>
      </c>
      <c r="E6" s="71"/>
      <c r="F6" s="2"/>
      <c r="G6" s="13"/>
      <c r="H6" s="36">
        <f t="shared" si="1"/>
        <v>5</v>
      </c>
      <c r="I6" s="38" t="s">
        <v>52</v>
      </c>
      <c r="J6" s="38" t="s">
        <v>53</v>
      </c>
      <c r="K6" s="57" t="s">
        <v>54</v>
      </c>
      <c r="L6" s="38" t="s">
        <v>55</v>
      </c>
      <c r="M6" s="38" t="s">
        <v>48</v>
      </c>
      <c r="N6" s="4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2"/>
      <c r="B7" s="74" t="s">
        <v>56</v>
      </c>
      <c r="C7" s="75"/>
      <c r="D7" s="77">
        <v>14.0</v>
      </c>
      <c r="E7" s="78"/>
      <c r="F7" s="2"/>
      <c r="G7" s="13"/>
      <c r="H7" s="36">
        <f t="shared" si="1"/>
        <v>6</v>
      </c>
      <c r="I7" s="38" t="s">
        <v>57</v>
      </c>
      <c r="J7" s="38" t="s">
        <v>53</v>
      </c>
      <c r="K7" s="79" t="s">
        <v>58</v>
      </c>
      <c r="L7" s="81" t="s">
        <v>60</v>
      </c>
      <c r="M7" s="38" t="s">
        <v>48</v>
      </c>
      <c r="N7" s="4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84" t="s">
        <v>62</v>
      </c>
      <c r="C8" s="86" t="s">
        <v>63</v>
      </c>
      <c r="D8" s="89" t="s">
        <v>64</v>
      </c>
      <c r="E8" s="91" t="s">
        <v>65</v>
      </c>
      <c r="F8" s="2"/>
      <c r="G8" s="13"/>
      <c r="H8" s="36">
        <f t="shared" si="1"/>
        <v>7</v>
      </c>
      <c r="I8" s="38" t="s">
        <v>66</v>
      </c>
      <c r="J8" s="38" t="s">
        <v>53</v>
      </c>
      <c r="K8" s="57" t="s">
        <v>67</v>
      </c>
      <c r="L8" s="38" t="s">
        <v>68</v>
      </c>
      <c r="M8" s="38" t="s">
        <v>48</v>
      </c>
      <c r="N8" s="3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2"/>
      <c r="B9" s="64" t="s">
        <v>6</v>
      </c>
      <c r="C9" s="94">
        <f>SUMIFS(Hitungan!$F:$F,Hitungan!$C:$C,'Payslip GS, KG Joglo'!B9,Hitungan!$D:$D,'Payslip GS, KG Joglo'!$D$6)</f>
        <v>1</v>
      </c>
      <c r="D9" s="95">
        <f t="shared" ref="D9:D11" si="2">IFERROR(E9/C9,0)</f>
        <v>1377500</v>
      </c>
      <c r="E9" s="67">
        <f>SUMIFS(Hitungan!$G:$G,Hitungan!$C:$C,'Payslip GS, KG Joglo'!B9,Hitungan!$D:$D,'Payslip GS, KG Joglo'!D$6)</f>
        <v>1377500</v>
      </c>
      <c r="F9" s="2"/>
      <c r="G9" s="13"/>
      <c r="H9" s="36">
        <f t="shared" si="1"/>
        <v>8</v>
      </c>
      <c r="I9" s="38" t="s">
        <v>69</v>
      </c>
      <c r="J9" s="38" t="s">
        <v>53</v>
      </c>
      <c r="K9" s="57" t="s">
        <v>70</v>
      </c>
      <c r="L9" s="38" t="s">
        <v>71</v>
      </c>
      <c r="M9" s="38" t="s">
        <v>48</v>
      </c>
      <c r="N9" s="4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2"/>
      <c r="B10" s="64" t="s">
        <v>17</v>
      </c>
      <c r="C10" s="94">
        <f>SUMIFS(Hitungan!$F:$F,Hitungan!$C:$C,'Payslip GS, KG Joglo'!B10,Hitungan!$D:$D,'Payslip GS, KG Joglo'!$D$6)</f>
        <v>0</v>
      </c>
      <c r="D10" s="95">
        <f t="shared" si="2"/>
        <v>0</v>
      </c>
      <c r="E10" s="67">
        <f>SUMIFS(Hitungan!$G:$G,Hitungan!$C:$C,'Payslip GS, KG Joglo'!B10,Hitungan!$D:$D,'Payslip GS, KG Joglo'!D$6)</f>
        <v>0</v>
      </c>
      <c r="F10" s="2"/>
      <c r="G10" s="13"/>
      <c r="H10" s="36">
        <f t="shared" si="1"/>
        <v>9</v>
      </c>
      <c r="I10" s="38" t="s">
        <v>73</v>
      </c>
      <c r="J10" s="38" t="s">
        <v>53</v>
      </c>
      <c r="K10" s="57"/>
      <c r="L10" s="38"/>
      <c r="M10" s="38"/>
      <c r="N10" s="4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"/>
      <c r="B11" s="64" t="s">
        <v>14</v>
      </c>
      <c r="C11" s="94">
        <f>SUMIFS(Hitungan!$F:$F,Hitungan!$C:$C,'Payslip GS, KG Joglo'!B11,Hitungan!$D:$D,'Payslip GS, KG Joglo'!$D$6)</f>
        <v>0</v>
      </c>
      <c r="D11" s="95">
        <f t="shared" si="2"/>
        <v>0</v>
      </c>
      <c r="E11" s="67">
        <f>SUMIFS(Hitungan!$G:$G,Hitungan!$C:$C,'Payslip GS, KG Joglo'!B11,Hitungan!$D:$D,'Payslip GS, KG Joglo'!D$6)</f>
        <v>0</v>
      </c>
      <c r="F11" s="2"/>
      <c r="G11" s="13"/>
      <c r="H11" s="36">
        <f t="shared" si="1"/>
        <v>10</v>
      </c>
      <c r="I11" s="38" t="s">
        <v>74</v>
      </c>
      <c r="J11" s="38" t="s">
        <v>53</v>
      </c>
      <c r="K11" s="57"/>
      <c r="L11" s="38"/>
      <c r="M11" s="38"/>
      <c r="N11" s="4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2"/>
      <c r="B12" s="64" t="s">
        <v>39</v>
      </c>
      <c r="C12" s="94">
        <f>SUMIFS(Hitungan!$F:$F,Hitungan!$C:$C,'Payslip GS, KG Joglo'!B12,Hitungan!$D:$D,'Payslip GS, KG Joglo'!$D$6)</f>
        <v>1</v>
      </c>
      <c r="D12" s="95">
        <f>SUMIFS(Hitungan!E:E,Hitungan!D:D,'Payslip GS, KG Joglo'!D6,Hitungan!C:C,"Service Charge")</f>
        <v>321766</v>
      </c>
      <c r="E12" s="67">
        <f>C12*D12</f>
        <v>321766</v>
      </c>
      <c r="F12" s="2"/>
      <c r="G12" s="13"/>
      <c r="H12" s="36">
        <f t="shared" si="1"/>
        <v>11</v>
      </c>
      <c r="I12" s="38" t="s">
        <v>76</v>
      </c>
      <c r="J12" s="81" t="s">
        <v>53</v>
      </c>
      <c r="K12" s="57" t="s">
        <v>77</v>
      </c>
      <c r="L12" s="38" t="s">
        <v>78</v>
      </c>
      <c r="M12" s="104" t="s">
        <v>48</v>
      </c>
      <c r="N12" s="4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2"/>
      <c r="B13" s="64" t="s">
        <v>7</v>
      </c>
      <c r="C13" s="94">
        <f>SUMIFS(Hitungan!$F:$F,Hitungan!$C:$C,'Payslip GS, KG Joglo'!B13,Hitungan!$D:$D,'Payslip GS, KG Joglo'!$D$6)</f>
        <v>19</v>
      </c>
      <c r="D13" s="95">
        <f t="shared" ref="D13:D16" si="3">IFERROR(E13/C13,0)</f>
        <v>21000</v>
      </c>
      <c r="E13" s="67">
        <f>SUMIFS(Hitungan!$G:$G,Hitungan!$C:$C,'Payslip GS, KG Joglo'!B13,Hitungan!$D:$D,'Payslip GS, KG Joglo'!D$6)</f>
        <v>399000</v>
      </c>
      <c r="F13" s="2"/>
      <c r="G13" s="13"/>
      <c r="H13" s="36">
        <f t="shared" si="1"/>
        <v>12</v>
      </c>
      <c r="I13" s="104" t="s">
        <v>79</v>
      </c>
      <c r="J13" s="38" t="s">
        <v>53</v>
      </c>
      <c r="K13" s="57" t="s">
        <v>80</v>
      </c>
      <c r="L13" s="104" t="s">
        <v>81</v>
      </c>
      <c r="M13" s="38" t="s">
        <v>48</v>
      </c>
      <c r="N13" s="4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2"/>
      <c r="B14" s="64" t="s">
        <v>9</v>
      </c>
      <c r="C14" s="94">
        <f>SUMIFS(Hitungan!$F:$F,Hitungan!$C:$C,'Payslip GS, KG Joglo'!B14,Hitungan!$D:$D,'Payslip GS, KG Joglo'!$D$6)</f>
        <v>19</v>
      </c>
      <c r="D14" s="95">
        <f t="shared" si="3"/>
        <v>39150</v>
      </c>
      <c r="E14" s="67">
        <f>SUMIFS(Hitungan!$G:$G,Hitungan!$C:$C,'Payslip GS, KG Joglo'!B14,Hitungan!$D:$D,'Payslip GS, KG Joglo'!D$6)</f>
        <v>743850</v>
      </c>
      <c r="F14" s="2"/>
      <c r="G14" s="13"/>
      <c r="H14" s="36">
        <f t="shared" si="1"/>
        <v>13</v>
      </c>
      <c r="I14" s="104" t="s">
        <v>82</v>
      </c>
      <c r="J14" s="38" t="s">
        <v>53</v>
      </c>
      <c r="K14" s="57"/>
      <c r="L14" s="104"/>
      <c r="M14" s="104"/>
      <c r="N14" s="4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2"/>
      <c r="B15" s="64" t="s">
        <v>16</v>
      </c>
      <c r="C15" s="94">
        <f>SUMIFS(Hitungan!$F:$F,Hitungan!$C:$C,'Payslip GS, KG Joglo'!B15,Hitungan!$D:$D,'Payslip GS, KG Joglo'!$D$6)</f>
        <v>0</v>
      </c>
      <c r="D15" s="95">
        <f t="shared" si="3"/>
        <v>0</v>
      </c>
      <c r="E15" s="67">
        <f>SUMIFS(Hitungan!$G:$G,Hitungan!$C:$C,'Payslip GS, KG Joglo'!B15,Hitungan!$D:$D,'Payslip GS, KG Joglo'!D$6)</f>
        <v>0</v>
      </c>
      <c r="F15" s="2"/>
      <c r="G15" s="13"/>
      <c r="H15" s="36">
        <f t="shared" si="1"/>
        <v>14</v>
      </c>
      <c r="I15" s="38" t="s">
        <v>84</v>
      </c>
      <c r="J15" s="38" t="s">
        <v>53</v>
      </c>
      <c r="K15" s="108"/>
      <c r="L15" s="81"/>
      <c r="M15" s="38"/>
      <c r="N15" s="4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2"/>
      <c r="B16" s="109" t="s">
        <v>12</v>
      </c>
      <c r="C16" s="110">
        <f>SUMIFS(Hitungan!$F:$F,Hitungan!$C:$C,'Payslip GS, KG Joglo'!B16,Hitungan!$D:$D,'Payslip GS, KG Joglo'!$D$6)</f>
        <v>0</v>
      </c>
      <c r="D16" s="111">
        <f t="shared" si="3"/>
        <v>0</v>
      </c>
      <c r="E16" s="112">
        <f>SUMIFS(Hitungan!$G:$G,Hitungan!$C:$C,'Payslip GS, KG Joglo'!B16,Hitungan!$D:$D,'Payslip GS, KG Joglo'!D$6)</f>
        <v>0</v>
      </c>
      <c r="F16" s="2"/>
      <c r="G16" s="13"/>
      <c r="H16" s="36">
        <f t="shared" si="1"/>
        <v>15</v>
      </c>
      <c r="I16" s="38" t="s">
        <v>87</v>
      </c>
      <c r="J16" s="38" t="s">
        <v>88</v>
      </c>
      <c r="K16" s="57" t="s">
        <v>89</v>
      </c>
      <c r="L16" s="38" t="s">
        <v>90</v>
      </c>
      <c r="M16" s="38" t="s">
        <v>48</v>
      </c>
      <c r="N16" s="4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2"/>
      <c r="B17" s="113" t="s">
        <v>85</v>
      </c>
      <c r="C17" s="114"/>
      <c r="D17" s="115"/>
      <c r="E17" s="117"/>
      <c r="F17" s="2"/>
      <c r="G17" s="13"/>
      <c r="H17" s="36">
        <f t="shared" si="1"/>
        <v>16</v>
      </c>
      <c r="I17" s="38" t="s">
        <v>91</v>
      </c>
      <c r="J17" s="38" t="s">
        <v>88</v>
      </c>
      <c r="K17" s="57" t="s">
        <v>92</v>
      </c>
      <c r="L17" s="38" t="s">
        <v>93</v>
      </c>
      <c r="M17" s="38" t="s">
        <v>48</v>
      </c>
      <c r="N17" s="4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2"/>
      <c r="B18" s="69" t="s">
        <v>65</v>
      </c>
      <c r="C18" s="70"/>
      <c r="D18" s="123"/>
      <c r="E18" s="71">
        <f>SUM(E9:E17)</f>
        <v>2842116</v>
      </c>
      <c r="F18" s="2"/>
      <c r="G18" s="13"/>
      <c r="H18" s="36">
        <f t="shared" si="1"/>
        <v>17</v>
      </c>
      <c r="I18" s="38" t="s">
        <v>94</v>
      </c>
      <c r="J18" s="38" t="s">
        <v>88</v>
      </c>
      <c r="K18" s="125" t="s">
        <v>95</v>
      </c>
      <c r="L18" s="38" t="s">
        <v>96</v>
      </c>
      <c r="M18" s="38" t="s">
        <v>48</v>
      </c>
      <c r="N18" s="4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27"/>
      <c r="B19" s="64"/>
      <c r="C19" s="65"/>
      <c r="D19" s="66"/>
      <c r="E19" s="67"/>
      <c r="F19" s="127"/>
      <c r="G19" s="13"/>
      <c r="H19" s="36">
        <f t="shared" si="1"/>
        <v>18</v>
      </c>
      <c r="I19" s="38" t="s">
        <v>98</v>
      </c>
      <c r="J19" s="38" t="s">
        <v>88</v>
      </c>
      <c r="K19" s="125" t="s">
        <v>99</v>
      </c>
      <c r="L19" s="38" t="s">
        <v>100</v>
      </c>
      <c r="M19" s="38" t="s">
        <v>101</v>
      </c>
      <c r="N19" s="4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27"/>
      <c r="B20" s="131" t="s">
        <v>102</v>
      </c>
      <c r="C20" s="132"/>
      <c r="D20" s="133"/>
      <c r="E20" s="134"/>
      <c r="F20" s="127"/>
      <c r="G20" s="13"/>
      <c r="H20" s="36">
        <f t="shared" si="1"/>
        <v>19</v>
      </c>
      <c r="I20" s="38" t="s">
        <v>103</v>
      </c>
      <c r="J20" s="38" t="s">
        <v>88</v>
      </c>
      <c r="K20" s="125" t="s">
        <v>104</v>
      </c>
      <c r="L20" s="38" t="s">
        <v>105</v>
      </c>
      <c r="M20" s="38" t="s">
        <v>48</v>
      </c>
      <c r="N20" s="4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27"/>
      <c r="B21" s="135" t="s">
        <v>30</v>
      </c>
      <c r="C21" s="136">
        <f t="shared" ref="C21:C24" si="4">IFERROR(E21/D21,0)</f>
        <v>13050</v>
      </c>
      <c r="D21" s="139">
        <f>SUMIFS(Hitungan!$F:$F,Hitungan!$D:$D,'Payslip GS, KG Joglo'!$D$6,Hitungan!$C:$C,'Payslip GS, KG Joglo'!B21)</f>
        <v>2</v>
      </c>
      <c r="E21" s="134">
        <f>SUMIFS(Hitungan!$G:$G,Hitungan!$C:$C,'Payslip GS, KG Joglo'!B21,Hitungan!$D:$D,'Payslip GS, KG Joglo'!$D$6)</f>
        <v>26100</v>
      </c>
      <c r="F21" s="127"/>
      <c r="G21" s="13"/>
      <c r="H21" s="36">
        <f t="shared" si="1"/>
        <v>20</v>
      </c>
      <c r="I21" s="38" t="s">
        <v>106</v>
      </c>
      <c r="J21" s="38" t="s">
        <v>88</v>
      </c>
      <c r="K21" s="125" t="s">
        <v>107</v>
      </c>
      <c r="L21" s="38" t="s">
        <v>108</v>
      </c>
      <c r="M21" s="38" t="s">
        <v>48</v>
      </c>
      <c r="N21" s="4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27"/>
      <c r="B22" s="135" t="s">
        <v>109</v>
      </c>
      <c r="C22" s="136">
        <f t="shared" si="4"/>
        <v>0</v>
      </c>
      <c r="D22" s="139">
        <f>SUMIFS(Hitungan!$F:$F,Hitungan!$D:$D,'Payslip GS, KG Joglo'!$D$6,Hitungan!$C:$C,'Payslip GS, KG Joglo'!B22)</f>
        <v>0</v>
      </c>
      <c r="E22" s="134">
        <f>SUMIFS(Hitungan!$G:$G,Hitungan!$C:$C,'Payslip GS, KG Joglo'!B22,Hitungan!$D:$D,'Payslip GS, KG Joglo'!$D$6)</f>
        <v>0</v>
      </c>
      <c r="F22" s="127"/>
      <c r="G22" s="13"/>
      <c r="H22" s="36">
        <f t="shared" si="1"/>
        <v>21</v>
      </c>
      <c r="I22" s="81" t="s">
        <v>110</v>
      </c>
      <c r="J22" s="38" t="s">
        <v>88</v>
      </c>
      <c r="K22" s="144" t="s">
        <v>111</v>
      </c>
      <c r="L22" s="81" t="s">
        <v>112</v>
      </c>
      <c r="M22" s="38" t="s">
        <v>101</v>
      </c>
      <c r="N22" s="3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27"/>
      <c r="B23" s="135" t="s">
        <v>33</v>
      </c>
      <c r="C23" s="136">
        <f t="shared" si="4"/>
        <v>76333.33333</v>
      </c>
      <c r="D23" s="139">
        <f>SUMIFS(Hitungan!$F:$F,Hitungan!$D:$D,'Payslip GS, KG Joglo'!$D$6,Hitungan!$C:$C,'Payslip GS, KG Joglo'!B23)</f>
        <v>6</v>
      </c>
      <c r="E23" s="134">
        <f>SUMIFS(Hitungan!$G:$G,Hitungan!$C:$C,'Payslip GS, KG Joglo'!B23,Hitungan!$D:$D,'Payslip GS, KG Joglo'!$D$6)</f>
        <v>458000</v>
      </c>
      <c r="F23" s="127"/>
      <c r="G23" s="13"/>
      <c r="H23" s="36">
        <f t="shared" si="1"/>
        <v>22</v>
      </c>
      <c r="I23" s="38" t="s">
        <v>113</v>
      </c>
      <c r="J23" s="38" t="s">
        <v>88</v>
      </c>
      <c r="K23" s="149" t="s">
        <v>114</v>
      </c>
      <c r="L23" s="38" t="s">
        <v>115</v>
      </c>
      <c r="M23" s="38" t="s">
        <v>48</v>
      </c>
      <c r="N23" s="3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27"/>
      <c r="B24" s="135" t="s">
        <v>36</v>
      </c>
      <c r="C24" s="136">
        <f t="shared" si="4"/>
        <v>0</v>
      </c>
      <c r="D24" s="139">
        <f>SUMIFS(Hitungan!$F:$F,Hitungan!$D:$D,'Payslip GS, KG Joglo'!$D$6,Hitungan!$C:$C,'Payslip GS, KG Joglo'!B24)</f>
        <v>0</v>
      </c>
      <c r="E24" s="134">
        <f>SUMIFS(Hitungan!$G:$G,Hitungan!$C:$C,'Payslip GS, KG Joglo'!B24,Hitungan!$D:$D,'Payslip GS, KG Joglo'!$D$6)</f>
        <v>0</v>
      </c>
      <c r="F24" s="127"/>
      <c r="G24" s="13"/>
      <c r="H24" s="36">
        <f t="shared" si="1"/>
        <v>23</v>
      </c>
      <c r="I24" s="38" t="s">
        <v>116</v>
      </c>
      <c r="J24" s="38" t="s">
        <v>88</v>
      </c>
      <c r="K24" s="149"/>
      <c r="L24" s="38"/>
      <c r="M24" s="38"/>
      <c r="N24" s="3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2"/>
      <c r="B25" s="131" t="s">
        <v>117</v>
      </c>
      <c r="C25" s="136"/>
      <c r="D25" s="154"/>
      <c r="E25" s="156">
        <f>-SUM(E20:E24)</f>
        <v>-484100</v>
      </c>
      <c r="F25" s="2"/>
      <c r="G25" s="13"/>
      <c r="H25" s="36">
        <f t="shared" si="1"/>
        <v>24</v>
      </c>
      <c r="I25" s="38" t="s">
        <v>118</v>
      </c>
      <c r="J25" s="38" t="s">
        <v>88</v>
      </c>
      <c r="K25" s="149"/>
      <c r="L25" s="38"/>
      <c r="M25" s="38"/>
      <c r="N25" s="3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2"/>
      <c r="B26" s="64"/>
      <c r="C26" s="161"/>
      <c r="D26" s="66"/>
      <c r="E26" s="67"/>
      <c r="F26" s="2"/>
      <c r="G26" s="13"/>
      <c r="H26" s="16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2"/>
      <c r="B27" s="168" t="s">
        <v>65</v>
      </c>
      <c r="C27" s="169"/>
      <c r="D27" s="170"/>
      <c r="E27" s="171">
        <f>ROUNDDOWN(E18+E25,0)</f>
        <v>2358016</v>
      </c>
      <c r="F27" s="2"/>
      <c r="G27" s="13"/>
      <c r="H27" s="165"/>
      <c r="I27" s="1"/>
      <c r="J27" s="1"/>
      <c r="K27" s="1"/>
      <c r="L27" s="1"/>
      <c r="M27" s="1"/>
      <c r="N27" s="17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2"/>
      <c r="B28" s="69"/>
      <c r="C28" s="136"/>
      <c r="D28" s="123"/>
      <c r="E28" s="71"/>
      <c r="F28" s="2"/>
      <c r="G28" s="13"/>
      <c r="H28" s="165"/>
      <c r="I28" s="1"/>
      <c r="J28" s="1"/>
      <c r="K28" s="173"/>
      <c r="L28" s="1"/>
      <c r="M28" s="1"/>
      <c r="N28" s="17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2"/>
      <c r="B29" s="168" t="s">
        <v>119</v>
      </c>
      <c r="C29" s="169"/>
      <c r="D29" s="170"/>
      <c r="E29" s="171">
        <f>D9</f>
        <v>1377500</v>
      </c>
      <c r="F29" s="2"/>
      <c r="G29" s="13"/>
      <c r="H29" s="16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2"/>
      <c r="B30" s="168" t="s">
        <v>120</v>
      </c>
      <c r="C30" s="169"/>
      <c r="D30" s="170"/>
      <c r="E30" s="171">
        <f>E27-E29</f>
        <v>980516</v>
      </c>
      <c r="F30" s="2"/>
      <c r="G30" s="13"/>
      <c r="H30" s="165"/>
      <c r="I30" s="1"/>
      <c r="J30" s="1"/>
      <c r="K30" s="1"/>
      <c r="L30" s="1"/>
      <c r="M30" s="1"/>
      <c r="N30" s="17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2"/>
      <c r="B31" s="2"/>
      <c r="C31" s="2"/>
      <c r="D31" s="2"/>
      <c r="E31" s="2"/>
      <c r="F31" s="2"/>
      <c r="G31" s="174"/>
      <c r="H31" s="165"/>
      <c r="I31" s="1"/>
      <c r="J31" s="1"/>
      <c r="K31" s="1"/>
      <c r="L31" s="1"/>
      <c r="M31" s="1"/>
      <c r="N31" s="172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13.5" customHeight="1">
      <c r="A32" s="1"/>
      <c r="B32" s="1"/>
      <c r="C32" s="176"/>
      <c r="D32" s="1"/>
      <c r="E32" s="178"/>
      <c r="F32" s="1"/>
      <c r="G32" s="13"/>
      <c r="H32" s="165"/>
      <c r="I32" s="1"/>
      <c r="J32" s="1"/>
      <c r="K32" s="1"/>
      <c r="L32" s="1"/>
      <c r="M32" s="1"/>
      <c r="N32" s="17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76"/>
      <c r="D33" s="1"/>
      <c r="E33" s="178"/>
      <c r="F33" s="1"/>
      <c r="G33" s="13"/>
      <c r="H33" s="165"/>
      <c r="I33" s="1"/>
      <c r="J33" s="1"/>
      <c r="K33" s="1"/>
      <c r="L33" s="1"/>
      <c r="M33" s="1"/>
      <c r="N33" s="17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76"/>
      <c r="D34" s="1"/>
      <c r="E34" s="178"/>
      <c r="F34" s="1"/>
      <c r="G34" s="13"/>
      <c r="H34" s="165"/>
      <c r="I34" s="1"/>
      <c r="J34" s="1"/>
      <c r="K34" s="1"/>
      <c r="L34" s="1"/>
      <c r="M34" s="1"/>
      <c r="N34" s="17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76"/>
      <c r="D35" s="180"/>
      <c r="E35" s="178"/>
      <c r="F35" s="1"/>
      <c r="G35" s="13"/>
      <c r="H35" s="165"/>
      <c r="I35" s="1"/>
      <c r="J35" s="1"/>
      <c r="K35" s="1"/>
      <c r="L35" s="1"/>
      <c r="M35" s="1"/>
      <c r="N35" s="17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76"/>
      <c r="D36" s="173"/>
      <c r="E36" s="178"/>
      <c r="F36" s="1"/>
      <c r="G36" s="13"/>
      <c r="H36" s="165"/>
      <c r="I36" s="1"/>
      <c r="J36" s="1"/>
      <c r="K36" s="1"/>
      <c r="L36" s="1"/>
      <c r="M36" s="1"/>
      <c r="N36" s="17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76"/>
      <c r="D37" s="180"/>
      <c r="E37" s="178"/>
      <c r="F37" s="1"/>
      <c r="G37" s="13"/>
      <c r="H37" s="165"/>
      <c r="I37" s="1"/>
      <c r="J37" s="1"/>
      <c r="K37" s="17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76"/>
      <c r="D38" s="1"/>
      <c r="E38" s="178"/>
      <c r="F38" s="1"/>
      <c r="G38" s="13"/>
      <c r="H38" s="16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76"/>
      <c r="D39" s="1"/>
      <c r="E39" s="178"/>
      <c r="F39" s="1"/>
      <c r="G39" s="13"/>
      <c r="H39" s="165"/>
      <c r="I39" s="1"/>
      <c r="J39" s="1"/>
      <c r="K39" s="1"/>
      <c r="L39" s="1"/>
      <c r="M39" s="1"/>
      <c r="N39" s="17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76"/>
      <c r="D40" s="1"/>
      <c r="E40" s="178"/>
      <c r="F40" s="1"/>
      <c r="G40" s="1"/>
      <c r="H40" s="165"/>
      <c r="I40" s="1"/>
      <c r="J40" s="1"/>
      <c r="K40" s="1"/>
      <c r="L40" s="1"/>
      <c r="M40" s="1"/>
      <c r="N40" s="17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76"/>
      <c r="D41" s="1"/>
      <c r="E41" s="178"/>
      <c r="F41" s="1"/>
      <c r="G41" s="1"/>
      <c r="H41" s="16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76"/>
      <c r="D42" s="1"/>
      <c r="E42" s="178"/>
      <c r="F42" s="1"/>
      <c r="G42" s="1"/>
      <c r="H42" s="165"/>
      <c r="I42" s="1"/>
      <c r="J42" s="1"/>
      <c r="K42" s="1"/>
      <c r="L42" s="1"/>
      <c r="M42" s="1"/>
      <c r="N42" s="17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76"/>
      <c r="D43" s="1"/>
      <c r="E43" s="178"/>
      <c r="F43" s="1"/>
      <c r="G43" s="1"/>
      <c r="H43" s="165"/>
      <c r="I43" s="1"/>
      <c r="J43" s="1"/>
      <c r="K43" s="1"/>
      <c r="L43" s="1"/>
      <c r="M43" s="1"/>
      <c r="N43" s="17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76"/>
      <c r="D44" s="1"/>
      <c r="E44" s="178"/>
      <c r="F44" s="1"/>
      <c r="G44" s="1"/>
      <c r="H44" s="165"/>
      <c r="I44" s="1"/>
      <c r="J44" s="1"/>
      <c r="K44" s="1"/>
      <c r="L44" s="1"/>
      <c r="M44" s="1"/>
      <c r="N44" s="17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76"/>
      <c r="D45" s="1"/>
      <c r="E45" s="178"/>
      <c r="F45" s="1"/>
      <c r="G45" s="1"/>
      <c r="H45" s="165"/>
      <c r="I45" s="1"/>
      <c r="J45" s="1"/>
      <c r="K45" s="1"/>
      <c r="L45" s="1"/>
      <c r="M45" s="1"/>
      <c r="N45" s="17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76"/>
      <c r="D46" s="1"/>
      <c r="E46" s="178"/>
      <c r="F46" s="1"/>
      <c r="G46" s="1"/>
      <c r="H46" s="165"/>
      <c r="I46" s="1"/>
      <c r="J46" s="1"/>
      <c r="K46" s="1"/>
      <c r="L46" s="1"/>
      <c r="M46" s="1"/>
      <c r="N46" s="17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76"/>
      <c r="D47" s="1"/>
      <c r="E47" s="178"/>
      <c r="F47" s="1"/>
      <c r="G47" s="1"/>
      <c r="H47" s="165"/>
      <c r="I47" s="1"/>
      <c r="J47" s="1"/>
      <c r="K47" s="1"/>
      <c r="L47" s="1"/>
      <c r="M47" s="1"/>
      <c r="N47" s="17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76"/>
      <c r="D48" s="1"/>
      <c r="E48" s="178"/>
      <c r="F48" s="1"/>
      <c r="G48" s="1"/>
      <c r="H48" s="165"/>
      <c r="I48" s="1"/>
      <c r="J48" s="1"/>
      <c r="K48" s="1"/>
      <c r="L48" s="1"/>
      <c r="M48" s="13"/>
      <c r="N48" s="17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76"/>
      <c r="D49" s="1"/>
      <c r="E49" s="178"/>
      <c r="F49" s="1"/>
      <c r="G49" s="1"/>
      <c r="H49" s="165"/>
      <c r="I49" s="1"/>
      <c r="J49" s="1"/>
      <c r="K49" s="1"/>
      <c r="L49" s="1"/>
      <c r="M49" s="1"/>
      <c r="N49" s="17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76"/>
      <c r="D50" s="1"/>
      <c r="E50" s="178"/>
      <c r="F50" s="1"/>
      <c r="G50" s="1"/>
      <c r="H50" s="165"/>
      <c r="I50" s="1"/>
      <c r="J50" s="1"/>
      <c r="K50" s="1"/>
      <c r="L50" s="1"/>
      <c r="M50" s="1"/>
      <c r="N50" s="17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76"/>
      <c r="D51" s="1"/>
      <c r="E51" s="178"/>
      <c r="F51" s="1"/>
      <c r="G51" s="1"/>
      <c r="H51" s="165"/>
      <c r="I51" s="183"/>
      <c r="J51" s="1"/>
      <c r="K51" s="183"/>
      <c r="L51" s="183"/>
      <c r="M51" s="1"/>
      <c r="N51" s="17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76"/>
      <c r="D52" s="1"/>
      <c r="E52" s="178"/>
      <c r="F52" s="1"/>
      <c r="G52" s="1"/>
      <c r="H52" s="165"/>
      <c r="I52" s="13"/>
      <c r="J52" s="183"/>
      <c r="K52" s="184"/>
      <c r="L52" s="183"/>
      <c r="M52" s="183"/>
      <c r="N52" s="17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76"/>
      <c r="D53" s="1"/>
      <c r="E53" s="178"/>
      <c r="F53" s="1"/>
      <c r="G53" s="1"/>
      <c r="H53" s="165"/>
      <c r="I53" s="1"/>
      <c r="J53" s="172"/>
      <c r="K53" s="173"/>
      <c r="L53" s="1"/>
      <c r="M53" s="1"/>
      <c r="N53" s="17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76"/>
      <c r="D54" s="1"/>
      <c r="E54" s="178"/>
      <c r="F54" s="1"/>
      <c r="G54" s="1"/>
      <c r="H54" s="165"/>
      <c r="I54" s="172"/>
      <c r="J54" s="172"/>
      <c r="K54" s="173"/>
      <c r="L54" s="1"/>
      <c r="M54" s="1"/>
      <c r="N54" s="17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76"/>
      <c r="D55" s="1"/>
      <c r="E55" s="178"/>
      <c r="F55" s="1"/>
      <c r="G55" s="1"/>
      <c r="H55" s="165"/>
      <c r="I55" s="172"/>
      <c r="J55" s="172"/>
      <c r="K55" s="173"/>
      <c r="L55" s="1"/>
      <c r="M55" s="1"/>
      <c r="N55" s="17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76"/>
      <c r="D56" s="1"/>
      <c r="E56" s="178"/>
      <c r="F56" s="1"/>
      <c r="G56" s="1"/>
      <c r="H56" s="165"/>
      <c r="I56" s="172"/>
      <c r="J56" s="172"/>
      <c r="K56" s="173"/>
      <c r="L56" s="1"/>
      <c r="M56" s="1"/>
      <c r="N56" s="17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76"/>
      <c r="D57" s="1"/>
      <c r="E57" s="178"/>
      <c r="F57" s="1"/>
      <c r="G57" s="1"/>
      <c r="H57" s="165"/>
      <c r="I57" s="172"/>
      <c r="J57" s="172"/>
      <c r="K57" s="173"/>
      <c r="L57" s="1"/>
      <c r="M57" s="1"/>
      <c r="N57" s="17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76"/>
      <c r="D58" s="1"/>
      <c r="E58" s="17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76"/>
      <c r="D59" s="1"/>
      <c r="E59" s="17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76"/>
      <c r="D60" s="1"/>
      <c r="E60" s="17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76"/>
      <c r="D61" s="1"/>
      <c r="E61" s="178"/>
      <c r="F61" s="1"/>
      <c r="G61" s="1"/>
      <c r="H61" s="188"/>
      <c r="I61" s="172"/>
      <c r="J61" s="172"/>
      <c r="K61" s="173"/>
      <c r="L61" s="1"/>
      <c r="M61" s="1"/>
      <c r="N61" s="17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76"/>
      <c r="D62" s="1"/>
      <c r="E62" s="178"/>
      <c r="F62" s="1"/>
      <c r="G62" s="1"/>
      <c r="H62" s="188"/>
      <c r="I62" s="172"/>
      <c r="J62" s="172"/>
      <c r="K62" s="173"/>
      <c r="L62" s="1"/>
      <c r="M62" s="1"/>
      <c r="N62" s="17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76"/>
      <c r="D63" s="1"/>
      <c r="E63" s="178"/>
      <c r="F63" s="1"/>
      <c r="G63" s="1"/>
      <c r="H63" s="188"/>
      <c r="I63" s="172"/>
      <c r="J63" s="172"/>
      <c r="K63" s="173"/>
      <c r="L63" s="1"/>
      <c r="M63" s="1"/>
      <c r="N63" s="17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76"/>
      <c r="D64" s="1"/>
      <c r="E64" s="178"/>
      <c r="F64" s="1"/>
      <c r="G64" s="1"/>
      <c r="H64" s="188"/>
      <c r="I64" s="172"/>
      <c r="J64" s="172"/>
      <c r="K64" s="173"/>
      <c r="L64" s="1"/>
      <c r="M64" s="1"/>
      <c r="N64" s="17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76"/>
      <c r="D65" s="1"/>
      <c r="E65" s="178"/>
      <c r="F65" s="1"/>
      <c r="G65" s="1"/>
      <c r="H65" s="188"/>
      <c r="I65" s="172"/>
      <c r="J65" s="172"/>
      <c r="K65" s="173"/>
      <c r="L65" s="1"/>
      <c r="M65" s="1"/>
      <c r="N65" s="17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76"/>
      <c r="D66" s="1"/>
      <c r="E66" s="178"/>
      <c r="F66" s="1"/>
      <c r="G66" s="1"/>
      <c r="H66" s="188"/>
      <c r="I66" s="172"/>
      <c r="J66" s="172"/>
      <c r="K66" s="173"/>
      <c r="L66" s="1"/>
      <c r="M66" s="1"/>
      <c r="N66" s="17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76"/>
      <c r="D67" s="1"/>
      <c r="E67" s="178"/>
      <c r="F67" s="1"/>
      <c r="G67" s="1"/>
      <c r="H67" s="188"/>
      <c r="I67" s="172"/>
      <c r="J67" s="172"/>
      <c r="K67" s="173"/>
      <c r="L67" s="1"/>
      <c r="M67" s="1"/>
      <c r="N67" s="17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76"/>
      <c r="D68" s="1"/>
      <c r="E68" s="178"/>
      <c r="F68" s="1"/>
      <c r="G68" s="1"/>
      <c r="H68" s="188"/>
      <c r="I68" s="172"/>
      <c r="J68" s="172"/>
      <c r="K68" s="173"/>
      <c r="L68" s="1"/>
      <c r="M68" s="1"/>
      <c r="N68" s="17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76"/>
      <c r="D69" s="1"/>
      <c r="E69" s="178"/>
      <c r="F69" s="1"/>
      <c r="G69" s="1"/>
      <c r="H69" s="188"/>
      <c r="I69" s="172"/>
      <c r="J69" s="172"/>
      <c r="K69" s="173"/>
      <c r="L69" s="1"/>
      <c r="M69" s="1"/>
      <c r="N69" s="17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76"/>
      <c r="D70" s="1"/>
      <c r="E70" s="178"/>
      <c r="F70" s="1"/>
      <c r="G70" s="1"/>
      <c r="H70" s="188"/>
      <c r="I70" s="172"/>
      <c r="J70" s="172"/>
      <c r="K70" s="173"/>
      <c r="L70" s="1"/>
      <c r="M70" s="1"/>
      <c r="N70" s="17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76"/>
      <c r="D71" s="1"/>
      <c r="E71" s="178"/>
      <c r="F71" s="1"/>
      <c r="G71" s="1"/>
      <c r="H71" s="188"/>
      <c r="I71" s="172"/>
      <c r="J71" s="172"/>
      <c r="K71" s="173"/>
      <c r="L71" s="1"/>
      <c r="M71" s="1"/>
      <c r="N71" s="17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76"/>
      <c r="D72" s="1"/>
      <c r="E72" s="178"/>
      <c r="F72" s="1"/>
      <c r="G72" s="1"/>
      <c r="H72" s="188"/>
      <c r="I72" s="172"/>
      <c r="J72" s="172"/>
      <c r="K72" s="173"/>
      <c r="L72" s="1"/>
      <c r="M72" s="1"/>
      <c r="N72" s="17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76"/>
      <c r="D73" s="1"/>
      <c r="E73" s="178"/>
      <c r="F73" s="1"/>
      <c r="G73" s="1"/>
      <c r="H73" s="188"/>
      <c r="I73" s="172"/>
      <c r="J73" s="172"/>
      <c r="K73" s="173"/>
      <c r="L73" s="1"/>
      <c r="M73" s="1"/>
      <c r="N73" s="17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76"/>
      <c r="D74" s="1"/>
      <c r="E74" s="178"/>
      <c r="F74" s="1"/>
      <c r="G74" s="1"/>
      <c r="H74" s="188"/>
      <c r="I74" s="172"/>
      <c r="J74" s="172"/>
      <c r="K74" s="173"/>
      <c r="L74" s="1"/>
      <c r="M74" s="1"/>
      <c r="N74" s="17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76"/>
      <c r="D75" s="1"/>
      <c r="E75" s="178"/>
      <c r="F75" s="1"/>
      <c r="G75" s="1"/>
      <c r="H75" s="188"/>
      <c r="I75" s="172"/>
      <c r="J75" s="172"/>
      <c r="K75" s="173"/>
      <c r="L75" s="1"/>
      <c r="M75" s="1"/>
      <c r="N75" s="17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76"/>
      <c r="D76" s="1"/>
      <c r="E76" s="178"/>
      <c r="F76" s="1"/>
      <c r="G76" s="1"/>
      <c r="H76" s="188"/>
      <c r="I76" s="172"/>
      <c r="J76" s="172"/>
      <c r="K76" s="173"/>
      <c r="L76" s="1"/>
      <c r="M76" s="1"/>
      <c r="N76" s="17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76"/>
      <c r="D77" s="1"/>
      <c r="E77" s="178"/>
      <c r="F77" s="1"/>
      <c r="G77" s="1"/>
      <c r="H77" s="188"/>
      <c r="I77" s="172"/>
      <c r="J77" s="172"/>
      <c r="K77" s="173"/>
      <c r="L77" s="1"/>
      <c r="M77" s="1"/>
      <c r="N77" s="17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76"/>
      <c r="D78" s="1"/>
      <c r="E78" s="178"/>
      <c r="F78" s="1"/>
      <c r="G78" s="1"/>
      <c r="H78" s="188"/>
      <c r="I78" s="172"/>
      <c r="J78" s="172"/>
      <c r="K78" s="173"/>
      <c r="L78" s="1"/>
      <c r="M78" s="1"/>
      <c r="N78" s="17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76"/>
      <c r="D79" s="1"/>
      <c r="E79" s="178"/>
      <c r="F79" s="1"/>
      <c r="G79" s="1"/>
      <c r="H79" s="188"/>
      <c r="I79" s="172"/>
      <c r="J79" s="172"/>
      <c r="K79" s="173"/>
      <c r="L79" s="1"/>
      <c r="M79" s="1"/>
      <c r="N79" s="17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76"/>
      <c r="D80" s="1"/>
      <c r="E80" s="178"/>
      <c r="F80" s="1"/>
      <c r="G80" s="1"/>
      <c r="H80" s="188"/>
      <c r="I80" s="172"/>
      <c r="J80" s="172"/>
      <c r="K80" s="173"/>
      <c r="L80" s="1"/>
      <c r="M80" s="1"/>
      <c r="N80" s="17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76"/>
      <c r="D81" s="1"/>
      <c r="E81" s="178"/>
      <c r="F81" s="1"/>
      <c r="G81" s="1"/>
      <c r="H81" s="188"/>
      <c r="I81" s="172"/>
      <c r="J81" s="172"/>
      <c r="K81" s="173"/>
      <c r="L81" s="1"/>
      <c r="M81" s="1"/>
      <c r="N81" s="17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76"/>
      <c r="D82" s="1"/>
      <c r="E82" s="178"/>
      <c r="F82" s="1"/>
      <c r="G82" s="1"/>
      <c r="H82" s="188"/>
      <c r="I82" s="172"/>
      <c r="J82" s="172"/>
      <c r="K82" s="173"/>
      <c r="L82" s="1"/>
      <c r="M82" s="1"/>
      <c r="N82" s="17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76"/>
      <c r="D83" s="1"/>
      <c r="E83" s="178"/>
      <c r="F83" s="1"/>
      <c r="G83" s="1"/>
      <c r="H83" s="188"/>
      <c r="I83" s="172"/>
      <c r="J83" s="172"/>
      <c r="K83" s="173"/>
      <c r="L83" s="1"/>
      <c r="M83" s="1"/>
      <c r="N83" s="17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76"/>
      <c r="D84" s="1"/>
      <c r="E84" s="178"/>
      <c r="F84" s="1"/>
      <c r="G84" s="1"/>
      <c r="H84" s="188"/>
      <c r="I84" s="172"/>
      <c r="J84" s="172"/>
      <c r="K84" s="173"/>
      <c r="L84" s="1"/>
      <c r="M84" s="1"/>
      <c r="N84" s="17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76"/>
      <c r="D85" s="1"/>
      <c r="E85" s="178"/>
      <c r="F85" s="1"/>
      <c r="G85" s="1"/>
      <c r="H85" s="188"/>
      <c r="I85" s="172"/>
      <c r="J85" s="172"/>
      <c r="K85" s="173"/>
      <c r="L85" s="1"/>
      <c r="M85" s="1"/>
      <c r="N85" s="17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76"/>
      <c r="D86" s="1"/>
      <c r="E86" s="178"/>
      <c r="F86" s="1"/>
      <c r="G86" s="1"/>
      <c r="H86" s="188"/>
      <c r="I86" s="172"/>
      <c r="J86" s="172"/>
      <c r="K86" s="173"/>
      <c r="L86" s="1"/>
      <c r="M86" s="1"/>
      <c r="N86" s="17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76"/>
      <c r="D87" s="1"/>
      <c r="E87" s="178"/>
      <c r="F87" s="1"/>
      <c r="G87" s="1"/>
      <c r="H87" s="188"/>
      <c r="I87" s="172"/>
      <c r="J87" s="172"/>
      <c r="K87" s="173"/>
      <c r="L87" s="1"/>
      <c r="M87" s="1"/>
      <c r="N87" s="17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76"/>
      <c r="D88" s="1"/>
      <c r="E88" s="178"/>
      <c r="F88" s="1"/>
      <c r="G88" s="1"/>
      <c r="H88" s="188"/>
      <c r="I88" s="172"/>
      <c r="J88" s="172"/>
      <c r="K88" s="173"/>
      <c r="L88" s="1"/>
      <c r="M88" s="1"/>
      <c r="N88" s="17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76"/>
      <c r="D89" s="1"/>
      <c r="E89" s="178"/>
      <c r="F89" s="1"/>
      <c r="G89" s="1"/>
      <c r="H89" s="188"/>
      <c r="I89" s="172"/>
      <c r="J89" s="172"/>
      <c r="K89" s="173"/>
      <c r="L89" s="1"/>
      <c r="M89" s="1"/>
      <c r="N89" s="17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76"/>
      <c r="D90" s="1"/>
      <c r="E90" s="178"/>
      <c r="F90" s="1"/>
      <c r="G90" s="1"/>
      <c r="H90" s="188"/>
      <c r="I90" s="172"/>
      <c r="J90" s="172"/>
      <c r="K90" s="173"/>
      <c r="L90" s="1"/>
      <c r="M90" s="1"/>
      <c r="N90" s="17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76"/>
      <c r="D91" s="1"/>
      <c r="E91" s="178"/>
      <c r="F91" s="1"/>
      <c r="G91" s="1"/>
      <c r="H91" s="188"/>
      <c r="I91" s="172"/>
      <c r="J91" s="172"/>
      <c r="K91" s="173"/>
      <c r="L91" s="1"/>
      <c r="M91" s="1"/>
      <c r="N91" s="17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76"/>
      <c r="D92" s="1"/>
      <c r="E92" s="178"/>
      <c r="F92" s="1"/>
      <c r="G92" s="1"/>
      <c r="H92" s="188"/>
      <c r="I92" s="172"/>
      <c r="J92" s="172"/>
      <c r="K92" s="173"/>
      <c r="L92" s="1"/>
      <c r="M92" s="1"/>
      <c r="N92" s="17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76"/>
      <c r="D93" s="1"/>
      <c r="E93" s="178"/>
      <c r="F93" s="1"/>
      <c r="G93" s="1"/>
      <c r="H93" s="188"/>
      <c r="I93" s="172"/>
      <c r="J93" s="172"/>
      <c r="K93" s="173"/>
      <c r="L93" s="1"/>
      <c r="M93" s="1"/>
      <c r="N93" s="17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76"/>
      <c r="D94" s="1"/>
      <c r="E94" s="178"/>
      <c r="F94" s="1"/>
      <c r="G94" s="1"/>
      <c r="H94" s="188"/>
      <c r="I94" s="172"/>
      <c r="J94" s="172"/>
      <c r="K94" s="173"/>
      <c r="L94" s="1"/>
      <c r="M94" s="1"/>
      <c r="N94" s="17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76"/>
      <c r="D95" s="1"/>
      <c r="E95" s="178"/>
      <c r="F95" s="1"/>
      <c r="G95" s="1"/>
      <c r="H95" s="188"/>
      <c r="I95" s="172"/>
      <c r="J95" s="172"/>
      <c r="K95" s="173"/>
      <c r="L95" s="1"/>
      <c r="M95" s="1"/>
      <c r="N95" s="17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76"/>
      <c r="D96" s="1"/>
      <c r="E96" s="178"/>
      <c r="F96" s="1"/>
      <c r="G96" s="1"/>
      <c r="H96" s="188"/>
      <c r="I96" s="172"/>
      <c r="J96" s="172"/>
      <c r="K96" s="173"/>
      <c r="L96" s="1"/>
      <c r="M96" s="1"/>
      <c r="N96" s="17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76"/>
      <c r="D97" s="1"/>
      <c r="E97" s="178"/>
      <c r="F97" s="1"/>
      <c r="G97" s="1"/>
      <c r="H97" s="188"/>
      <c r="I97" s="172"/>
      <c r="J97" s="172"/>
      <c r="K97" s="173"/>
      <c r="L97" s="1"/>
      <c r="M97" s="1"/>
      <c r="N97" s="17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76"/>
      <c r="D98" s="1"/>
      <c r="E98" s="178"/>
      <c r="F98" s="1"/>
      <c r="G98" s="1"/>
      <c r="H98" s="188"/>
      <c r="I98" s="172"/>
      <c r="J98" s="172"/>
      <c r="K98" s="173"/>
      <c r="L98" s="1"/>
      <c r="M98" s="1"/>
      <c r="N98" s="17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76"/>
      <c r="D99" s="1"/>
      <c r="E99" s="178"/>
      <c r="F99" s="1"/>
      <c r="G99" s="1"/>
      <c r="H99" s="188"/>
      <c r="I99" s="172"/>
      <c r="J99" s="172"/>
      <c r="K99" s="173"/>
      <c r="L99" s="1"/>
      <c r="M99" s="1"/>
      <c r="N99" s="17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76"/>
      <c r="D100" s="1"/>
      <c r="E100" s="178"/>
      <c r="F100" s="1"/>
      <c r="G100" s="1"/>
      <c r="H100" s="188"/>
      <c r="I100" s="172"/>
      <c r="J100" s="172"/>
      <c r="K100" s="173"/>
      <c r="L100" s="1"/>
      <c r="M100" s="1"/>
      <c r="N100" s="17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76"/>
      <c r="D101" s="1"/>
      <c r="E101" s="178"/>
      <c r="F101" s="1"/>
      <c r="G101" s="1"/>
      <c r="H101" s="188"/>
      <c r="I101" s="172"/>
      <c r="J101" s="172"/>
      <c r="K101" s="173"/>
      <c r="L101" s="1"/>
      <c r="M101" s="1"/>
      <c r="N101" s="17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76"/>
      <c r="D102" s="1"/>
      <c r="E102" s="178"/>
      <c r="F102" s="1"/>
      <c r="G102" s="1"/>
      <c r="H102" s="188"/>
      <c r="I102" s="172"/>
      <c r="J102" s="172"/>
      <c r="K102" s="173"/>
      <c r="L102" s="1"/>
      <c r="M102" s="1"/>
      <c r="N102" s="17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76"/>
      <c r="D103" s="1"/>
      <c r="E103" s="178"/>
      <c r="F103" s="1"/>
      <c r="G103" s="1"/>
      <c r="H103" s="188"/>
      <c r="I103" s="172"/>
      <c r="J103" s="172"/>
      <c r="K103" s="173"/>
      <c r="L103" s="1"/>
      <c r="M103" s="1"/>
      <c r="N103" s="17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76"/>
      <c r="D104" s="1"/>
      <c r="E104" s="178"/>
      <c r="F104" s="1"/>
      <c r="G104" s="1"/>
      <c r="H104" s="188"/>
      <c r="I104" s="172"/>
      <c r="J104" s="172"/>
      <c r="K104" s="173"/>
      <c r="L104" s="1"/>
      <c r="M104" s="1"/>
      <c r="N104" s="17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76"/>
      <c r="D105" s="1"/>
      <c r="E105" s="178"/>
      <c r="F105" s="1"/>
      <c r="G105" s="1"/>
      <c r="H105" s="188"/>
      <c r="I105" s="172"/>
      <c r="J105" s="172"/>
      <c r="K105" s="173"/>
      <c r="L105" s="1"/>
      <c r="M105" s="1"/>
      <c r="N105" s="17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76"/>
      <c r="D106" s="1"/>
      <c r="E106" s="178"/>
      <c r="F106" s="1"/>
      <c r="G106" s="1"/>
      <c r="H106" s="188"/>
      <c r="I106" s="172"/>
      <c r="J106" s="172"/>
      <c r="K106" s="173"/>
      <c r="L106" s="1"/>
      <c r="M106" s="1"/>
      <c r="N106" s="17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76"/>
      <c r="D107" s="1"/>
      <c r="E107" s="178"/>
      <c r="F107" s="1"/>
      <c r="G107" s="1"/>
      <c r="H107" s="188"/>
      <c r="I107" s="172"/>
      <c r="J107" s="172"/>
      <c r="K107" s="173"/>
      <c r="L107" s="1"/>
      <c r="M107" s="1"/>
      <c r="N107" s="17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76"/>
      <c r="D108" s="1"/>
      <c r="E108" s="178"/>
      <c r="F108" s="1"/>
      <c r="G108" s="1"/>
      <c r="H108" s="188"/>
      <c r="I108" s="172"/>
      <c r="J108" s="172"/>
      <c r="K108" s="173"/>
      <c r="L108" s="1"/>
      <c r="M108" s="1"/>
      <c r="N108" s="17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76"/>
      <c r="D109" s="1"/>
      <c r="E109" s="178"/>
      <c r="F109" s="1"/>
      <c r="G109" s="1"/>
      <c r="H109" s="188"/>
      <c r="I109" s="172"/>
      <c r="J109" s="172"/>
      <c r="K109" s="173"/>
      <c r="L109" s="1"/>
      <c r="M109" s="1"/>
      <c r="N109" s="17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76"/>
      <c r="D110" s="1"/>
      <c r="E110" s="178"/>
      <c r="F110" s="1"/>
      <c r="G110" s="1"/>
      <c r="H110" s="188"/>
      <c r="I110" s="172"/>
      <c r="J110" s="172"/>
      <c r="K110" s="173"/>
      <c r="L110" s="1"/>
      <c r="M110" s="1"/>
      <c r="N110" s="17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76"/>
      <c r="D111" s="1"/>
      <c r="E111" s="178"/>
      <c r="F111" s="1"/>
      <c r="G111" s="1"/>
      <c r="H111" s="188"/>
      <c r="I111" s="172"/>
      <c r="J111" s="172"/>
      <c r="K111" s="173"/>
      <c r="L111" s="1"/>
      <c r="M111" s="1"/>
      <c r="N111" s="17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76"/>
      <c r="D112" s="1"/>
      <c r="E112" s="178"/>
      <c r="F112" s="1"/>
      <c r="G112" s="1"/>
      <c r="H112" s="188"/>
      <c r="I112" s="172"/>
      <c r="J112" s="172"/>
      <c r="K112" s="173"/>
      <c r="L112" s="1"/>
      <c r="M112" s="1"/>
      <c r="N112" s="17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76"/>
      <c r="D113" s="1"/>
      <c r="E113" s="178"/>
      <c r="F113" s="1"/>
      <c r="G113" s="1"/>
      <c r="H113" s="188"/>
      <c r="I113" s="172"/>
      <c r="J113" s="172"/>
      <c r="K113" s="173"/>
      <c r="L113" s="1"/>
      <c r="M113" s="1"/>
      <c r="N113" s="17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76"/>
      <c r="D114" s="1"/>
      <c r="E114" s="178"/>
      <c r="F114" s="1"/>
      <c r="G114" s="1"/>
      <c r="H114" s="188"/>
      <c r="I114" s="172"/>
      <c r="J114" s="172"/>
      <c r="K114" s="173"/>
      <c r="L114" s="1"/>
      <c r="M114" s="1"/>
      <c r="N114" s="17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76"/>
      <c r="D115" s="1"/>
      <c r="E115" s="178"/>
      <c r="F115" s="1"/>
      <c r="G115" s="1"/>
      <c r="H115" s="188"/>
      <c r="I115" s="172"/>
      <c r="J115" s="172"/>
      <c r="K115" s="173"/>
      <c r="L115" s="1"/>
      <c r="M115" s="1"/>
      <c r="N115" s="17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76"/>
      <c r="D116" s="1"/>
      <c r="E116" s="178"/>
      <c r="F116" s="1"/>
      <c r="G116" s="1"/>
      <c r="H116" s="188"/>
      <c r="I116" s="172"/>
      <c r="J116" s="172"/>
      <c r="K116" s="173"/>
      <c r="L116" s="1"/>
      <c r="M116" s="1"/>
      <c r="N116" s="17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76"/>
      <c r="D117" s="1"/>
      <c r="E117" s="178"/>
      <c r="F117" s="1"/>
      <c r="G117" s="1"/>
      <c r="H117" s="188"/>
      <c r="I117" s="172"/>
      <c r="J117" s="172"/>
      <c r="K117" s="173"/>
      <c r="L117" s="1"/>
      <c r="M117" s="1"/>
      <c r="N117" s="17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76"/>
      <c r="D118" s="1"/>
      <c r="E118" s="178"/>
      <c r="F118" s="1"/>
      <c r="G118" s="1"/>
      <c r="H118" s="188"/>
      <c r="I118" s="172"/>
      <c r="J118" s="172"/>
      <c r="K118" s="173"/>
      <c r="L118" s="1"/>
      <c r="M118" s="1"/>
      <c r="N118" s="17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76"/>
      <c r="D119" s="1"/>
      <c r="E119" s="178"/>
      <c r="F119" s="1"/>
      <c r="G119" s="1"/>
      <c r="H119" s="188"/>
      <c r="I119" s="172"/>
      <c r="J119" s="172"/>
      <c r="K119" s="173"/>
      <c r="L119" s="1"/>
      <c r="M119" s="1"/>
      <c r="N119" s="17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76"/>
      <c r="D120" s="1"/>
      <c r="E120" s="178"/>
      <c r="F120" s="1"/>
      <c r="G120" s="1"/>
      <c r="H120" s="188"/>
      <c r="I120" s="172"/>
      <c r="J120" s="172"/>
      <c r="K120" s="173"/>
      <c r="L120" s="1"/>
      <c r="M120" s="1"/>
      <c r="N120" s="17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76"/>
      <c r="D121" s="1"/>
      <c r="E121" s="178"/>
      <c r="F121" s="1"/>
      <c r="G121" s="1"/>
      <c r="H121" s="188"/>
      <c r="I121" s="172"/>
      <c r="J121" s="172"/>
      <c r="K121" s="173"/>
      <c r="L121" s="1"/>
      <c r="M121" s="1"/>
      <c r="N121" s="17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76"/>
      <c r="D122" s="1"/>
      <c r="E122" s="178"/>
      <c r="F122" s="1"/>
      <c r="G122" s="1"/>
      <c r="H122" s="188"/>
      <c r="I122" s="172"/>
      <c r="J122" s="172"/>
      <c r="K122" s="173"/>
      <c r="L122" s="1"/>
      <c r="M122" s="1"/>
      <c r="N122" s="17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76"/>
      <c r="D123" s="1"/>
      <c r="E123" s="178"/>
      <c r="F123" s="1"/>
      <c r="G123" s="1"/>
      <c r="H123" s="188"/>
      <c r="I123" s="172"/>
      <c r="J123" s="172"/>
      <c r="K123" s="173"/>
      <c r="L123" s="1"/>
      <c r="M123" s="1"/>
      <c r="N123" s="17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76"/>
      <c r="D124" s="1"/>
      <c r="E124" s="178"/>
      <c r="F124" s="1"/>
      <c r="G124" s="1"/>
      <c r="H124" s="188"/>
      <c r="I124" s="172"/>
      <c r="J124" s="172"/>
      <c r="K124" s="173"/>
      <c r="L124" s="1"/>
      <c r="M124" s="1"/>
      <c r="N124" s="17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76"/>
      <c r="D125" s="1"/>
      <c r="E125" s="178"/>
      <c r="F125" s="1"/>
      <c r="G125" s="1"/>
      <c r="H125" s="188"/>
      <c r="I125" s="172"/>
      <c r="J125" s="172"/>
      <c r="K125" s="173"/>
      <c r="L125" s="1"/>
      <c r="M125" s="1"/>
      <c r="N125" s="17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76"/>
      <c r="D126" s="1"/>
      <c r="E126" s="178"/>
      <c r="F126" s="1"/>
      <c r="G126" s="1"/>
      <c r="H126" s="188"/>
      <c r="I126" s="172"/>
      <c r="J126" s="172"/>
      <c r="K126" s="173"/>
      <c r="L126" s="1"/>
      <c r="M126" s="1"/>
      <c r="N126" s="17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76"/>
      <c r="D127" s="1"/>
      <c r="E127" s="178"/>
      <c r="F127" s="1"/>
      <c r="G127" s="1"/>
      <c r="H127" s="188"/>
      <c r="I127" s="172"/>
      <c r="J127" s="172"/>
      <c r="K127" s="173"/>
      <c r="L127" s="1"/>
      <c r="M127" s="1"/>
      <c r="N127" s="17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76"/>
      <c r="D128" s="1"/>
      <c r="E128" s="178"/>
      <c r="F128" s="1"/>
      <c r="G128" s="1"/>
      <c r="H128" s="188"/>
      <c r="I128" s="172"/>
      <c r="J128" s="172"/>
      <c r="K128" s="173"/>
      <c r="L128" s="1"/>
      <c r="M128" s="1"/>
      <c r="N128" s="17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76"/>
      <c r="D129" s="1"/>
      <c r="E129" s="178"/>
      <c r="F129" s="1"/>
      <c r="G129" s="1"/>
      <c r="H129" s="188"/>
      <c r="I129" s="172"/>
      <c r="J129" s="172"/>
      <c r="K129" s="173"/>
      <c r="L129" s="1"/>
      <c r="M129" s="1"/>
      <c r="N129" s="17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76"/>
      <c r="D130" s="1"/>
      <c r="E130" s="178"/>
      <c r="F130" s="1"/>
      <c r="G130" s="1"/>
      <c r="H130" s="188"/>
      <c r="I130" s="172"/>
      <c r="J130" s="172"/>
      <c r="K130" s="173"/>
      <c r="L130" s="1"/>
      <c r="M130" s="1"/>
      <c r="N130" s="17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76"/>
      <c r="D131" s="1"/>
      <c r="E131" s="178"/>
      <c r="F131" s="1"/>
      <c r="G131" s="1"/>
      <c r="H131" s="188"/>
      <c r="I131" s="172"/>
      <c r="J131" s="172"/>
      <c r="K131" s="173"/>
      <c r="L131" s="1"/>
      <c r="M131" s="1"/>
      <c r="N131" s="17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76"/>
      <c r="D132" s="1"/>
      <c r="E132" s="178"/>
      <c r="F132" s="1"/>
      <c r="G132" s="1"/>
      <c r="H132" s="188"/>
      <c r="I132" s="172"/>
      <c r="J132" s="172"/>
      <c r="K132" s="173"/>
      <c r="L132" s="1"/>
      <c r="M132" s="1"/>
      <c r="N132" s="17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76"/>
      <c r="D133" s="1"/>
      <c r="E133" s="178"/>
      <c r="F133" s="1"/>
      <c r="G133" s="1"/>
      <c r="H133" s="188"/>
      <c r="I133" s="172"/>
      <c r="J133" s="172"/>
      <c r="K133" s="173"/>
      <c r="L133" s="1"/>
      <c r="M133" s="1"/>
      <c r="N133" s="17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76"/>
      <c r="D134" s="1"/>
      <c r="E134" s="178"/>
      <c r="F134" s="1"/>
      <c r="G134" s="1"/>
      <c r="H134" s="188"/>
      <c r="I134" s="172"/>
      <c r="J134" s="172"/>
      <c r="K134" s="173"/>
      <c r="L134" s="1"/>
      <c r="M134" s="1"/>
      <c r="N134" s="17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76"/>
      <c r="D135" s="1"/>
      <c r="E135" s="178"/>
      <c r="F135" s="1"/>
      <c r="G135" s="1"/>
      <c r="H135" s="188"/>
      <c r="I135" s="172"/>
      <c r="J135" s="172"/>
      <c r="K135" s="173"/>
      <c r="L135" s="1"/>
      <c r="M135" s="1"/>
      <c r="N135" s="17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76"/>
      <c r="D136" s="1"/>
      <c r="E136" s="178"/>
      <c r="F136" s="1"/>
      <c r="G136" s="1"/>
      <c r="H136" s="188"/>
      <c r="I136" s="172"/>
      <c r="J136" s="172"/>
      <c r="K136" s="173"/>
      <c r="L136" s="1"/>
      <c r="M136" s="1"/>
      <c r="N136" s="17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76"/>
      <c r="D137" s="1"/>
      <c r="E137" s="178"/>
      <c r="F137" s="1"/>
      <c r="G137" s="1"/>
      <c r="H137" s="188"/>
      <c r="I137" s="172"/>
      <c r="J137" s="172"/>
      <c r="K137" s="173"/>
      <c r="L137" s="1"/>
      <c r="M137" s="1"/>
      <c r="N137" s="17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76"/>
      <c r="D138" s="1"/>
      <c r="E138" s="178"/>
      <c r="F138" s="1"/>
      <c r="G138" s="1"/>
      <c r="H138" s="188"/>
      <c r="I138" s="172"/>
      <c r="J138" s="172"/>
      <c r="K138" s="173"/>
      <c r="L138" s="1"/>
      <c r="M138" s="1"/>
      <c r="N138" s="17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76"/>
      <c r="D139" s="1"/>
      <c r="E139" s="178"/>
      <c r="F139" s="1"/>
      <c r="G139" s="1"/>
      <c r="H139" s="188"/>
      <c r="I139" s="172"/>
      <c r="J139" s="172"/>
      <c r="K139" s="173"/>
      <c r="L139" s="1"/>
      <c r="M139" s="1"/>
      <c r="N139" s="17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76"/>
      <c r="D140" s="1"/>
      <c r="E140" s="178"/>
      <c r="F140" s="1"/>
      <c r="G140" s="1"/>
      <c r="H140" s="188"/>
      <c r="I140" s="172"/>
      <c r="J140" s="172"/>
      <c r="K140" s="173"/>
      <c r="L140" s="1"/>
      <c r="M140" s="1"/>
      <c r="N140" s="17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76"/>
      <c r="D141" s="1"/>
      <c r="E141" s="178"/>
      <c r="F141" s="1"/>
      <c r="G141" s="1"/>
      <c r="H141" s="188"/>
      <c r="I141" s="172"/>
      <c r="J141" s="172"/>
      <c r="K141" s="173"/>
      <c r="L141" s="1"/>
      <c r="M141" s="1"/>
      <c r="N141" s="17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76"/>
      <c r="D142" s="1"/>
      <c r="E142" s="178"/>
      <c r="F142" s="1"/>
      <c r="G142" s="1"/>
      <c r="H142" s="188"/>
      <c r="I142" s="172"/>
      <c r="J142" s="172"/>
      <c r="K142" s="173"/>
      <c r="L142" s="1"/>
      <c r="M142" s="1"/>
      <c r="N142" s="17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76"/>
      <c r="D143" s="1"/>
      <c r="E143" s="178"/>
      <c r="F143" s="1"/>
      <c r="G143" s="1"/>
      <c r="H143" s="188"/>
      <c r="I143" s="172"/>
      <c r="J143" s="172"/>
      <c r="K143" s="173"/>
      <c r="L143" s="1"/>
      <c r="M143" s="1"/>
      <c r="N143" s="17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76"/>
      <c r="D144" s="1"/>
      <c r="E144" s="178"/>
      <c r="F144" s="1"/>
      <c r="G144" s="1"/>
      <c r="H144" s="188"/>
      <c r="I144" s="172"/>
      <c r="J144" s="172"/>
      <c r="K144" s="173"/>
      <c r="L144" s="1"/>
      <c r="M144" s="1"/>
      <c r="N144" s="17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76"/>
      <c r="D145" s="1"/>
      <c r="E145" s="178"/>
      <c r="F145" s="1"/>
      <c r="G145" s="1"/>
      <c r="H145" s="188"/>
      <c r="I145" s="172"/>
      <c r="J145" s="172"/>
      <c r="K145" s="173"/>
      <c r="L145" s="1"/>
      <c r="M145" s="1"/>
      <c r="N145" s="17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76"/>
      <c r="D146" s="1"/>
      <c r="E146" s="178"/>
      <c r="F146" s="1"/>
      <c r="G146" s="1"/>
      <c r="H146" s="188"/>
      <c r="I146" s="172"/>
      <c r="J146" s="172"/>
      <c r="K146" s="173"/>
      <c r="L146" s="1"/>
      <c r="M146" s="1"/>
      <c r="N146" s="17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76"/>
      <c r="D147" s="1"/>
      <c r="E147" s="178"/>
      <c r="F147" s="1"/>
      <c r="G147" s="1"/>
      <c r="H147" s="188"/>
      <c r="I147" s="172"/>
      <c r="J147" s="172"/>
      <c r="K147" s="173"/>
      <c r="L147" s="1"/>
      <c r="M147" s="1"/>
      <c r="N147" s="17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76"/>
      <c r="D148" s="1"/>
      <c r="E148" s="178"/>
      <c r="F148" s="1"/>
      <c r="G148" s="1"/>
      <c r="H148" s="188"/>
      <c r="I148" s="172"/>
      <c r="J148" s="172"/>
      <c r="K148" s="173"/>
      <c r="L148" s="1"/>
      <c r="M148" s="1"/>
      <c r="N148" s="17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76"/>
      <c r="D149" s="1"/>
      <c r="E149" s="178"/>
      <c r="F149" s="1"/>
      <c r="G149" s="1"/>
      <c r="H149" s="188"/>
      <c r="I149" s="172"/>
      <c r="J149" s="172"/>
      <c r="K149" s="173"/>
      <c r="L149" s="1"/>
      <c r="M149" s="1"/>
      <c r="N149" s="17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76"/>
      <c r="D150" s="1"/>
      <c r="E150" s="178"/>
      <c r="F150" s="1"/>
      <c r="G150" s="1"/>
      <c r="H150" s="188"/>
      <c r="I150" s="172"/>
      <c r="J150" s="172"/>
      <c r="K150" s="173"/>
      <c r="L150" s="1"/>
      <c r="M150" s="1"/>
      <c r="N150" s="17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76"/>
      <c r="D151" s="1"/>
      <c r="E151" s="178"/>
      <c r="F151" s="1"/>
      <c r="G151" s="1"/>
      <c r="H151" s="188"/>
      <c r="I151" s="172"/>
      <c r="J151" s="172"/>
      <c r="K151" s="173"/>
      <c r="L151" s="1"/>
      <c r="M151" s="1"/>
      <c r="N151" s="17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76"/>
      <c r="D152" s="1"/>
      <c r="E152" s="178"/>
      <c r="F152" s="1"/>
      <c r="G152" s="1"/>
      <c r="H152" s="188"/>
      <c r="I152" s="172"/>
      <c r="J152" s="172"/>
      <c r="K152" s="173"/>
      <c r="L152" s="1"/>
      <c r="M152" s="1"/>
      <c r="N152" s="17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76"/>
      <c r="D153" s="1"/>
      <c r="E153" s="178"/>
      <c r="F153" s="1"/>
      <c r="G153" s="1"/>
      <c r="H153" s="188"/>
      <c r="I153" s="172"/>
      <c r="J153" s="172"/>
      <c r="K153" s="173"/>
      <c r="L153" s="1"/>
      <c r="M153" s="1"/>
      <c r="N153" s="17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76"/>
      <c r="D154" s="1"/>
      <c r="E154" s="178"/>
      <c r="F154" s="1"/>
      <c r="G154" s="1"/>
      <c r="H154" s="188"/>
      <c r="I154" s="172"/>
      <c r="J154" s="172"/>
      <c r="K154" s="173"/>
      <c r="L154" s="1"/>
      <c r="M154" s="1"/>
      <c r="N154" s="17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76"/>
      <c r="D155" s="1"/>
      <c r="E155" s="178"/>
      <c r="F155" s="1"/>
      <c r="G155" s="1"/>
      <c r="H155" s="188"/>
      <c r="I155" s="172"/>
      <c r="J155" s="172"/>
      <c r="K155" s="173"/>
      <c r="L155" s="1"/>
      <c r="M155" s="1"/>
      <c r="N155" s="17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76"/>
      <c r="D156" s="1"/>
      <c r="E156" s="178"/>
      <c r="F156" s="1"/>
      <c r="G156" s="1"/>
      <c r="H156" s="188"/>
      <c r="I156" s="172"/>
      <c r="J156" s="172"/>
      <c r="K156" s="173"/>
      <c r="L156" s="1"/>
      <c r="M156" s="1"/>
      <c r="N156" s="17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76"/>
      <c r="D157" s="1"/>
      <c r="E157" s="178"/>
      <c r="F157" s="1"/>
      <c r="G157" s="1"/>
      <c r="H157" s="188"/>
      <c r="I157" s="172"/>
      <c r="J157" s="172"/>
      <c r="K157" s="173"/>
      <c r="L157" s="1"/>
      <c r="M157" s="1"/>
      <c r="N157" s="17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76"/>
      <c r="D158" s="1"/>
      <c r="E158" s="178"/>
      <c r="F158" s="1"/>
      <c r="G158" s="1"/>
      <c r="H158" s="188"/>
      <c r="I158" s="172"/>
      <c r="J158" s="172"/>
      <c r="K158" s="173"/>
      <c r="L158" s="1"/>
      <c r="M158" s="1"/>
      <c r="N158" s="17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76"/>
      <c r="D159" s="1"/>
      <c r="E159" s="178"/>
      <c r="F159" s="1"/>
      <c r="G159" s="1"/>
      <c r="H159" s="188"/>
      <c r="I159" s="172"/>
      <c r="J159" s="172"/>
      <c r="K159" s="173"/>
      <c r="L159" s="1"/>
      <c r="M159" s="1"/>
      <c r="N159" s="17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76"/>
      <c r="D160" s="1"/>
      <c r="E160" s="178"/>
      <c r="F160" s="1"/>
      <c r="G160" s="1"/>
      <c r="H160" s="188"/>
      <c r="I160" s="172"/>
      <c r="J160" s="172"/>
      <c r="K160" s="173"/>
      <c r="L160" s="1"/>
      <c r="M160" s="1"/>
      <c r="N160" s="17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76"/>
      <c r="D161" s="1"/>
      <c r="E161" s="178"/>
      <c r="F161" s="1"/>
      <c r="G161" s="1"/>
      <c r="H161" s="188"/>
      <c r="I161" s="172"/>
      <c r="J161" s="172"/>
      <c r="K161" s="173"/>
      <c r="L161" s="1"/>
      <c r="M161" s="1"/>
      <c r="N161" s="17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76"/>
      <c r="D162" s="1"/>
      <c r="E162" s="178"/>
      <c r="F162" s="1"/>
      <c r="G162" s="1"/>
      <c r="H162" s="188"/>
      <c r="I162" s="172"/>
      <c r="J162" s="172"/>
      <c r="K162" s="173"/>
      <c r="L162" s="1"/>
      <c r="M162" s="1"/>
      <c r="N162" s="17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76"/>
      <c r="D163" s="1"/>
      <c r="E163" s="178"/>
      <c r="F163" s="1"/>
      <c r="G163" s="1"/>
      <c r="H163" s="188"/>
      <c r="I163" s="172"/>
      <c r="J163" s="172"/>
      <c r="K163" s="173"/>
      <c r="L163" s="1"/>
      <c r="M163" s="1"/>
      <c r="N163" s="17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76"/>
      <c r="D164" s="1"/>
      <c r="E164" s="178"/>
      <c r="F164" s="1"/>
      <c r="G164" s="1"/>
      <c r="H164" s="188"/>
      <c r="I164" s="172"/>
      <c r="J164" s="172"/>
      <c r="K164" s="173"/>
      <c r="L164" s="1"/>
      <c r="M164" s="1"/>
      <c r="N164" s="17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76"/>
      <c r="D165" s="1"/>
      <c r="E165" s="178"/>
      <c r="F165" s="1"/>
      <c r="G165" s="1"/>
      <c r="H165" s="188"/>
      <c r="I165" s="172"/>
      <c r="J165" s="172"/>
      <c r="K165" s="173"/>
      <c r="L165" s="1"/>
      <c r="M165" s="1"/>
      <c r="N165" s="17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76"/>
      <c r="D166" s="1"/>
      <c r="E166" s="178"/>
      <c r="F166" s="1"/>
      <c r="G166" s="1"/>
      <c r="H166" s="188"/>
      <c r="I166" s="172"/>
      <c r="J166" s="172"/>
      <c r="K166" s="173"/>
      <c r="L166" s="1"/>
      <c r="M166" s="1"/>
      <c r="N166" s="17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76"/>
      <c r="D167" s="1"/>
      <c r="E167" s="178"/>
      <c r="F167" s="1"/>
      <c r="G167" s="1"/>
      <c r="H167" s="188"/>
      <c r="I167" s="172"/>
      <c r="J167" s="172"/>
      <c r="K167" s="173"/>
      <c r="L167" s="1"/>
      <c r="M167" s="1"/>
      <c r="N167" s="17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76"/>
      <c r="D168" s="1"/>
      <c r="E168" s="178"/>
      <c r="F168" s="1"/>
      <c r="G168" s="1"/>
      <c r="H168" s="188"/>
      <c r="I168" s="172"/>
      <c r="J168" s="172"/>
      <c r="K168" s="173"/>
      <c r="L168" s="1"/>
      <c r="M168" s="1"/>
      <c r="N168" s="17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76"/>
      <c r="D169" s="1"/>
      <c r="E169" s="178"/>
      <c r="F169" s="1"/>
      <c r="G169" s="1"/>
      <c r="H169" s="188"/>
      <c r="I169" s="172"/>
      <c r="J169" s="172"/>
      <c r="K169" s="173"/>
      <c r="L169" s="1"/>
      <c r="M169" s="1"/>
      <c r="N169" s="17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76"/>
      <c r="D170" s="1"/>
      <c r="E170" s="178"/>
      <c r="F170" s="1"/>
      <c r="G170" s="1"/>
      <c r="H170" s="188"/>
      <c r="I170" s="172"/>
      <c r="J170" s="172"/>
      <c r="K170" s="173"/>
      <c r="L170" s="1"/>
      <c r="M170" s="1"/>
      <c r="N170" s="17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76"/>
      <c r="D171" s="1"/>
      <c r="E171" s="178"/>
      <c r="F171" s="1"/>
      <c r="G171" s="1"/>
      <c r="H171" s="188"/>
      <c r="I171" s="172"/>
      <c r="J171" s="172"/>
      <c r="K171" s="173"/>
      <c r="L171" s="1"/>
      <c r="M171" s="1"/>
      <c r="N171" s="17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76"/>
      <c r="D172" s="1"/>
      <c r="E172" s="178"/>
      <c r="F172" s="1"/>
      <c r="G172" s="1"/>
      <c r="H172" s="188"/>
      <c r="I172" s="172"/>
      <c r="J172" s="172"/>
      <c r="K172" s="173"/>
      <c r="L172" s="1"/>
      <c r="M172" s="1"/>
      <c r="N172" s="17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76"/>
      <c r="D173" s="1"/>
      <c r="E173" s="178"/>
      <c r="F173" s="1"/>
      <c r="G173" s="1"/>
      <c r="H173" s="188"/>
      <c r="I173" s="172"/>
      <c r="J173" s="172"/>
      <c r="K173" s="173"/>
      <c r="L173" s="1"/>
      <c r="M173" s="1"/>
      <c r="N173" s="17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76"/>
      <c r="D174" s="1"/>
      <c r="E174" s="178"/>
      <c r="F174" s="1"/>
      <c r="G174" s="1"/>
      <c r="H174" s="188"/>
      <c r="I174" s="172"/>
      <c r="J174" s="172"/>
      <c r="K174" s="173"/>
      <c r="L174" s="1"/>
      <c r="M174" s="1"/>
      <c r="N174" s="17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76"/>
      <c r="D175" s="1"/>
      <c r="E175" s="178"/>
      <c r="F175" s="1"/>
      <c r="G175" s="1"/>
      <c r="H175" s="188"/>
      <c r="I175" s="172"/>
      <c r="J175" s="172"/>
      <c r="K175" s="173"/>
      <c r="L175" s="1"/>
      <c r="M175" s="1"/>
      <c r="N175" s="17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76"/>
      <c r="D176" s="1"/>
      <c r="E176" s="178"/>
      <c r="F176" s="1"/>
      <c r="G176" s="1"/>
      <c r="H176" s="188"/>
      <c r="I176" s="172"/>
      <c r="J176" s="172"/>
      <c r="K176" s="173"/>
      <c r="L176" s="1"/>
      <c r="M176" s="1"/>
      <c r="N176" s="17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76"/>
      <c r="D177" s="1"/>
      <c r="E177" s="178"/>
      <c r="F177" s="1"/>
      <c r="G177" s="1"/>
      <c r="H177" s="188"/>
      <c r="I177" s="172"/>
      <c r="J177" s="172"/>
      <c r="K177" s="173"/>
      <c r="L177" s="1"/>
      <c r="M177" s="1"/>
      <c r="N177" s="17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76"/>
      <c r="D178" s="1"/>
      <c r="E178" s="178"/>
      <c r="F178" s="1"/>
      <c r="G178" s="1"/>
      <c r="H178" s="188"/>
      <c r="I178" s="172"/>
      <c r="J178" s="172"/>
      <c r="K178" s="173"/>
      <c r="L178" s="1"/>
      <c r="M178" s="1"/>
      <c r="N178" s="17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76"/>
      <c r="D179" s="1"/>
      <c r="E179" s="178"/>
      <c r="F179" s="1"/>
      <c r="G179" s="1"/>
      <c r="H179" s="188"/>
      <c r="I179" s="172"/>
      <c r="J179" s="172"/>
      <c r="K179" s="173"/>
      <c r="L179" s="1"/>
      <c r="M179" s="1"/>
      <c r="N179" s="17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76"/>
      <c r="D180" s="1"/>
      <c r="E180" s="178"/>
      <c r="F180" s="1"/>
      <c r="G180" s="1"/>
      <c r="H180" s="188"/>
      <c r="I180" s="172"/>
      <c r="J180" s="172"/>
      <c r="K180" s="173"/>
      <c r="L180" s="1"/>
      <c r="M180" s="1"/>
      <c r="N180" s="17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76"/>
      <c r="D181" s="1"/>
      <c r="E181" s="178"/>
      <c r="F181" s="1"/>
      <c r="G181" s="1"/>
      <c r="H181" s="188"/>
      <c r="I181" s="172"/>
      <c r="J181" s="172"/>
      <c r="K181" s="173"/>
      <c r="L181" s="1"/>
      <c r="M181" s="1"/>
      <c r="N181" s="17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76"/>
      <c r="D182" s="1"/>
      <c r="E182" s="178"/>
      <c r="F182" s="1"/>
      <c r="G182" s="1"/>
      <c r="H182" s="188"/>
      <c r="I182" s="172"/>
      <c r="J182" s="172"/>
      <c r="K182" s="173"/>
      <c r="L182" s="1"/>
      <c r="M182" s="1"/>
      <c r="N182" s="17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76"/>
      <c r="D183" s="1"/>
      <c r="E183" s="178"/>
      <c r="F183" s="1"/>
      <c r="G183" s="1"/>
      <c r="H183" s="188"/>
      <c r="I183" s="172"/>
      <c r="J183" s="172"/>
      <c r="K183" s="173"/>
      <c r="L183" s="1"/>
      <c r="M183" s="1"/>
      <c r="N183" s="17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76"/>
      <c r="D184" s="1"/>
      <c r="E184" s="178"/>
      <c r="F184" s="1"/>
      <c r="G184" s="1"/>
      <c r="H184" s="188"/>
      <c r="I184" s="172"/>
      <c r="J184" s="172"/>
      <c r="K184" s="173"/>
      <c r="L184" s="1"/>
      <c r="M184" s="1"/>
      <c r="N184" s="17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76"/>
      <c r="D185" s="1"/>
      <c r="E185" s="178"/>
      <c r="F185" s="1"/>
      <c r="G185" s="1"/>
      <c r="H185" s="188"/>
      <c r="I185" s="172"/>
      <c r="J185" s="172"/>
      <c r="K185" s="173"/>
      <c r="L185" s="1"/>
      <c r="M185" s="1"/>
      <c r="N185" s="17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76"/>
      <c r="D186" s="1"/>
      <c r="E186" s="178"/>
      <c r="F186" s="1"/>
      <c r="G186" s="1"/>
      <c r="H186" s="188"/>
      <c r="I186" s="172"/>
      <c r="J186" s="172"/>
      <c r="K186" s="173"/>
      <c r="L186" s="1"/>
      <c r="M186" s="1"/>
      <c r="N186" s="17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76"/>
      <c r="D187" s="1"/>
      <c r="E187" s="178"/>
      <c r="F187" s="1"/>
      <c r="G187" s="1"/>
      <c r="H187" s="188"/>
      <c r="I187" s="172"/>
      <c r="J187" s="172"/>
      <c r="K187" s="173"/>
      <c r="L187" s="1"/>
      <c r="M187" s="1"/>
      <c r="N187" s="17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76"/>
      <c r="D188" s="1"/>
      <c r="E188" s="178"/>
      <c r="F188" s="1"/>
      <c r="G188" s="1"/>
      <c r="H188" s="188"/>
      <c r="I188" s="172"/>
      <c r="J188" s="172"/>
      <c r="K188" s="173"/>
      <c r="L188" s="1"/>
      <c r="M188" s="1"/>
      <c r="N188" s="17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76"/>
      <c r="D189" s="1"/>
      <c r="E189" s="178"/>
      <c r="F189" s="1"/>
      <c r="G189" s="1"/>
      <c r="H189" s="188"/>
      <c r="I189" s="172"/>
      <c r="J189" s="172"/>
      <c r="K189" s="173"/>
      <c r="L189" s="1"/>
      <c r="M189" s="1"/>
      <c r="N189" s="17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76"/>
      <c r="D190" s="1"/>
      <c r="E190" s="178"/>
      <c r="F190" s="1"/>
      <c r="G190" s="1"/>
      <c r="H190" s="188"/>
      <c r="I190" s="172"/>
      <c r="J190" s="172"/>
      <c r="K190" s="173"/>
      <c r="L190" s="1"/>
      <c r="M190" s="1"/>
      <c r="N190" s="17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76"/>
      <c r="D191" s="1"/>
      <c r="E191" s="178"/>
      <c r="F191" s="1"/>
      <c r="G191" s="1"/>
      <c r="H191" s="188"/>
      <c r="I191" s="172"/>
      <c r="J191" s="172"/>
      <c r="K191" s="173"/>
      <c r="L191" s="1"/>
      <c r="M191" s="1"/>
      <c r="N191" s="17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76"/>
      <c r="D192" s="1"/>
      <c r="E192" s="178"/>
      <c r="F192" s="1"/>
      <c r="G192" s="1"/>
      <c r="H192" s="188"/>
      <c r="I192" s="172"/>
      <c r="J192" s="172"/>
      <c r="K192" s="173"/>
      <c r="L192" s="1"/>
      <c r="M192" s="1"/>
      <c r="N192" s="17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76"/>
      <c r="D193" s="1"/>
      <c r="E193" s="178"/>
      <c r="F193" s="1"/>
      <c r="G193" s="1"/>
      <c r="H193" s="188"/>
      <c r="I193" s="172"/>
      <c r="J193" s="172"/>
      <c r="K193" s="173"/>
      <c r="L193" s="1"/>
      <c r="M193" s="1"/>
      <c r="N193" s="17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76"/>
      <c r="D194" s="1"/>
      <c r="E194" s="178"/>
      <c r="F194" s="1"/>
      <c r="G194" s="1"/>
      <c r="H194" s="188"/>
      <c r="I194" s="172"/>
      <c r="J194" s="172"/>
      <c r="K194" s="173"/>
      <c r="L194" s="1"/>
      <c r="M194" s="1"/>
      <c r="N194" s="17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76"/>
      <c r="D195" s="1"/>
      <c r="E195" s="178"/>
      <c r="F195" s="1"/>
      <c r="G195" s="1"/>
      <c r="H195" s="188"/>
      <c r="I195" s="172"/>
      <c r="J195" s="172"/>
      <c r="K195" s="173"/>
      <c r="L195" s="1"/>
      <c r="M195" s="1"/>
      <c r="N195" s="17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76"/>
      <c r="D196" s="1"/>
      <c r="E196" s="178"/>
      <c r="F196" s="1"/>
      <c r="G196" s="1"/>
      <c r="H196" s="188"/>
      <c r="I196" s="172"/>
      <c r="J196" s="172"/>
      <c r="K196" s="173"/>
      <c r="L196" s="1"/>
      <c r="M196" s="1"/>
      <c r="N196" s="17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76"/>
      <c r="D197" s="1"/>
      <c r="E197" s="178"/>
      <c r="F197" s="1"/>
      <c r="G197" s="1"/>
      <c r="H197" s="188"/>
      <c r="I197" s="172"/>
      <c r="J197" s="172"/>
      <c r="K197" s="173"/>
      <c r="L197" s="1"/>
      <c r="M197" s="1"/>
      <c r="N197" s="17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76"/>
      <c r="D198" s="1"/>
      <c r="E198" s="178"/>
      <c r="F198" s="1"/>
      <c r="G198" s="1"/>
      <c r="H198" s="188"/>
      <c r="I198" s="172"/>
      <c r="J198" s="172"/>
      <c r="K198" s="173"/>
      <c r="L198" s="1"/>
      <c r="M198" s="1"/>
      <c r="N198" s="17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76"/>
      <c r="D199" s="1"/>
      <c r="E199" s="178"/>
      <c r="F199" s="1"/>
      <c r="G199" s="1"/>
      <c r="H199" s="188"/>
      <c r="I199" s="172"/>
      <c r="J199" s="172"/>
      <c r="K199" s="173"/>
      <c r="L199" s="1"/>
      <c r="M199" s="1"/>
      <c r="N199" s="17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76"/>
      <c r="D200" s="1"/>
      <c r="E200" s="178"/>
      <c r="F200" s="1"/>
      <c r="G200" s="1"/>
      <c r="H200" s="188"/>
      <c r="I200" s="172"/>
      <c r="J200" s="172"/>
      <c r="K200" s="173"/>
      <c r="L200" s="1"/>
      <c r="M200" s="1"/>
      <c r="N200" s="17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76"/>
      <c r="D201" s="1"/>
      <c r="E201" s="178"/>
      <c r="F201" s="1"/>
      <c r="G201" s="1"/>
      <c r="H201" s="188"/>
      <c r="I201" s="172"/>
      <c r="J201" s="172"/>
      <c r="K201" s="173"/>
      <c r="L201" s="1"/>
      <c r="M201" s="1"/>
      <c r="N201" s="17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76"/>
      <c r="D202" s="1"/>
      <c r="E202" s="178"/>
      <c r="F202" s="1"/>
      <c r="G202" s="1"/>
      <c r="H202" s="188"/>
      <c r="I202" s="172"/>
      <c r="J202" s="172"/>
      <c r="K202" s="173"/>
      <c r="L202" s="1"/>
      <c r="M202" s="1"/>
      <c r="N202" s="17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76"/>
      <c r="D203" s="1"/>
      <c r="E203" s="178"/>
      <c r="F203" s="1"/>
      <c r="G203" s="1"/>
      <c r="H203" s="188"/>
      <c r="I203" s="172"/>
      <c r="J203" s="172"/>
      <c r="K203" s="173"/>
      <c r="L203" s="1"/>
      <c r="M203" s="1"/>
      <c r="N203" s="17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76"/>
      <c r="D204" s="1"/>
      <c r="E204" s="178"/>
      <c r="F204" s="1"/>
      <c r="G204" s="1"/>
      <c r="H204" s="188"/>
      <c r="I204" s="172"/>
      <c r="J204" s="172"/>
      <c r="K204" s="173"/>
      <c r="L204" s="1"/>
      <c r="M204" s="1"/>
      <c r="N204" s="17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76"/>
      <c r="D205" s="1"/>
      <c r="E205" s="178"/>
      <c r="F205" s="1"/>
      <c r="G205" s="1"/>
      <c r="H205" s="188"/>
      <c r="I205" s="172"/>
      <c r="J205" s="172"/>
      <c r="K205" s="173"/>
      <c r="L205" s="1"/>
      <c r="M205" s="1"/>
      <c r="N205" s="17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76"/>
      <c r="D206" s="1"/>
      <c r="E206" s="178"/>
      <c r="F206" s="1"/>
      <c r="G206" s="1"/>
      <c r="H206" s="188"/>
      <c r="I206" s="172"/>
      <c r="J206" s="172"/>
      <c r="K206" s="173"/>
      <c r="L206" s="1"/>
      <c r="M206" s="1"/>
      <c r="N206" s="17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76"/>
      <c r="D207" s="1"/>
      <c r="E207" s="178"/>
      <c r="F207" s="1"/>
      <c r="G207" s="1"/>
      <c r="H207" s="188"/>
      <c r="I207" s="172"/>
      <c r="J207" s="172"/>
      <c r="K207" s="173"/>
      <c r="L207" s="1"/>
      <c r="M207" s="1"/>
      <c r="N207" s="17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76"/>
      <c r="D208" s="1"/>
      <c r="E208" s="178"/>
      <c r="F208" s="1"/>
      <c r="G208" s="1"/>
      <c r="H208" s="188"/>
      <c r="I208" s="172"/>
      <c r="J208" s="172"/>
      <c r="K208" s="173"/>
      <c r="L208" s="1"/>
      <c r="M208" s="1"/>
      <c r="N208" s="17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76"/>
      <c r="D209" s="1"/>
      <c r="E209" s="178"/>
      <c r="F209" s="1"/>
      <c r="G209" s="1"/>
      <c r="H209" s="188"/>
      <c r="I209" s="172"/>
      <c r="J209" s="172"/>
      <c r="K209" s="173"/>
      <c r="L209" s="1"/>
      <c r="M209" s="1"/>
      <c r="N209" s="17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76"/>
      <c r="D210" s="1"/>
      <c r="E210" s="178"/>
      <c r="F210" s="1"/>
      <c r="G210" s="1"/>
      <c r="H210" s="188"/>
      <c r="I210" s="172"/>
      <c r="J210" s="172"/>
      <c r="K210" s="173"/>
      <c r="L210" s="1"/>
      <c r="M210" s="1"/>
      <c r="N210" s="17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76"/>
      <c r="D211" s="1"/>
      <c r="E211" s="178"/>
      <c r="F211" s="1"/>
      <c r="G211" s="1"/>
      <c r="H211" s="188"/>
      <c r="I211" s="172"/>
      <c r="J211" s="172"/>
      <c r="K211" s="173"/>
      <c r="L211" s="1"/>
      <c r="M211" s="1"/>
      <c r="N211" s="17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76"/>
      <c r="D212" s="1"/>
      <c r="E212" s="178"/>
      <c r="F212" s="1"/>
      <c r="G212" s="1"/>
      <c r="H212" s="188"/>
      <c r="I212" s="172"/>
      <c r="J212" s="172"/>
      <c r="K212" s="173"/>
      <c r="L212" s="1"/>
      <c r="M212" s="1"/>
      <c r="N212" s="17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76"/>
      <c r="D213" s="1"/>
      <c r="E213" s="178"/>
      <c r="F213" s="1"/>
      <c r="G213" s="1"/>
      <c r="H213" s="188"/>
      <c r="I213" s="172"/>
      <c r="J213" s="172"/>
      <c r="K213" s="173"/>
      <c r="L213" s="1"/>
      <c r="M213" s="1"/>
      <c r="N213" s="17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76"/>
      <c r="D214" s="1"/>
      <c r="E214" s="178"/>
      <c r="F214" s="1"/>
      <c r="G214" s="1"/>
      <c r="H214" s="188"/>
      <c r="I214" s="172"/>
      <c r="J214" s="172"/>
      <c r="K214" s="173"/>
      <c r="L214" s="1"/>
      <c r="M214" s="1"/>
      <c r="N214" s="17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76"/>
      <c r="D215" s="1"/>
      <c r="E215" s="178"/>
      <c r="F215" s="1"/>
      <c r="G215" s="1"/>
      <c r="H215" s="188"/>
      <c r="I215" s="172"/>
      <c r="J215" s="172"/>
      <c r="K215" s="173"/>
      <c r="L215" s="1"/>
      <c r="M215" s="1"/>
      <c r="N215" s="17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76"/>
      <c r="D216" s="1"/>
      <c r="E216" s="178"/>
      <c r="F216" s="1"/>
      <c r="G216" s="1"/>
      <c r="H216" s="188"/>
      <c r="I216" s="172"/>
      <c r="J216" s="172"/>
      <c r="K216" s="173"/>
      <c r="L216" s="1"/>
      <c r="M216" s="1"/>
      <c r="N216" s="17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76"/>
      <c r="D217" s="1"/>
      <c r="E217" s="178"/>
      <c r="F217" s="1"/>
      <c r="G217" s="1"/>
      <c r="H217" s="188"/>
      <c r="I217" s="172"/>
      <c r="J217" s="172"/>
      <c r="K217" s="173"/>
      <c r="L217" s="1"/>
      <c r="M217" s="1"/>
      <c r="N217" s="17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76"/>
      <c r="D218" s="1"/>
      <c r="E218" s="178"/>
      <c r="F218" s="1"/>
      <c r="G218" s="1"/>
      <c r="H218" s="188"/>
      <c r="I218" s="172"/>
      <c r="J218" s="172"/>
      <c r="K218" s="173"/>
      <c r="L218" s="1"/>
      <c r="M218" s="1"/>
      <c r="N218" s="17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76"/>
      <c r="D219" s="1"/>
      <c r="E219" s="178"/>
      <c r="F219" s="1"/>
      <c r="G219" s="1"/>
      <c r="H219" s="188"/>
      <c r="I219" s="172"/>
      <c r="J219" s="172"/>
      <c r="K219" s="173"/>
      <c r="L219" s="1"/>
      <c r="M219" s="1"/>
      <c r="N219" s="17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76"/>
      <c r="D220" s="1"/>
      <c r="E220" s="178"/>
      <c r="F220" s="1"/>
      <c r="G220" s="1"/>
      <c r="H220" s="188"/>
      <c r="I220" s="172"/>
      <c r="J220" s="172"/>
      <c r="K220" s="173"/>
      <c r="L220" s="1"/>
      <c r="M220" s="1"/>
      <c r="N220" s="17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76"/>
      <c r="D221" s="1"/>
      <c r="E221" s="178"/>
      <c r="F221" s="1"/>
      <c r="G221" s="1"/>
      <c r="H221" s="188"/>
      <c r="I221" s="172"/>
      <c r="J221" s="172"/>
      <c r="K221" s="173"/>
      <c r="L221" s="1"/>
      <c r="M221" s="1"/>
      <c r="N221" s="17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76"/>
      <c r="D222" s="1"/>
      <c r="E222" s="178"/>
      <c r="F222" s="1"/>
      <c r="G222" s="1"/>
      <c r="H222" s="188"/>
      <c r="I222" s="172"/>
      <c r="J222" s="172"/>
      <c r="K222" s="173"/>
      <c r="L222" s="1"/>
      <c r="M222" s="1"/>
      <c r="N222" s="17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76"/>
      <c r="D223" s="1"/>
      <c r="E223" s="178"/>
      <c r="F223" s="1"/>
      <c r="G223" s="1"/>
      <c r="H223" s="188"/>
      <c r="I223" s="172"/>
      <c r="J223" s="172"/>
      <c r="K223" s="173"/>
      <c r="L223" s="1"/>
      <c r="M223" s="1"/>
      <c r="N223" s="17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76"/>
      <c r="D224" s="1"/>
      <c r="E224" s="178"/>
      <c r="F224" s="1"/>
      <c r="G224" s="1"/>
      <c r="H224" s="188"/>
      <c r="I224" s="172"/>
      <c r="J224" s="172"/>
      <c r="K224" s="173"/>
      <c r="L224" s="1"/>
      <c r="M224" s="1"/>
      <c r="N224" s="17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76"/>
      <c r="D225" s="1"/>
      <c r="E225" s="178"/>
      <c r="F225" s="1"/>
      <c r="G225" s="1"/>
      <c r="H225" s="188"/>
      <c r="I225" s="172"/>
      <c r="J225" s="172"/>
      <c r="K225" s="173"/>
      <c r="L225" s="1"/>
      <c r="M225" s="1"/>
      <c r="N225" s="17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76"/>
      <c r="D226" s="1"/>
      <c r="E226" s="178"/>
      <c r="F226" s="1"/>
      <c r="G226" s="1"/>
      <c r="H226" s="188"/>
      <c r="I226" s="172"/>
      <c r="J226" s="172"/>
      <c r="K226" s="173"/>
      <c r="L226" s="1"/>
      <c r="M226" s="1"/>
      <c r="N226" s="17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76"/>
      <c r="D227" s="1"/>
      <c r="E227" s="178"/>
      <c r="F227" s="1"/>
      <c r="G227" s="1"/>
      <c r="H227" s="188"/>
      <c r="I227" s="172"/>
      <c r="J227" s="172"/>
      <c r="K227" s="173"/>
      <c r="L227" s="1"/>
      <c r="M227" s="1"/>
      <c r="N227" s="17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76"/>
      <c r="D228" s="1"/>
      <c r="E228" s="178"/>
      <c r="F228" s="1"/>
      <c r="G228" s="1"/>
      <c r="H228" s="188"/>
      <c r="I228" s="172"/>
      <c r="J228" s="172"/>
      <c r="K228" s="173"/>
      <c r="L228" s="1"/>
      <c r="M228" s="1"/>
      <c r="N228" s="17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76"/>
      <c r="D229" s="1"/>
      <c r="E229" s="178"/>
      <c r="F229" s="1"/>
      <c r="G229" s="1"/>
      <c r="H229" s="188"/>
      <c r="I229" s="172"/>
      <c r="J229" s="172"/>
      <c r="K229" s="173"/>
      <c r="L229" s="1"/>
      <c r="M229" s="1"/>
      <c r="N229" s="17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76"/>
      <c r="D230" s="1"/>
      <c r="E230" s="178"/>
      <c r="F230" s="1"/>
      <c r="G230" s="1"/>
      <c r="H230" s="188"/>
      <c r="I230" s="172"/>
      <c r="J230" s="172"/>
      <c r="K230" s="173"/>
      <c r="L230" s="1"/>
      <c r="M230" s="1"/>
      <c r="N230" s="17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247"/>
      <c r="B231" s="247"/>
      <c r="C231" s="247"/>
      <c r="D231" s="247"/>
      <c r="E231" s="247"/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  <c r="Y231" s="247"/>
    </row>
    <row r="232" ht="15.75" customHeight="1">
      <c r="A232" s="247"/>
      <c r="B232" s="247"/>
      <c r="C232" s="247"/>
      <c r="D232" s="247"/>
      <c r="E232" s="247"/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  <c r="Y232" s="247"/>
    </row>
    <row r="233" ht="15.75" customHeight="1">
      <c r="A233" s="247"/>
      <c r="B233" s="247"/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  <c r="Y233" s="247"/>
    </row>
    <row r="234" ht="15.75" customHeight="1">
      <c r="A234" s="247"/>
      <c r="B234" s="247"/>
      <c r="C234" s="247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  <c r="Y234" s="247"/>
    </row>
    <row r="235" ht="15.75" customHeight="1">
      <c r="A235" s="247"/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</row>
    <row r="236" ht="15.75" customHeight="1">
      <c r="A236" s="247"/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  <c r="Y236" s="247"/>
    </row>
    <row r="237" ht="15.75" customHeight="1">
      <c r="A237" s="247"/>
      <c r="B237" s="247"/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</row>
    <row r="238" ht="15.75" customHeight="1">
      <c r="A238" s="247"/>
      <c r="B238" s="247"/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  <c r="Y238" s="247"/>
    </row>
    <row r="239" ht="15.75" customHeight="1">
      <c r="A239" s="247"/>
      <c r="B239" s="247"/>
      <c r="C239" s="247"/>
      <c r="D239" s="247"/>
      <c r="E239" s="247"/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  <c r="Y239" s="247"/>
    </row>
    <row r="240" ht="15.75" customHeight="1">
      <c r="A240" s="247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</row>
    <row r="241" ht="15.75" customHeight="1">
      <c r="A241" s="247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</row>
    <row r="242" ht="15.75" customHeight="1">
      <c r="A242" s="247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</row>
    <row r="243" ht="15.75" customHeight="1">
      <c r="A243" s="247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</row>
    <row r="244" ht="15.75" customHeight="1">
      <c r="A244" s="247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</row>
    <row r="245" ht="15.75" customHeight="1">
      <c r="A245" s="247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</row>
    <row r="246" ht="15.75" customHeight="1">
      <c r="A246" s="247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</row>
    <row r="247" ht="15.75" customHeight="1">
      <c r="A247" s="247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</row>
    <row r="248" ht="15.75" customHeight="1">
      <c r="A248" s="247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</row>
    <row r="249" ht="15.75" customHeight="1">
      <c r="A249" s="247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</row>
    <row r="250" ht="15.75" customHeight="1">
      <c r="A250" s="247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</row>
    <row r="251" ht="15.75" customHeight="1">
      <c r="A251" s="247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</row>
    <row r="252" ht="15.75" customHeight="1">
      <c r="A252" s="247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</row>
    <row r="253" ht="15.75" customHeight="1">
      <c r="A253" s="247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</row>
    <row r="254" ht="15.75" customHeight="1">
      <c r="A254" s="247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</row>
    <row r="255" ht="15.75" customHeight="1">
      <c r="A255" s="247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</row>
    <row r="256" ht="15.75" customHeight="1">
      <c r="A256" s="247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</row>
    <row r="257" ht="15.75" customHeight="1">
      <c r="A257" s="247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</row>
    <row r="258" ht="15.75" customHeight="1">
      <c r="A258" s="247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</row>
    <row r="259" ht="15.75" customHeight="1">
      <c r="A259" s="247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</row>
    <row r="260" ht="15.75" customHeight="1">
      <c r="A260" s="247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</row>
    <row r="261" ht="15.75" customHeight="1">
      <c r="A261" s="247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</row>
    <row r="262" ht="15.75" customHeight="1">
      <c r="A262" s="247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</row>
    <row r="263" ht="15.75" customHeight="1">
      <c r="A263" s="247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</row>
    <row r="264" ht="15.75" customHeight="1">
      <c r="A264" s="247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</row>
    <row r="265" ht="15.75" customHeight="1">
      <c r="A265" s="247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</row>
    <row r="266" ht="15.75" customHeight="1">
      <c r="A266" s="247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</row>
    <row r="267" ht="15.75" customHeight="1">
      <c r="A267" s="247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</row>
    <row r="268" ht="15.75" customHeight="1">
      <c r="A268" s="247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</row>
    <row r="269" ht="15.75" customHeight="1">
      <c r="A269" s="247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</row>
    <row r="270" ht="15.75" customHeight="1">
      <c r="A270" s="247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</row>
    <row r="271" ht="15.75" customHeight="1">
      <c r="A271" s="247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</row>
    <row r="272" ht="15.75" customHeight="1">
      <c r="A272" s="247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</row>
    <row r="273" ht="15.75" customHeight="1">
      <c r="A273" s="247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</row>
    <row r="274" ht="15.75" customHeight="1">
      <c r="A274" s="247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</row>
    <row r="275" ht="15.75" customHeight="1">
      <c r="A275" s="247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</row>
    <row r="276" ht="15.75" customHeight="1">
      <c r="A276" s="247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</row>
    <row r="277" ht="15.75" customHeight="1">
      <c r="A277" s="247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</row>
    <row r="278" ht="15.75" customHeight="1">
      <c r="A278" s="247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</row>
    <row r="279" ht="15.75" customHeight="1">
      <c r="A279" s="247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</row>
    <row r="280" ht="15.75" customHeight="1">
      <c r="A280" s="247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</row>
    <row r="281" ht="15.75" customHeight="1">
      <c r="A281" s="247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</row>
    <row r="282" ht="15.75" customHeight="1">
      <c r="A282" s="247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</row>
    <row r="283" ht="15.75" customHeight="1">
      <c r="A283" s="247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</row>
    <row r="284" ht="15.75" customHeight="1">
      <c r="A284" s="247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</row>
    <row r="285" ht="15.75" customHeight="1">
      <c r="A285" s="247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</row>
    <row r="286" ht="15.75" customHeight="1">
      <c r="A286" s="247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</row>
    <row r="287" ht="15.75" customHeight="1">
      <c r="A287" s="247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</row>
    <row r="288" ht="15.75" customHeight="1">
      <c r="A288" s="247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</row>
    <row r="289" ht="15.75" customHeight="1">
      <c r="A289" s="247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</row>
    <row r="290" ht="15.75" customHeight="1">
      <c r="A290" s="247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</row>
    <row r="291" ht="15.75" customHeight="1">
      <c r="A291" s="247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</row>
    <row r="292" ht="15.75" customHeight="1">
      <c r="A292" s="247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</row>
    <row r="293" ht="15.75" customHeight="1">
      <c r="A293" s="247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</row>
    <row r="294" ht="15.75" customHeight="1">
      <c r="A294" s="247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</row>
    <row r="295" ht="15.75" customHeight="1">
      <c r="A295" s="247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</row>
    <row r="296" ht="15.75" customHeight="1">
      <c r="A296" s="247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</row>
    <row r="297" ht="15.75" customHeight="1">
      <c r="A297" s="247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</row>
    <row r="298" ht="15.75" customHeight="1">
      <c r="A298" s="247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</row>
    <row r="299" ht="15.75" customHeight="1">
      <c r="A299" s="247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</row>
    <row r="300" ht="15.75" customHeight="1">
      <c r="A300" s="247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</row>
    <row r="301" ht="15.75" customHeight="1">
      <c r="A301" s="247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</row>
    <row r="302" ht="15.75" customHeight="1">
      <c r="A302" s="247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</row>
    <row r="303" ht="15.75" customHeight="1">
      <c r="A303" s="247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</row>
    <row r="304" ht="15.75" customHeight="1">
      <c r="A304" s="247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</row>
    <row r="305" ht="15.75" customHeight="1">
      <c r="A305" s="247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</row>
    <row r="306" ht="15.75" customHeight="1">
      <c r="A306" s="247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</row>
    <row r="307" ht="15.75" customHeight="1">
      <c r="A307" s="247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</row>
    <row r="308" ht="15.75" customHeight="1">
      <c r="A308" s="247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</row>
    <row r="309" ht="15.75" customHeight="1">
      <c r="A309" s="247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</row>
    <row r="310" ht="15.75" customHeight="1">
      <c r="A310" s="247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</row>
    <row r="311" ht="15.75" customHeight="1">
      <c r="A311" s="247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</row>
    <row r="312" ht="15.75" customHeight="1">
      <c r="A312" s="247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</row>
    <row r="313" ht="15.75" customHeight="1">
      <c r="A313" s="247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</row>
    <row r="314" ht="15.75" customHeight="1">
      <c r="A314" s="247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</row>
    <row r="315" ht="15.75" customHeight="1">
      <c r="A315" s="247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</row>
    <row r="316" ht="15.75" customHeight="1">
      <c r="A316" s="247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</row>
    <row r="317" ht="15.75" customHeight="1">
      <c r="A317" s="247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</row>
    <row r="318" ht="15.75" customHeight="1">
      <c r="A318" s="247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</row>
    <row r="319" ht="15.75" customHeight="1">
      <c r="A319" s="247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</row>
    <row r="320" ht="15.75" customHeight="1">
      <c r="A320" s="247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</row>
    <row r="321" ht="15.75" customHeight="1">
      <c r="A321" s="247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</row>
    <row r="322" ht="15.75" customHeight="1">
      <c r="A322" s="247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</row>
    <row r="323" ht="15.75" customHeight="1">
      <c r="A323" s="247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</row>
    <row r="324" ht="15.75" customHeight="1">
      <c r="A324" s="247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</row>
    <row r="325" ht="15.75" customHeight="1">
      <c r="A325" s="247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</row>
    <row r="326" ht="15.75" customHeight="1">
      <c r="A326" s="247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</row>
    <row r="327" ht="15.75" customHeight="1">
      <c r="A327" s="247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</row>
    <row r="328" ht="15.75" customHeight="1">
      <c r="A328" s="247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</row>
    <row r="329" ht="15.75" customHeight="1">
      <c r="A329" s="247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</row>
    <row r="330" ht="15.75" customHeight="1">
      <c r="A330" s="247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</row>
    <row r="331" ht="15.75" customHeight="1">
      <c r="A331" s="247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</row>
    <row r="332" ht="15.75" customHeight="1">
      <c r="A332" s="247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</row>
    <row r="333" ht="15.75" customHeight="1">
      <c r="A333" s="247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</row>
    <row r="334" ht="15.75" customHeight="1">
      <c r="A334" s="247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</row>
    <row r="335" ht="15.75" customHeight="1">
      <c r="A335" s="247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</row>
    <row r="336" ht="15.75" customHeight="1">
      <c r="A336" s="247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</row>
    <row r="337" ht="15.75" customHeight="1">
      <c r="A337" s="247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</row>
    <row r="338" ht="15.75" customHeight="1">
      <c r="A338" s="247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</row>
    <row r="339" ht="15.75" customHeight="1">
      <c r="A339" s="247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</row>
    <row r="340" ht="15.75" customHeight="1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</row>
    <row r="341" ht="15.75" customHeight="1">
      <c r="A341" s="247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</row>
    <row r="342" ht="15.75" customHeight="1">
      <c r="A342" s="247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</row>
    <row r="343" ht="15.75" customHeight="1">
      <c r="A343" s="247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</row>
    <row r="344" ht="15.75" customHeight="1">
      <c r="A344" s="247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</row>
    <row r="345" ht="15.75" customHeight="1">
      <c r="A345" s="247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</row>
    <row r="346" ht="15.75" customHeight="1">
      <c r="A346" s="247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</row>
    <row r="347" ht="15.75" customHeight="1">
      <c r="A347" s="247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</row>
    <row r="348" ht="15.75" customHeight="1">
      <c r="A348" s="247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</row>
    <row r="349" ht="15.75" customHeight="1">
      <c r="A349" s="247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</row>
    <row r="350" ht="15.75" customHeight="1">
      <c r="A350" s="247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</row>
    <row r="351" ht="15.75" customHeight="1">
      <c r="A351" s="247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</row>
    <row r="352" ht="15.75" customHeight="1">
      <c r="A352" s="247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</row>
    <row r="353" ht="15.75" customHeight="1">
      <c r="A353" s="247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</row>
    <row r="354" ht="15.75" customHeight="1">
      <c r="A354" s="247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</row>
    <row r="355" ht="15.75" customHeight="1">
      <c r="A355" s="247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</row>
    <row r="356" ht="15.75" customHeight="1">
      <c r="A356" s="247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</row>
    <row r="357" ht="15.75" customHeight="1">
      <c r="A357" s="247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</row>
    <row r="358" ht="15.75" customHeight="1">
      <c r="A358" s="247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</row>
    <row r="359" ht="15.75" customHeight="1">
      <c r="A359" s="247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</row>
    <row r="360" ht="15.75" customHeight="1">
      <c r="A360" s="247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</row>
    <row r="361" ht="15.75" customHeight="1">
      <c r="A361" s="247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</row>
    <row r="362" ht="15.75" customHeight="1">
      <c r="A362" s="247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</row>
    <row r="363" ht="15.75" customHeight="1">
      <c r="A363" s="247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</row>
    <row r="364" ht="15.75" customHeight="1">
      <c r="A364" s="247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</row>
    <row r="365" ht="15.75" customHeight="1">
      <c r="A365" s="247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</row>
    <row r="366" ht="15.75" customHeight="1">
      <c r="A366" s="247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</row>
    <row r="367" ht="15.75" customHeight="1">
      <c r="A367" s="247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</row>
    <row r="368" ht="15.75" customHeight="1">
      <c r="A368" s="247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</row>
    <row r="369" ht="15.75" customHeight="1">
      <c r="A369" s="247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</row>
    <row r="370" ht="15.75" customHeight="1">
      <c r="A370" s="247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</row>
    <row r="371" ht="15.75" customHeight="1">
      <c r="A371" s="247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</row>
    <row r="372" ht="15.75" customHeight="1">
      <c r="A372" s="247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</row>
    <row r="373" ht="15.75" customHeight="1">
      <c r="A373" s="247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</row>
    <row r="374" ht="15.75" customHeight="1">
      <c r="A374" s="247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</row>
    <row r="375" ht="15.75" customHeight="1">
      <c r="A375" s="247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</row>
    <row r="376" ht="15.75" customHeight="1">
      <c r="A376" s="247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</row>
    <row r="377" ht="15.75" customHeight="1">
      <c r="A377" s="247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</row>
    <row r="378" ht="15.75" customHeight="1">
      <c r="A378" s="247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</row>
    <row r="379" ht="15.75" customHeight="1">
      <c r="A379" s="247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</row>
    <row r="380" ht="15.75" customHeight="1">
      <c r="A380" s="247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</row>
    <row r="381" ht="15.75" customHeight="1">
      <c r="A381" s="247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</row>
    <row r="382" ht="15.75" customHeight="1">
      <c r="A382" s="247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</row>
    <row r="383" ht="15.75" customHeight="1">
      <c r="A383" s="247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</row>
    <row r="384" ht="15.75" customHeight="1">
      <c r="A384" s="247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</row>
    <row r="385" ht="15.75" customHeight="1">
      <c r="A385" s="247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</row>
    <row r="386" ht="15.75" customHeight="1">
      <c r="A386" s="247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</row>
    <row r="387" ht="15.75" customHeight="1">
      <c r="A387" s="247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</row>
    <row r="388" ht="15.75" customHeight="1">
      <c r="A388" s="247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</row>
    <row r="389" ht="15.75" customHeight="1">
      <c r="A389" s="247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</row>
    <row r="390" ht="15.75" customHeight="1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</row>
    <row r="391" ht="15.75" customHeight="1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</row>
    <row r="392" ht="15.75" customHeight="1">
      <c r="A392" s="247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</row>
    <row r="393" ht="15.75" customHeight="1">
      <c r="A393" s="247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</row>
    <row r="394" ht="15.75" customHeight="1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</row>
    <row r="395" ht="15.75" customHeight="1">
      <c r="A395" s="247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</row>
    <row r="396" ht="15.75" customHeight="1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</row>
    <row r="397" ht="15.75" customHeight="1">
      <c r="A397" s="247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</row>
    <row r="398" ht="15.75" customHeight="1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</row>
    <row r="399" ht="15.75" customHeight="1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</row>
    <row r="400" ht="15.75" customHeight="1">
      <c r="A400" s="247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</row>
    <row r="401" ht="15.75" customHeight="1">
      <c r="A401" s="247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</row>
    <row r="402" ht="15.75" customHeight="1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</row>
    <row r="403" ht="15.75" customHeight="1">
      <c r="A403" s="247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</row>
    <row r="404" ht="15.75" customHeight="1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</row>
    <row r="405" ht="15.75" customHeight="1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</row>
    <row r="406" ht="15.75" customHeight="1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</row>
    <row r="407" ht="15.75" customHeight="1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</row>
    <row r="408" ht="15.75" customHeight="1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</row>
    <row r="409" ht="15.75" customHeight="1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</row>
    <row r="410" ht="15.75" customHeight="1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</row>
    <row r="411" ht="15.75" customHeight="1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</row>
    <row r="412" ht="15.75" customHeight="1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</row>
    <row r="413" ht="15.75" customHeight="1">
      <c r="A413" s="247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</row>
    <row r="414" ht="15.75" customHeight="1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</row>
    <row r="415" ht="15.75" customHeight="1">
      <c r="A415" s="247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</row>
    <row r="416" ht="15.75" customHeight="1">
      <c r="A416" s="247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</row>
    <row r="417" ht="15.75" customHeight="1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</row>
    <row r="418" ht="15.75" customHeight="1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</row>
    <row r="419" ht="15.75" customHeight="1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</row>
    <row r="420" ht="15.75" customHeight="1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</row>
    <row r="421" ht="15.75" customHeight="1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</row>
    <row r="422" ht="15.75" customHeight="1">
      <c r="A422" s="247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</row>
    <row r="423" ht="15.75" customHeight="1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</row>
    <row r="424" ht="15.75" customHeight="1">
      <c r="A424" s="247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</row>
    <row r="425" ht="15.75" customHeight="1">
      <c r="A425" s="247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</row>
    <row r="426" ht="15.75" customHeight="1">
      <c r="A426" s="247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</row>
    <row r="427" ht="15.75" customHeight="1">
      <c r="A427" s="247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</row>
    <row r="428" ht="15.75" customHeight="1">
      <c r="A428" s="247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</row>
    <row r="429" ht="15.75" customHeight="1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</row>
    <row r="430" ht="15.75" customHeight="1">
      <c r="A430" s="247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</row>
    <row r="431" ht="15.75" customHeight="1">
      <c r="A431" s="247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</row>
    <row r="432" ht="15.75" customHeight="1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</row>
    <row r="433" ht="15.75" customHeight="1">
      <c r="A433" s="247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</row>
    <row r="434" ht="15.75" customHeight="1">
      <c r="A434" s="247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</row>
    <row r="435" ht="15.75" customHeight="1">
      <c r="A435" s="247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</row>
    <row r="436" ht="15.75" customHeight="1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</row>
    <row r="437" ht="15.75" customHeight="1">
      <c r="A437" s="247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</row>
    <row r="438" ht="15.75" customHeight="1">
      <c r="A438" s="247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</row>
    <row r="439" ht="15.75" customHeight="1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</row>
    <row r="440" ht="15.75" customHeight="1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</row>
    <row r="441" ht="15.75" customHeight="1">
      <c r="A441" s="247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</row>
    <row r="442" ht="15.75" customHeight="1">
      <c r="A442" s="247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</row>
    <row r="443" ht="15.75" customHeight="1">
      <c r="A443" s="247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</row>
    <row r="444" ht="15.75" customHeight="1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</row>
    <row r="445" ht="15.75" customHeight="1">
      <c r="A445" s="247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</row>
    <row r="446" ht="15.75" customHeight="1">
      <c r="A446" s="247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</row>
    <row r="447" ht="15.75" customHeight="1">
      <c r="A447" s="247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</row>
    <row r="448" ht="15.75" customHeight="1">
      <c r="A448" s="247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</row>
    <row r="449" ht="15.75" customHeight="1">
      <c r="A449" s="247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</row>
    <row r="450" ht="15.75" customHeight="1">
      <c r="A450" s="247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</row>
    <row r="451" ht="15.75" customHeight="1">
      <c r="A451" s="247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</row>
    <row r="452" ht="15.75" customHeight="1">
      <c r="A452" s="247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</row>
    <row r="453" ht="15.75" customHeight="1">
      <c r="A453" s="247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</row>
    <row r="454" ht="15.75" customHeight="1">
      <c r="A454" s="247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</row>
    <row r="455" ht="15.75" customHeight="1">
      <c r="A455" s="247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</row>
    <row r="456" ht="15.75" customHeight="1">
      <c r="A456" s="247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</row>
    <row r="457" ht="15.75" customHeight="1">
      <c r="A457" s="247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</row>
    <row r="458" ht="15.75" customHeight="1">
      <c r="A458" s="247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</row>
    <row r="459" ht="15.75" customHeight="1">
      <c r="A459" s="247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</row>
    <row r="460" ht="15.75" customHeight="1">
      <c r="A460" s="247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</row>
    <row r="461" ht="15.75" customHeight="1">
      <c r="A461" s="247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</row>
    <row r="462" ht="15.75" customHeight="1">
      <c r="A462" s="247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</row>
    <row r="463" ht="15.75" customHeight="1">
      <c r="A463" s="247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</row>
    <row r="464" ht="15.75" customHeight="1">
      <c r="A464" s="247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</row>
    <row r="465" ht="15.75" customHeight="1">
      <c r="A465" s="247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</row>
    <row r="466" ht="15.75" customHeight="1">
      <c r="A466" s="247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</row>
    <row r="467" ht="15.75" customHeight="1">
      <c r="A467" s="247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</row>
    <row r="468" ht="15.75" customHeight="1">
      <c r="A468" s="247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</row>
    <row r="469" ht="15.75" customHeight="1">
      <c r="A469" s="247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</row>
    <row r="470" ht="15.75" customHeight="1">
      <c r="A470" s="247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</row>
    <row r="471" ht="15.75" customHeight="1">
      <c r="A471" s="247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</row>
    <row r="472" ht="15.75" customHeight="1">
      <c r="A472" s="247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</row>
    <row r="473" ht="15.75" customHeight="1">
      <c r="A473" s="247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</row>
    <row r="474" ht="15.75" customHeight="1">
      <c r="A474" s="247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</row>
    <row r="475" ht="15.75" customHeight="1">
      <c r="A475" s="247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</row>
    <row r="476" ht="15.75" customHeight="1">
      <c r="A476" s="247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</row>
    <row r="477" ht="15.75" customHeight="1">
      <c r="A477" s="247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</row>
    <row r="478" ht="15.75" customHeight="1">
      <c r="A478" s="247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</row>
    <row r="479" ht="15.75" customHeight="1">
      <c r="A479" s="247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</row>
    <row r="480" ht="15.75" customHeight="1">
      <c r="A480" s="247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</row>
    <row r="481" ht="15.75" customHeight="1">
      <c r="A481" s="247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</row>
    <row r="482" ht="15.75" customHeight="1">
      <c r="A482" s="247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</row>
    <row r="483" ht="15.75" customHeight="1">
      <c r="A483" s="247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</row>
    <row r="484" ht="15.75" customHeight="1">
      <c r="A484" s="247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</row>
    <row r="485" ht="15.75" customHeight="1">
      <c r="A485" s="247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</row>
    <row r="486" ht="15.75" customHeight="1">
      <c r="A486" s="247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</row>
    <row r="487" ht="15.75" customHeight="1">
      <c r="A487" s="247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</row>
    <row r="488" ht="15.75" customHeight="1">
      <c r="A488" s="247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</row>
    <row r="489" ht="15.75" customHeight="1">
      <c r="A489" s="247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</row>
    <row r="490" ht="15.75" customHeight="1">
      <c r="A490" s="247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</row>
    <row r="491" ht="15.75" customHeight="1">
      <c r="A491" s="247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</row>
    <row r="492" ht="15.75" customHeight="1">
      <c r="A492" s="247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</row>
    <row r="493" ht="15.75" customHeight="1">
      <c r="A493" s="247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</row>
    <row r="494" ht="15.75" customHeight="1">
      <c r="A494" s="247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</row>
    <row r="495" ht="15.75" customHeight="1">
      <c r="A495" s="247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</row>
    <row r="496" ht="15.75" customHeight="1">
      <c r="A496" s="247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</row>
    <row r="497" ht="15.75" customHeight="1">
      <c r="A497" s="247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</row>
    <row r="498" ht="15.75" customHeight="1">
      <c r="A498" s="247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</row>
    <row r="499" ht="15.75" customHeight="1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</row>
    <row r="500" ht="15.75" customHeight="1">
      <c r="A500" s="247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</row>
    <row r="501" ht="15.75" customHeight="1">
      <c r="A501" s="247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</row>
    <row r="502" ht="15.75" customHeight="1">
      <c r="A502" s="247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</row>
    <row r="503" ht="15.75" customHeight="1">
      <c r="A503" s="247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</row>
    <row r="504" ht="15.75" customHeight="1">
      <c r="A504" s="247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</row>
    <row r="505" ht="15.75" customHeight="1">
      <c r="A505" s="247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</row>
    <row r="506" ht="15.75" customHeight="1">
      <c r="A506" s="247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</row>
    <row r="507" ht="15.75" customHeight="1">
      <c r="A507" s="247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</row>
    <row r="508" ht="15.75" customHeight="1">
      <c r="A508" s="247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</row>
    <row r="509" ht="15.75" customHeight="1">
      <c r="A509" s="247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</row>
    <row r="510" ht="15.75" customHeight="1">
      <c r="A510" s="247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</row>
    <row r="511" ht="15.75" customHeight="1">
      <c r="A511" s="247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</row>
    <row r="512" ht="15.75" customHeight="1">
      <c r="A512" s="247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</row>
    <row r="513" ht="15.75" customHeight="1">
      <c r="A513" s="247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</row>
    <row r="514" ht="15.75" customHeight="1">
      <c r="A514" s="247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</row>
    <row r="515" ht="15.75" customHeight="1">
      <c r="A515" s="247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</row>
    <row r="516" ht="15.75" customHeight="1">
      <c r="A516" s="247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</row>
    <row r="517" ht="15.75" customHeight="1">
      <c r="A517" s="247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</row>
    <row r="518" ht="15.75" customHeight="1">
      <c r="A518" s="247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</row>
    <row r="519" ht="15.75" customHeight="1">
      <c r="A519" s="247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</row>
    <row r="520" ht="15.75" customHeight="1">
      <c r="A520" s="247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</row>
    <row r="521" ht="15.75" customHeight="1">
      <c r="A521" s="247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</row>
    <row r="522" ht="15.75" customHeight="1">
      <c r="A522" s="247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</row>
    <row r="523" ht="15.75" customHeight="1">
      <c r="A523" s="247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</row>
    <row r="524" ht="15.75" customHeight="1">
      <c r="A524" s="247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</row>
    <row r="525" ht="15.75" customHeight="1">
      <c r="A525" s="247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</row>
    <row r="526" ht="15.75" customHeight="1">
      <c r="A526" s="247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</row>
    <row r="527" ht="15.75" customHeight="1">
      <c r="A527" s="247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</row>
    <row r="528" ht="15.75" customHeight="1">
      <c r="A528" s="247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</row>
    <row r="529" ht="15.75" customHeight="1">
      <c r="A529" s="247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</row>
    <row r="530" ht="15.75" customHeight="1">
      <c r="A530" s="247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</row>
    <row r="531" ht="15.75" customHeight="1">
      <c r="A531" s="247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</row>
    <row r="532" ht="15.75" customHeight="1">
      <c r="A532" s="247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</row>
    <row r="533" ht="15.75" customHeight="1">
      <c r="A533" s="247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</row>
    <row r="534" ht="15.75" customHeight="1">
      <c r="A534" s="247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</row>
    <row r="535" ht="15.75" customHeight="1">
      <c r="A535" s="247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</row>
    <row r="536" ht="15.75" customHeight="1">
      <c r="A536" s="247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</row>
    <row r="537" ht="15.75" customHeight="1">
      <c r="A537" s="247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</row>
    <row r="538" ht="15.75" customHeight="1">
      <c r="A538" s="247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</row>
    <row r="539" ht="15.75" customHeight="1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</row>
    <row r="540" ht="15.75" customHeight="1">
      <c r="A540" s="247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</row>
    <row r="541" ht="15.75" customHeight="1">
      <c r="A541" s="247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</row>
    <row r="542" ht="15.75" customHeight="1">
      <c r="A542" s="247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</row>
    <row r="543" ht="15.75" customHeight="1">
      <c r="A543" s="247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</row>
    <row r="544" ht="15.75" customHeight="1">
      <c r="A544" s="247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</row>
    <row r="545" ht="15.75" customHeight="1">
      <c r="A545" s="247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</row>
    <row r="546" ht="15.75" customHeight="1">
      <c r="A546" s="247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</row>
    <row r="547" ht="15.75" customHeight="1">
      <c r="A547" s="247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</row>
    <row r="548" ht="15.75" customHeight="1">
      <c r="A548" s="247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</row>
    <row r="549" ht="15.75" customHeight="1">
      <c r="A549" s="247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</row>
    <row r="550" ht="15.75" customHeight="1">
      <c r="A550" s="247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</row>
    <row r="551" ht="15.75" customHeight="1">
      <c r="A551" s="247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</row>
    <row r="552" ht="15.75" customHeight="1">
      <c r="A552" s="247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</row>
    <row r="553" ht="15.75" customHeight="1">
      <c r="A553" s="247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</row>
    <row r="554" ht="15.75" customHeight="1">
      <c r="A554" s="247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</row>
    <row r="555" ht="15.75" customHeight="1">
      <c r="A555" s="247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</row>
    <row r="556" ht="15.75" customHeight="1">
      <c r="A556" s="247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</row>
    <row r="557" ht="15.75" customHeight="1">
      <c r="A557" s="247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</row>
    <row r="558" ht="15.75" customHeight="1">
      <c r="A558" s="247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</row>
    <row r="559" ht="15.75" customHeight="1">
      <c r="A559" s="247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</row>
    <row r="560" ht="15.75" customHeight="1">
      <c r="A560" s="247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</row>
    <row r="561" ht="15.75" customHeight="1">
      <c r="A561" s="247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</row>
    <row r="562" ht="15.75" customHeight="1">
      <c r="A562" s="247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</row>
    <row r="563" ht="15.75" customHeight="1">
      <c r="A563" s="247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</row>
    <row r="564" ht="15.75" customHeight="1">
      <c r="A564" s="247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</row>
    <row r="565" ht="15.75" customHeight="1">
      <c r="A565" s="247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</row>
    <row r="566" ht="15.75" customHeight="1">
      <c r="A566" s="247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</row>
    <row r="567" ht="15.75" customHeight="1">
      <c r="A567" s="247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</row>
    <row r="568" ht="15.75" customHeight="1">
      <c r="A568" s="247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</row>
    <row r="569" ht="15.75" customHeight="1">
      <c r="A569" s="247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</row>
    <row r="570" ht="15.75" customHeight="1">
      <c r="A570" s="247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</row>
    <row r="571" ht="15.75" customHeight="1">
      <c r="A571" s="247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</row>
    <row r="572" ht="15.75" customHeight="1">
      <c r="A572" s="247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</row>
    <row r="573" ht="15.75" customHeight="1">
      <c r="A573" s="247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</row>
    <row r="574" ht="15.75" customHeight="1">
      <c r="A574" s="247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</row>
    <row r="575" ht="15.75" customHeight="1">
      <c r="A575" s="247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</row>
    <row r="576" ht="15.75" customHeight="1">
      <c r="A576" s="247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</row>
    <row r="577" ht="15.75" customHeight="1">
      <c r="A577" s="247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</row>
    <row r="578" ht="15.75" customHeight="1">
      <c r="A578" s="247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</row>
    <row r="579" ht="15.75" customHeight="1">
      <c r="A579" s="247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</row>
    <row r="580" ht="15.75" customHeight="1">
      <c r="A580" s="247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</row>
    <row r="581" ht="15.75" customHeight="1">
      <c r="A581" s="247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</row>
    <row r="582" ht="15.75" customHeight="1">
      <c r="A582" s="247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</row>
    <row r="583" ht="15.75" customHeight="1">
      <c r="A583" s="247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</row>
    <row r="584" ht="15.75" customHeight="1">
      <c r="A584" s="247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</row>
    <row r="585" ht="15.75" customHeight="1">
      <c r="A585" s="247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</row>
    <row r="586" ht="15.75" customHeight="1">
      <c r="A586" s="247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</row>
    <row r="587" ht="15.75" customHeight="1">
      <c r="A587" s="247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</row>
    <row r="588" ht="15.75" customHeight="1">
      <c r="A588" s="247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</row>
    <row r="589" ht="15.75" customHeight="1">
      <c r="A589" s="247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</row>
    <row r="590" ht="15.75" customHeight="1">
      <c r="A590" s="247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</row>
    <row r="591" ht="15.75" customHeight="1">
      <c r="A591" s="247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</row>
    <row r="592" ht="15.75" customHeight="1">
      <c r="A592" s="247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</row>
    <row r="593" ht="15.75" customHeight="1">
      <c r="A593" s="247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</row>
    <row r="594" ht="15.75" customHeight="1">
      <c r="A594" s="247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</row>
    <row r="595" ht="15.75" customHeight="1">
      <c r="A595" s="247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</row>
    <row r="596" ht="15.75" customHeight="1">
      <c r="A596" s="247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</row>
    <row r="597" ht="15.75" customHeight="1">
      <c r="A597" s="247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</row>
    <row r="598" ht="15.75" customHeight="1">
      <c r="A598" s="247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</row>
    <row r="599" ht="15.75" customHeight="1">
      <c r="A599" s="247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</row>
    <row r="600" ht="15.75" customHeight="1">
      <c r="A600" s="247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</row>
    <row r="601" ht="15.75" customHeight="1">
      <c r="A601" s="247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</row>
    <row r="602" ht="15.75" customHeight="1">
      <c r="A602" s="247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</row>
    <row r="603" ht="15.75" customHeight="1">
      <c r="A603" s="247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</row>
    <row r="604" ht="15.75" customHeight="1">
      <c r="A604" s="247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</row>
    <row r="605" ht="15.75" customHeight="1">
      <c r="A605" s="247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</row>
    <row r="606" ht="15.75" customHeight="1">
      <c r="A606" s="247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</row>
    <row r="607" ht="15.75" customHeight="1">
      <c r="A607" s="247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</row>
    <row r="608" ht="15.75" customHeight="1">
      <c r="A608" s="247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</row>
    <row r="609" ht="15.75" customHeight="1">
      <c r="A609" s="247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</row>
    <row r="610" ht="15.75" customHeight="1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</row>
    <row r="611" ht="15.75" customHeight="1">
      <c r="A611" s="247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</row>
    <row r="612" ht="15.75" customHeight="1">
      <c r="A612" s="247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</row>
    <row r="613" ht="15.75" customHeight="1">
      <c r="A613" s="247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</row>
    <row r="614" ht="15.75" customHeight="1">
      <c r="A614" s="247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</row>
    <row r="615" ht="15.75" customHeight="1">
      <c r="A615" s="247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</row>
    <row r="616" ht="15.75" customHeight="1">
      <c r="A616" s="247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</row>
    <row r="617" ht="15.75" customHeight="1">
      <c r="A617" s="247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</row>
    <row r="618" ht="15.75" customHeight="1">
      <c r="A618" s="247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</row>
    <row r="619" ht="15.75" customHeight="1">
      <c r="A619" s="247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</row>
    <row r="620" ht="15.75" customHeight="1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</row>
    <row r="621" ht="15.75" customHeight="1">
      <c r="A621" s="247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</row>
    <row r="622" ht="15.75" customHeight="1">
      <c r="A622" s="247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</row>
    <row r="623" ht="15.75" customHeight="1">
      <c r="A623" s="247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</row>
    <row r="624" ht="15.75" customHeight="1">
      <c r="A624" s="247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</row>
    <row r="625" ht="15.75" customHeight="1">
      <c r="A625" s="247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</row>
    <row r="626" ht="15.75" customHeight="1">
      <c r="A626" s="247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</row>
    <row r="627" ht="15.75" customHeight="1">
      <c r="A627" s="247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</row>
    <row r="628" ht="15.75" customHeight="1">
      <c r="A628" s="247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</row>
    <row r="629" ht="15.75" customHeight="1">
      <c r="A629" s="247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</row>
    <row r="630" ht="15.75" customHeight="1">
      <c r="A630" s="247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</row>
    <row r="631" ht="15.75" customHeight="1">
      <c r="A631" s="247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</row>
    <row r="632" ht="15.75" customHeight="1">
      <c r="A632" s="247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</row>
    <row r="633" ht="15.75" customHeight="1">
      <c r="A633" s="247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</row>
    <row r="634" ht="15.75" customHeight="1">
      <c r="A634" s="247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</row>
    <row r="635" ht="15.75" customHeight="1">
      <c r="A635" s="247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</row>
    <row r="636" ht="15.75" customHeight="1">
      <c r="A636" s="247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</row>
    <row r="637" ht="15.75" customHeight="1">
      <c r="A637" s="247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</row>
    <row r="638" ht="15.75" customHeight="1">
      <c r="A638" s="247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</row>
    <row r="639" ht="15.75" customHeight="1">
      <c r="A639" s="247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</row>
    <row r="640" ht="15.75" customHeight="1">
      <c r="A640" s="247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</row>
    <row r="641" ht="15.75" customHeight="1">
      <c r="A641" s="247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</row>
    <row r="642" ht="15.75" customHeight="1">
      <c r="A642" s="247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</row>
    <row r="643" ht="15.75" customHeight="1">
      <c r="A643" s="247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</row>
    <row r="644" ht="15.75" customHeight="1">
      <c r="A644" s="247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</row>
    <row r="645" ht="15.75" customHeight="1">
      <c r="A645" s="247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</row>
    <row r="646" ht="15.75" customHeight="1">
      <c r="A646" s="247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</row>
    <row r="647" ht="15.75" customHeight="1">
      <c r="A647" s="247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</row>
    <row r="648" ht="15.75" customHeight="1">
      <c r="A648" s="247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</row>
    <row r="649" ht="15.75" customHeight="1">
      <c r="A649" s="247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</row>
    <row r="650" ht="15.75" customHeight="1">
      <c r="A650" s="247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</row>
    <row r="651" ht="15.75" customHeight="1">
      <c r="A651" s="247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</row>
    <row r="652" ht="15.75" customHeight="1">
      <c r="A652" s="247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</row>
    <row r="653" ht="15.75" customHeight="1">
      <c r="A653" s="247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</row>
    <row r="654" ht="15.75" customHeight="1">
      <c r="A654" s="247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</row>
    <row r="655" ht="15.75" customHeight="1">
      <c r="A655" s="247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</row>
    <row r="656" ht="15.75" customHeight="1">
      <c r="A656" s="247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</row>
    <row r="657" ht="15.75" customHeight="1">
      <c r="A657" s="247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</row>
    <row r="658" ht="15.75" customHeight="1">
      <c r="A658" s="247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</row>
    <row r="659" ht="15.75" customHeight="1">
      <c r="A659" s="247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</row>
    <row r="660" ht="15.75" customHeight="1">
      <c r="A660" s="247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</row>
    <row r="661" ht="15.75" customHeight="1">
      <c r="A661" s="247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</row>
    <row r="662" ht="15.75" customHeight="1">
      <c r="A662" s="247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</row>
    <row r="663" ht="15.75" customHeight="1">
      <c r="A663" s="247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</row>
    <row r="664" ht="15.75" customHeight="1">
      <c r="A664" s="247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</row>
    <row r="665" ht="15.75" customHeight="1">
      <c r="A665" s="247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</row>
    <row r="666" ht="15.75" customHeight="1">
      <c r="A666" s="247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</row>
    <row r="667" ht="15.75" customHeight="1">
      <c r="A667" s="247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</row>
    <row r="668" ht="15.75" customHeight="1">
      <c r="A668" s="247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</row>
    <row r="669" ht="15.75" customHeight="1">
      <c r="A669" s="247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</row>
    <row r="670" ht="15.75" customHeight="1">
      <c r="A670" s="247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</row>
    <row r="671" ht="15.75" customHeight="1">
      <c r="A671" s="247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</row>
    <row r="672" ht="15.75" customHeight="1">
      <c r="A672" s="247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</row>
    <row r="673" ht="15.75" customHeight="1">
      <c r="A673" s="247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</row>
    <row r="674" ht="15.75" customHeight="1">
      <c r="A674" s="247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</row>
    <row r="675" ht="15.75" customHeight="1">
      <c r="A675" s="247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</row>
    <row r="676" ht="15.75" customHeight="1">
      <c r="A676" s="247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</row>
    <row r="677" ht="15.75" customHeight="1">
      <c r="A677" s="247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</row>
    <row r="678" ht="15.75" customHeight="1">
      <c r="A678" s="247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</row>
    <row r="679" ht="15.75" customHeight="1">
      <c r="A679" s="247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</row>
    <row r="680" ht="15.75" customHeight="1">
      <c r="A680" s="247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</row>
    <row r="681" ht="15.75" customHeight="1">
      <c r="A681" s="247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</row>
    <row r="682" ht="15.75" customHeight="1">
      <c r="A682" s="247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</row>
    <row r="683" ht="15.75" customHeight="1">
      <c r="A683" s="247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</row>
    <row r="684" ht="15.75" customHeight="1">
      <c r="A684" s="247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</row>
    <row r="685" ht="15.75" customHeight="1">
      <c r="A685" s="247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</row>
    <row r="686" ht="15.75" customHeight="1">
      <c r="A686" s="247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</row>
    <row r="687" ht="15.75" customHeight="1">
      <c r="A687" s="247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</row>
    <row r="688" ht="15.75" customHeight="1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</row>
    <row r="689" ht="15.75" customHeight="1">
      <c r="A689" s="247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</row>
    <row r="690" ht="15.75" customHeight="1">
      <c r="A690" s="247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</row>
    <row r="691" ht="15.75" customHeight="1">
      <c r="A691" s="247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</row>
    <row r="692" ht="15.75" customHeight="1">
      <c r="A692" s="247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</row>
    <row r="693" ht="15.75" customHeight="1">
      <c r="A693" s="247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</row>
    <row r="694" ht="15.75" customHeight="1">
      <c r="A694" s="247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</row>
    <row r="695" ht="15.75" customHeight="1">
      <c r="A695" s="247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</row>
    <row r="696" ht="15.75" customHeight="1">
      <c r="A696" s="247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</row>
    <row r="697" ht="15.75" customHeight="1">
      <c r="A697" s="247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</row>
    <row r="698" ht="15.75" customHeight="1">
      <c r="A698" s="247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</row>
    <row r="699" ht="15.75" customHeight="1">
      <c r="A699" s="247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</row>
    <row r="700" ht="15.75" customHeight="1">
      <c r="A700" s="247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</row>
    <row r="701" ht="15.75" customHeight="1">
      <c r="A701" s="247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</row>
    <row r="702" ht="15.75" customHeight="1">
      <c r="A702" s="247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</row>
    <row r="703" ht="15.75" customHeight="1">
      <c r="A703" s="247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</row>
    <row r="704" ht="15.75" customHeight="1">
      <c r="A704" s="247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</row>
    <row r="705" ht="15.75" customHeight="1">
      <c r="A705" s="247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</row>
    <row r="706" ht="15.75" customHeight="1">
      <c r="A706" s="247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</row>
    <row r="707" ht="15.75" customHeight="1">
      <c r="A707" s="247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</row>
    <row r="708" ht="15.75" customHeight="1">
      <c r="A708" s="247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</row>
    <row r="709" ht="15.75" customHeight="1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</row>
    <row r="710" ht="15.75" customHeight="1">
      <c r="A710" s="247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</row>
    <row r="711" ht="15.75" customHeight="1">
      <c r="A711" s="247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</row>
    <row r="712" ht="15.75" customHeight="1">
      <c r="A712" s="247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</row>
    <row r="713" ht="15.75" customHeight="1">
      <c r="A713" s="247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</row>
    <row r="714" ht="15.75" customHeight="1">
      <c r="A714" s="247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</row>
    <row r="715" ht="15.75" customHeight="1">
      <c r="A715" s="247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</row>
    <row r="716" ht="15.75" customHeight="1">
      <c r="A716" s="247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</row>
    <row r="717" ht="15.75" customHeight="1">
      <c r="A717" s="247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</row>
    <row r="718" ht="15.75" customHeight="1">
      <c r="A718" s="247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</row>
    <row r="719" ht="15.75" customHeight="1">
      <c r="A719" s="247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</row>
    <row r="720" ht="15.75" customHeight="1">
      <c r="A720" s="247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</row>
    <row r="721" ht="15.75" customHeight="1">
      <c r="A721" s="247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</row>
    <row r="722" ht="15.75" customHeight="1">
      <c r="A722" s="247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</row>
    <row r="723" ht="15.75" customHeight="1">
      <c r="A723" s="247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</row>
    <row r="724" ht="15.75" customHeight="1">
      <c r="A724" s="247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</row>
    <row r="725" ht="15.75" customHeight="1">
      <c r="A725" s="247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</row>
    <row r="726" ht="15.75" customHeight="1">
      <c r="A726" s="247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</row>
    <row r="727" ht="15.75" customHeight="1">
      <c r="A727" s="247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</row>
    <row r="728" ht="15.75" customHeight="1">
      <c r="A728" s="247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</row>
    <row r="729" ht="15.75" customHeight="1">
      <c r="A729" s="247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</row>
    <row r="730" ht="15.75" customHeight="1">
      <c r="A730" s="247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</row>
    <row r="731" ht="15.75" customHeight="1">
      <c r="A731" s="247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</row>
    <row r="732" ht="15.75" customHeight="1">
      <c r="A732" s="247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</row>
    <row r="733" ht="15.75" customHeight="1">
      <c r="A733" s="247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</row>
    <row r="734" ht="15.75" customHeight="1">
      <c r="A734" s="247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</row>
    <row r="735" ht="15.75" customHeight="1">
      <c r="A735" s="247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</row>
    <row r="736" ht="15.75" customHeight="1">
      <c r="A736" s="247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</row>
    <row r="737" ht="15.75" customHeight="1">
      <c r="A737" s="247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</row>
    <row r="738" ht="15.75" customHeight="1">
      <c r="A738" s="247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</row>
    <row r="739" ht="15.75" customHeight="1">
      <c r="A739" s="247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</row>
    <row r="740" ht="15.75" customHeight="1">
      <c r="A740" s="247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</row>
    <row r="741" ht="15.75" customHeight="1">
      <c r="A741" s="247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</row>
    <row r="742" ht="15.75" customHeight="1">
      <c r="A742" s="247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</row>
    <row r="743" ht="15.75" customHeight="1">
      <c r="A743" s="247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</row>
    <row r="744" ht="15.75" customHeight="1">
      <c r="A744" s="247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</row>
    <row r="745" ht="15.75" customHeight="1">
      <c r="A745" s="247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</row>
    <row r="746" ht="15.75" customHeight="1">
      <c r="A746" s="247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</row>
    <row r="747" ht="15.75" customHeight="1">
      <c r="A747" s="247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</row>
    <row r="748" ht="15.75" customHeight="1">
      <c r="A748" s="247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</row>
    <row r="749" ht="15.75" customHeight="1">
      <c r="A749" s="247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</row>
    <row r="750" ht="15.75" customHeight="1">
      <c r="A750" s="247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</row>
    <row r="751" ht="15.75" customHeight="1">
      <c r="A751" s="247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</row>
    <row r="752" ht="15.75" customHeight="1">
      <c r="A752" s="247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</row>
    <row r="753" ht="15.75" customHeight="1">
      <c r="A753" s="247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</row>
    <row r="754" ht="15.75" customHeight="1">
      <c r="A754" s="247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</row>
    <row r="755" ht="15.75" customHeight="1">
      <c r="A755" s="247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</row>
    <row r="756" ht="15.75" customHeight="1">
      <c r="A756" s="247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</row>
    <row r="757" ht="15.75" customHeight="1">
      <c r="A757" s="247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</row>
    <row r="758" ht="15.75" customHeight="1">
      <c r="A758" s="247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</row>
    <row r="759" ht="15.75" customHeight="1">
      <c r="A759" s="247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</row>
    <row r="760" ht="15.75" customHeight="1">
      <c r="A760" s="247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</row>
    <row r="761" ht="15.75" customHeight="1">
      <c r="A761" s="247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</row>
    <row r="762" ht="15.75" customHeight="1">
      <c r="A762" s="247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</row>
    <row r="763" ht="15.75" customHeight="1">
      <c r="A763" s="247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</row>
    <row r="764" ht="15.75" customHeight="1">
      <c r="A764" s="247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</row>
    <row r="765" ht="15.75" customHeight="1">
      <c r="A765" s="247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</row>
    <row r="766" ht="15.75" customHeight="1">
      <c r="A766" s="247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</row>
    <row r="767" ht="15.75" customHeight="1">
      <c r="A767" s="247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</row>
    <row r="768" ht="15.75" customHeight="1">
      <c r="A768" s="247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</row>
    <row r="769" ht="15.75" customHeight="1">
      <c r="A769" s="247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</row>
    <row r="770" ht="15.75" customHeight="1">
      <c r="A770" s="247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</row>
    <row r="771" ht="15.75" customHeight="1">
      <c r="A771" s="247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</row>
    <row r="772" ht="15.75" customHeight="1">
      <c r="A772" s="247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</row>
    <row r="773" ht="15.75" customHeight="1">
      <c r="A773" s="247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</row>
    <row r="774" ht="15.75" customHeight="1">
      <c r="A774" s="247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</row>
    <row r="775" ht="15.75" customHeight="1">
      <c r="A775" s="247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</row>
    <row r="776" ht="15.75" customHeight="1">
      <c r="A776" s="247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</row>
    <row r="777" ht="15.75" customHeight="1">
      <c r="A777" s="247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</row>
    <row r="778" ht="15.75" customHeight="1">
      <c r="A778" s="247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</row>
    <row r="779" ht="15.75" customHeight="1">
      <c r="A779" s="247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</row>
    <row r="780" ht="15.75" customHeight="1">
      <c r="A780" s="247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</row>
    <row r="781" ht="15.75" customHeight="1">
      <c r="A781" s="247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</row>
    <row r="782" ht="15.75" customHeight="1">
      <c r="A782" s="247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</row>
    <row r="783" ht="15.75" customHeight="1">
      <c r="A783" s="247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</row>
    <row r="784" ht="15.75" customHeight="1">
      <c r="A784" s="247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</row>
    <row r="785" ht="15.75" customHeight="1">
      <c r="A785" s="247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</row>
    <row r="786" ht="15.75" customHeight="1">
      <c r="A786" s="247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</row>
    <row r="787" ht="15.75" customHeight="1">
      <c r="A787" s="247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</row>
    <row r="788" ht="15.75" customHeight="1">
      <c r="A788" s="247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</row>
    <row r="789" ht="15.75" customHeight="1">
      <c r="A789" s="247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</row>
    <row r="790" ht="15.75" customHeight="1">
      <c r="A790" s="247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</row>
    <row r="791" ht="15.75" customHeight="1">
      <c r="A791" s="247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</row>
    <row r="792" ht="15.75" customHeight="1">
      <c r="A792" s="247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</row>
    <row r="793" ht="15.75" customHeight="1">
      <c r="A793" s="247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</row>
    <row r="794" ht="15.75" customHeight="1">
      <c r="A794" s="247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</row>
    <row r="795" ht="15.75" customHeight="1">
      <c r="A795" s="247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</row>
    <row r="796" ht="15.75" customHeight="1">
      <c r="A796" s="247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</row>
    <row r="797" ht="15.75" customHeight="1">
      <c r="A797" s="247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</row>
    <row r="798" ht="15.75" customHeight="1">
      <c r="A798" s="247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</row>
    <row r="799" ht="15.75" customHeight="1">
      <c r="A799" s="247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</row>
    <row r="800" ht="15.75" customHeight="1">
      <c r="A800" s="247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</row>
    <row r="801" ht="15.75" customHeight="1">
      <c r="A801" s="247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</row>
    <row r="802" ht="15.75" customHeight="1">
      <c r="A802" s="247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</row>
    <row r="803" ht="15.75" customHeight="1">
      <c r="A803" s="247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</row>
    <row r="804" ht="15.75" customHeight="1">
      <c r="A804" s="247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</row>
    <row r="805" ht="15.75" customHeight="1">
      <c r="A805" s="247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</row>
    <row r="806" ht="15.75" customHeight="1">
      <c r="A806" s="247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</row>
    <row r="807" ht="15.75" customHeight="1">
      <c r="A807" s="247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</row>
    <row r="808" ht="15.75" customHeight="1">
      <c r="A808" s="247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</row>
    <row r="809" ht="15.75" customHeight="1">
      <c r="A809" s="247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</row>
    <row r="810" ht="15.75" customHeight="1">
      <c r="A810" s="247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</row>
    <row r="811" ht="15.75" customHeight="1">
      <c r="A811" s="247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</row>
    <row r="812" ht="15.75" customHeight="1">
      <c r="A812" s="247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</row>
    <row r="813" ht="15.75" customHeight="1">
      <c r="A813" s="247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</row>
    <row r="814" ht="15.75" customHeight="1">
      <c r="A814" s="247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</row>
    <row r="815" ht="15.75" customHeight="1">
      <c r="A815" s="247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</row>
    <row r="816" ht="15.75" customHeight="1">
      <c r="A816" s="247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</row>
    <row r="817" ht="15.75" customHeight="1">
      <c r="A817" s="247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</row>
    <row r="818" ht="15.75" customHeight="1">
      <c r="A818" s="247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</row>
    <row r="819" ht="15.75" customHeight="1">
      <c r="A819" s="247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</row>
    <row r="820" ht="15.75" customHeight="1">
      <c r="A820" s="247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</row>
    <row r="821" ht="15.75" customHeight="1">
      <c r="A821" s="247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</row>
    <row r="822" ht="15.75" customHeight="1">
      <c r="A822" s="247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</row>
    <row r="823" ht="15.75" customHeight="1">
      <c r="A823" s="247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</row>
    <row r="824" ht="15.75" customHeight="1">
      <c r="A824" s="247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</row>
    <row r="825" ht="15.75" customHeight="1">
      <c r="A825" s="247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</row>
    <row r="826" ht="15.75" customHeight="1">
      <c r="A826" s="247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</row>
    <row r="827" ht="15.75" customHeight="1">
      <c r="A827" s="247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</row>
    <row r="828" ht="15.75" customHeight="1">
      <c r="A828" s="247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</row>
    <row r="829" ht="15.75" customHeight="1">
      <c r="A829" s="247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</row>
    <row r="830" ht="15.75" customHeight="1">
      <c r="A830" s="247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</row>
    <row r="831" ht="15.75" customHeight="1">
      <c r="A831" s="247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</row>
    <row r="832" ht="15.75" customHeight="1">
      <c r="A832" s="247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</row>
    <row r="833" ht="15.75" customHeight="1">
      <c r="A833" s="247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</row>
    <row r="834" ht="15.75" customHeight="1">
      <c r="A834" s="247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</row>
    <row r="835" ht="15.75" customHeight="1">
      <c r="A835" s="247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</row>
    <row r="836" ht="15.75" customHeight="1">
      <c r="A836" s="247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</row>
    <row r="837" ht="15.75" customHeight="1">
      <c r="A837" s="247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</row>
    <row r="838" ht="15.75" customHeight="1">
      <c r="A838" s="247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</row>
    <row r="839" ht="15.75" customHeight="1">
      <c r="A839" s="247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</row>
    <row r="840" ht="15.75" customHeight="1">
      <c r="A840" s="247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</row>
    <row r="841" ht="15.75" customHeight="1">
      <c r="A841" s="247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</row>
    <row r="842" ht="15.75" customHeight="1">
      <c r="A842" s="247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</row>
    <row r="843" ht="15.75" customHeight="1">
      <c r="A843" s="247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</row>
    <row r="844" ht="15.75" customHeight="1">
      <c r="A844" s="247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</row>
    <row r="845" ht="15.75" customHeight="1">
      <c r="A845" s="247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</row>
    <row r="846" ht="15.75" customHeight="1">
      <c r="A846" s="247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</row>
    <row r="847" ht="15.75" customHeight="1">
      <c r="A847" s="247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</row>
    <row r="848" ht="15.75" customHeight="1">
      <c r="A848" s="247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</row>
    <row r="849" ht="15.75" customHeight="1">
      <c r="A849" s="247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</row>
    <row r="850" ht="15.75" customHeight="1">
      <c r="A850" s="247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</row>
    <row r="851" ht="15.75" customHeight="1">
      <c r="A851" s="247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</row>
    <row r="852" ht="15.75" customHeight="1">
      <c r="A852" s="247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</row>
    <row r="853" ht="15.75" customHeight="1">
      <c r="A853" s="247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</row>
    <row r="854" ht="15.75" customHeight="1">
      <c r="A854" s="247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</row>
    <row r="855" ht="15.75" customHeight="1">
      <c r="A855" s="247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</row>
    <row r="856" ht="15.75" customHeight="1">
      <c r="A856" s="247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</row>
    <row r="857" ht="15.75" customHeight="1">
      <c r="A857" s="247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</row>
    <row r="858" ht="15.75" customHeight="1">
      <c r="A858" s="247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</row>
    <row r="859" ht="15.75" customHeight="1">
      <c r="A859" s="247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</row>
    <row r="860" ht="15.75" customHeight="1">
      <c r="A860" s="247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</row>
    <row r="861" ht="15.75" customHeight="1">
      <c r="A861" s="247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</row>
    <row r="862" ht="15.75" customHeight="1">
      <c r="A862" s="247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</row>
    <row r="863" ht="15.75" customHeight="1">
      <c r="A863" s="247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</row>
    <row r="864" ht="15.75" customHeight="1">
      <c r="A864" s="247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</row>
    <row r="865" ht="15.75" customHeight="1">
      <c r="A865" s="247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</row>
    <row r="866" ht="15.75" customHeight="1">
      <c r="A866" s="247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</row>
    <row r="867" ht="15.75" customHeight="1">
      <c r="A867" s="247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</row>
    <row r="868" ht="15.75" customHeight="1">
      <c r="A868" s="247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</row>
    <row r="869" ht="15.75" customHeight="1">
      <c r="A869" s="247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</row>
    <row r="870" ht="15.75" customHeight="1">
      <c r="A870" s="247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</row>
    <row r="871" ht="15.75" customHeight="1">
      <c r="A871" s="247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</row>
    <row r="872" ht="15.75" customHeight="1">
      <c r="A872" s="247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</row>
    <row r="873" ht="15.75" customHeight="1">
      <c r="A873" s="247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</row>
    <row r="874" ht="15.75" customHeight="1">
      <c r="A874" s="247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</row>
    <row r="875" ht="15.75" customHeight="1">
      <c r="A875" s="247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</row>
    <row r="876" ht="15.75" customHeight="1">
      <c r="A876" s="247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</row>
    <row r="877" ht="15.75" customHeight="1">
      <c r="A877" s="247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</row>
    <row r="878" ht="15.75" customHeight="1">
      <c r="A878" s="247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</row>
    <row r="879" ht="15.75" customHeight="1">
      <c r="A879" s="247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</row>
    <row r="880" ht="15.75" customHeight="1">
      <c r="A880" s="247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</row>
    <row r="881" ht="15.75" customHeight="1">
      <c r="A881" s="247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</row>
    <row r="882" ht="15.75" customHeight="1">
      <c r="A882" s="247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</row>
    <row r="883" ht="15.75" customHeight="1">
      <c r="A883" s="247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</row>
    <row r="884" ht="15.75" customHeight="1">
      <c r="A884" s="247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</row>
    <row r="885" ht="15.75" customHeight="1">
      <c r="A885" s="247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</row>
    <row r="886" ht="15.75" customHeight="1">
      <c r="A886" s="247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</row>
    <row r="887" ht="15.75" customHeight="1">
      <c r="A887" s="247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</row>
    <row r="888" ht="15.75" customHeight="1">
      <c r="A888" s="247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</row>
    <row r="889" ht="15.75" customHeight="1">
      <c r="A889" s="247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</row>
    <row r="890" ht="15.75" customHeight="1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</row>
    <row r="891" ht="15.75" customHeight="1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</row>
    <row r="892" ht="15.75" customHeight="1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</row>
    <row r="893" ht="15.75" customHeight="1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</row>
    <row r="894" ht="15.75" customHeight="1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</row>
    <row r="895" ht="15.75" customHeight="1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</row>
    <row r="896" ht="15.75" customHeight="1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</row>
    <row r="897" ht="15.75" customHeight="1">
      <c r="A897" s="247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</row>
    <row r="898" ht="15.75" customHeight="1">
      <c r="A898" s="247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</row>
    <row r="899" ht="15.75" customHeight="1">
      <c r="A899" s="247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</row>
    <row r="900" ht="15.75" customHeight="1">
      <c r="A900" s="247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</row>
    <row r="901" ht="15.75" customHeight="1">
      <c r="A901" s="247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</row>
    <row r="902" ht="15.75" customHeight="1">
      <c r="A902" s="247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</row>
    <row r="903" ht="15.75" customHeight="1">
      <c r="A903" s="247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</row>
    <row r="904" ht="15.75" customHeight="1">
      <c r="A904" s="247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</row>
    <row r="905" ht="15.75" customHeight="1">
      <c r="A905" s="247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</row>
    <row r="906" ht="15.75" customHeight="1">
      <c r="A906" s="247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</row>
    <row r="907" ht="15.75" customHeight="1">
      <c r="A907" s="247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</row>
    <row r="908" ht="15.75" customHeight="1">
      <c r="A908" s="247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</row>
    <row r="909" ht="15.75" customHeight="1">
      <c r="A909" s="247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</row>
    <row r="910" ht="15.75" customHeight="1">
      <c r="A910" s="247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</row>
    <row r="911" ht="15.75" customHeight="1">
      <c r="A911" s="247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</row>
    <row r="912" ht="15.75" customHeight="1">
      <c r="A912" s="247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</row>
    <row r="913" ht="15.75" customHeight="1">
      <c r="A913" s="247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</row>
    <row r="914" ht="15.75" customHeight="1">
      <c r="A914" s="247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</row>
    <row r="915" ht="15.75" customHeight="1">
      <c r="A915" s="247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</row>
    <row r="916" ht="15.75" customHeight="1">
      <c r="A916" s="247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</row>
    <row r="917" ht="15.75" customHeight="1">
      <c r="A917" s="247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</row>
    <row r="918" ht="15.75" customHeight="1">
      <c r="A918" s="247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</row>
    <row r="919" ht="15.75" customHeight="1">
      <c r="A919" s="247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</row>
    <row r="920" ht="15.75" customHeight="1">
      <c r="A920" s="247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</row>
    <row r="921" ht="15.75" customHeight="1">
      <c r="A921" s="247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</row>
    <row r="922" ht="15.75" customHeight="1">
      <c r="A922" s="247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</row>
    <row r="923" ht="15.75" customHeight="1">
      <c r="A923" s="247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</row>
    <row r="924" ht="15.75" customHeight="1">
      <c r="A924" s="247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</row>
    <row r="925" ht="15.75" customHeight="1">
      <c r="A925" s="247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</row>
    <row r="926" ht="15.75" customHeight="1">
      <c r="A926" s="247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</row>
    <row r="927" ht="15.75" customHeight="1">
      <c r="A927" s="247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</row>
    <row r="928" ht="15.75" customHeight="1">
      <c r="A928" s="247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</row>
    <row r="929" ht="15.75" customHeight="1">
      <c r="A929" s="247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</row>
    <row r="930" ht="15.75" customHeight="1">
      <c r="A930" s="247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</row>
    <row r="931" ht="15.75" customHeight="1">
      <c r="A931" s="247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</row>
    <row r="932" ht="15.75" customHeight="1">
      <c r="A932" s="247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</row>
    <row r="933" ht="15.75" customHeight="1">
      <c r="A933" s="247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</row>
    <row r="934" ht="15.75" customHeight="1">
      <c r="A934" s="247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</row>
    <row r="935" ht="15.75" customHeight="1">
      <c r="A935" s="247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</row>
    <row r="936" ht="15.75" customHeight="1">
      <c r="A936" s="247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</row>
    <row r="937" ht="15.75" customHeight="1">
      <c r="A937" s="247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</row>
    <row r="938" ht="15.75" customHeight="1">
      <c r="A938" s="247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</row>
    <row r="939" ht="15.75" customHeight="1">
      <c r="A939" s="247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</row>
    <row r="940" ht="15.75" customHeight="1">
      <c r="A940" s="247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</row>
    <row r="941" ht="15.75" customHeight="1">
      <c r="A941" s="247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</row>
    <row r="942" ht="15.75" customHeight="1">
      <c r="A942" s="247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</row>
    <row r="943" ht="15.75" customHeight="1">
      <c r="A943" s="247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</row>
    <row r="944" ht="15.75" customHeight="1">
      <c r="A944" s="247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</row>
    <row r="945" ht="15.75" customHeight="1">
      <c r="A945" s="247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</row>
    <row r="946" ht="15.75" customHeight="1">
      <c r="A946" s="247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</row>
    <row r="947" ht="15.75" customHeight="1">
      <c r="A947" s="247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</row>
    <row r="948" ht="15.75" customHeight="1">
      <c r="A948" s="247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</row>
    <row r="949" ht="15.75" customHeight="1">
      <c r="A949" s="247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</row>
    <row r="950" ht="15.75" customHeight="1">
      <c r="A950" s="247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</row>
    <row r="951" ht="15.75" customHeight="1">
      <c r="A951" s="247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</row>
    <row r="952" ht="15.75" customHeight="1">
      <c r="A952" s="247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</row>
    <row r="953" ht="15.75" customHeight="1">
      <c r="A953" s="247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</row>
    <row r="954" ht="15.75" customHeight="1">
      <c r="A954" s="247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</row>
    <row r="955" ht="15.75" customHeight="1">
      <c r="A955" s="247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</row>
    <row r="956" ht="15.75" customHeight="1">
      <c r="A956" s="247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</row>
    <row r="957" ht="15.75" customHeight="1">
      <c r="A957" s="247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</row>
    <row r="958" ht="15.75" customHeight="1">
      <c r="A958" s="247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</row>
    <row r="959" ht="15.75" customHeight="1">
      <c r="A959" s="247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</row>
    <row r="960" ht="15.75" customHeight="1">
      <c r="A960" s="247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</row>
    <row r="961" ht="15.75" customHeight="1">
      <c r="A961" s="247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</row>
    <row r="962" ht="15.75" customHeight="1">
      <c r="A962" s="247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</row>
    <row r="963" ht="15.75" customHeight="1">
      <c r="A963" s="247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</row>
    <row r="964" ht="15.75" customHeight="1">
      <c r="A964" s="247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</row>
    <row r="965" ht="15.75" customHeight="1">
      <c r="A965" s="247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</row>
    <row r="966" ht="15.75" customHeight="1">
      <c r="A966" s="247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</row>
    <row r="967" ht="15.75" customHeight="1">
      <c r="A967" s="247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</row>
    <row r="968" ht="15.75" customHeight="1">
      <c r="A968" s="247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</row>
    <row r="969" ht="15.75" customHeight="1">
      <c r="A969" s="247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</row>
    <row r="970" ht="15.75" customHeight="1">
      <c r="A970" s="247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</row>
    <row r="971" ht="15.75" customHeight="1">
      <c r="A971" s="247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</row>
    <row r="972" ht="15.75" customHeight="1">
      <c r="A972" s="247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</row>
    <row r="973" ht="15.75" customHeight="1">
      <c r="A973" s="247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</row>
    <row r="974" ht="15.75" customHeight="1">
      <c r="A974" s="247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</row>
    <row r="975" ht="15.75" customHeight="1">
      <c r="A975" s="247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</row>
    <row r="976" ht="15.75" customHeight="1">
      <c r="A976" s="247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</row>
    <row r="977" ht="15.75" customHeight="1">
      <c r="A977" s="247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</row>
    <row r="978" ht="15.75" customHeight="1">
      <c r="A978" s="247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</row>
    <row r="979" ht="15.75" customHeight="1">
      <c r="A979" s="247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</row>
    <row r="980" ht="15.75" customHeight="1">
      <c r="A980" s="247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</row>
    <row r="981" ht="15.75" customHeight="1">
      <c r="A981" s="247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</row>
    <row r="982" ht="15.75" customHeight="1">
      <c r="A982" s="247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</row>
    <row r="983" ht="15.75" customHeight="1">
      <c r="A983" s="247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</row>
    <row r="984" ht="15.75" customHeight="1">
      <c r="A984" s="247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</row>
    <row r="985" ht="15.75" customHeight="1">
      <c r="A985" s="247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</row>
    <row r="986" ht="15.75" customHeight="1">
      <c r="A986" s="247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</row>
    <row r="987" ht="15.75" customHeight="1">
      <c r="A987" s="247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</row>
    <row r="988" ht="15.75" customHeight="1">
      <c r="A988" s="247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</row>
    <row r="989" ht="15.75" customHeight="1">
      <c r="A989" s="247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</row>
    <row r="990" ht="15.75" customHeight="1">
      <c r="A990" s="247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</row>
    <row r="991" ht="15.75" customHeight="1">
      <c r="A991" s="247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</row>
    <row r="992" ht="15.75" customHeight="1">
      <c r="A992" s="247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</row>
    <row r="993" ht="15.75" customHeight="1">
      <c r="A993" s="247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</row>
    <row r="994" ht="15.75" customHeight="1">
      <c r="A994" s="247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</row>
    <row r="995" ht="15.75" customHeight="1">
      <c r="A995" s="247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</row>
    <row r="996" ht="15.75" customHeight="1">
      <c r="A996" s="247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</row>
    <row r="997" ht="15.75" customHeight="1">
      <c r="A997" s="247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</row>
    <row r="998" ht="15.75" customHeight="1">
      <c r="A998" s="247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</row>
    <row r="999" ht="15.75" customHeight="1">
      <c r="A999" s="247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</row>
    <row r="1000" ht="15.75" customHeight="1">
      <c r="A1000" s="247"/>
      <c r="B1000" s="247"/>
      <c r="C1000" s="247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  <c r="Y1000" s="247"/>
    </row>
  </sheetData>
  <autoFilter ref="$H$1:$M$987"/>
  <mergeCells count="3">
    <mergeCell ref="B2:E2"/>
    <mergeCell ref="B3:E3"/>
    <mergeCell ref="B4:E4"/>
  </mergeCells>
  <conditionalFormatting sqref="I2:I57 L3:L49">
    <cfRule type="cellIs" dxfId="0" priority="1" operator="equal">
      <formula>"Kasbon"</formula>
    </cfRule>
  </conditionalFormatting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8.88"/>
    <col customWidth="1" min="2" max="2" width="20.25"/>
    <col customWidth="1" min="3" max="3" width="19.88"/>
    <col customWidth="1" min="4" max="4" width="8.63"/>
    <col customWidth="1" min="5" max="5" width="10.75"/>
    <col customWidth="1" min="6" max="7" width="11.38"/>
    <col customWidth="1" min="8" max="8" width="9.88"/>
    <col customWidth="1" min="9" max="10" width="9.13"/>
    <col customWidth="1" min="11" max="11" width="9.25"/>
    <col customWidth="1" min="12" max="12" width="58.75"/>
    <col customWidth="1" min="13" max="23" width="8.88"/>
  </cols>
  <sheetData>
    <row r="1" ht="13.5" customHeight="1">
      <c r="A1" s="3" t="s">
        <v>1</v>
      </c>
      <c r="B1" s="5" t="s">
        <v>4</v>
      </c>
      <c r="C1" s="5" t="s">
        <v>2</v>
      </c>
      <c r="D1" s="5" t="s">
        <v>3</v>
      </c>
      <c r="E1" s="8" t="s">
        <v>8</v>
      </c>
      <c r="F1" s="10" t="s">
        <v>11</v>
      </c>
      <c r="G1" s="14" t="s">
        <v>15</v>
      </c>
      <c r="H1" s="5" t="s">
        <v>22</v>
      </c>
      <c r="I1" s="5" t="s">
        <v>23</v>
      </c>
      <c r="J1" s="18" t="s">
        <v>24</v>
      </c>
      <c r="K1" s="18" t="s">
        <v>28</v>
      </c>
      <c r="L1" s="5" t="s">
        <v>31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22"/>
      <c r="Y1" s="22"/>
      <c r="Z1" s="22"/>
      <c r="AA1" s="22"/>
      <c r="AB1" s="22"/>
      <c r="AC1" s="22"/>
      <c r="AD1" s="22"/>
      <c r="AE1" s="22"/>
      <c r="AF1" s="22"/>
    </row>
    <row r="2" ht="13.5" hidden="1" customHeight="1">
      <c r="A2" s="26">
        <v>1.0</v>
      </c>
      <c r="B2" s="28"/>
      <c r="C2" s="30" t="s">
        <v>6</v>
      </c>
      <c r="D2" s="33" t="s">
        <v>43</v>
      </c>
      <c r="E2" s="42">
        <f>SUMIFS(SSOD!$C:$C,SSOD!$B:$B,Hitungan!D2,SSOD!$A:$A,Hitungan!C2)</f>
        <v>1260000</v>
      </c>
      <c r="F2" s="44">
        <v>1.0</v>
      </c>
      <c r="G2" s="47">
        <f t="shared" ref="G2:G7" si="1">E2*F2</f>
        <v>1260000</v>
      </c>
      <c r="H2" s="51" t="str">
        <f t="array" ref="H2">INDEX('Panduan Gaji'!$Q:$Q,MATCH(D2,'Panduan Gaji'!$C:$C,0))</f>
        <v>Joglo</v>
      </c>
      <c r="I2" s="53"/>
      <c r="J2" s="54"/>
      <c r="K2" s="54"/>
      <c r="L2" s="55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22"/>
      <c r="Y2" s="22"/>
      <c r="Z2" s="22"/>
      <c r="AA2" s="22"/>
      <c r="AB2" s="22"/>
      <c r="AC2" s="22"/>
      <c r="AD2" s="22"/>
      <c r="AE2" s="22"/>
      <c r="AF2" s="22"/>
    </row>
    <row r="3" ht="13.5" hidden="1" customHeight="1">
      <c r="A3" s="26">
        <f t="shared" ref="A3:A41" si="2">A2</f>
        <v>1</v>
      </c>
      <c r="B3" s="28"/>
      <c r="C3" s="30" t="s">
        <v>17</v>
      </c>
      <c r="D3" s="33" t="str">
        <f t="shared" ref="D3:D41" si="3">D2</f>
        <v>Renaldi</v>
      </c>
      <c r="E3" s="42">
        <f>SUMIFS(SSOD!$C:$C,SSOD!$B:$B,Hitungan!D3,SSOD!$A:$A,Hitungan!C3)</f>
        <v>0</v>
      </c>
      <c r="F3" s="44"/>
      <c r="G3" s="47">
        <f t="shared" si="1"/>
        <v>0</v>
      </c>
      <c r="H3" s="51" t="str">
        <f t="array" ref="H3">INDEX('Panduan Gaji'!$Q:$Q,MATCH(D3,'Panduan Gaji'!$C:$C,0))</f>
        <v>Joglo</v>
      </c>
      <c r="I3" s="53"/>
      <c r="J3" s="54"/>
      <c r="K3" s="54"/>
      <c r="L3" s="55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22"/>
      <c r="Y3" s="22"/>
      <c r="Z3" s="22"/>
      <c r="AA3" s="22"/>
      <c r="AB3" s="22"/>
      <c r="AC3" s="22"/>
      <c r="AD3" s="22"/>
      <c r="AE3" s="22"/>
      <c r="AF3" s="22"/>
    </row>
    <row r="4" ht="13.5" hidden="1" customHeight="1">
      <c r="A4" s="26">
        <f t="shared" si="2"/>
        <v>1</v>
      </c>
      <c r="B4" s="28"/>
      <c r="C4" s="30" t="s">
        <v>7</v>
      </c>
      <c r="D4" s="33" t="str">
        <f t="shared" si="3"/>
        <v>Renaldi</v>
      </c>
      <c r="E4" s="42">
        <f>SUMIFS(SSOD!$C:$C,SSOD!$B:$B,Hitungan!D4,SSOD!$A:$A,Hitungan!C4)</f>
        <v>65000</v>
      </c>
      <c r="F4" s="44">
        <f>SUMPRODUCT(--((($J$11:$J$41&lt;&gt;"")+($K$11:$K$41&lt;&gt;""))&gt;0))</f>
        <v>25</v>
      </c>
      <c r="G4" s="47">
        <f t="shared" si="1"/>
        <v>1625000</v>
      </c>
      <c r="H4" s="51" t="str">
        <f t="array" ref="H4">INDEX('Panduan Gaji'!$Q:$Q,MATCH(D4,'Panduan Gaji'!$C:$C,0))</f>
        <v>Joglo</v>
      </c>
      <c r="I4" s="85"/>
      <c r="J4" s="88"/>
      <c r="K4" s="88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22"/>
      <c r="Y4" s="22"/>
      <c r="Z4" s="22"/>
      <c r="AA4" s="22"/>
      <c r="AB4" s="22"/>
      <c r="AC4" s="22"/>
      <c r="AD4" s="22"/>
      <c r="AE4" s="22"/>
      <c r="AF4" s="22"/>
    </row>
    <row r="5" ht="13.5" hidden="1" customHeight="1">
      <c r="A5" s="26">
        <f t="shared" si="2"/>
        <v>1</v>
      </c>
      <c r="B5" s="28"/>
      <c r="C5" s="30" t="s">
        <v>9</v>
      </c>
      <c r="D5" s="33" t="str">
        <f t="shared" si="3"/>
        <v>Renaldi</v>
      </c>
      <c r="E5" s="42">
        <f>SUMIFS(SSOD!$C:$C,SSOD!$B:$B,Hitungan!D5,SSOD!$A:$A,Hitungan!C5)</f>
        <v>57500</v>
      </c>
      <c r="F5" s="44">
        <f>SUMPRODUCT(--((($J$11:$J$41&lt;&gt;"")+($K$11:$K$41&lt;&gt;""))&gt;0))+1</f>
        <v>26</v>
      </c>
      <c r="G5" s="47">
        <f t="shared" si="1"/>
        <v>1495000</v>
      </c>
      <c r="H5" s="51" t="str">
        <f t="array" ref="H5">INDEX('Panduan Gaji'!$Q:$Q,MATCH(D5,'Panduan Gaji'!$C:$C,0))</f>
        <v>Joglo</v>
      </c>
      <c r="I5" s="85" t="s">
        <v>72</v>
      </c>
      <c r="J5" s="88"/>
      <c r="K5" s="88"/>
      <c r="L5" s="9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22"/>
      <c r="Y5" s="22"/>
      <c r="Z5" s="22"/>
      <c r="AA5" s="22"/>
      <c r="AB5" s="22"/>
      <c r="AC5" s="22"/>
      <c r="AD5" s="22"/>
      <c r="AE5" s="22"/>
      <c r="AF5" s="22"/>
    </row>
    <row r="6" hidden="1">
      <c r="A6" s="26">
        <f t="shared" si="2"/>
        <v>1</v>
      </c>
      <c r="B6" s="28"/>
      <c r="C6" s="30" t="s">
        <v>12</v>
      </c>
      <c r="D6" s="33" t="str">
        <f t="shared" si="3"/>
        <v>Renaldi</v>
      </c>
      <c r="E6" s="42">
        <f>SUMIFS(SSOD!$C:$C,SSOD!$B:$B,Hitungan!D6,SSOD!$A:$A,Hitungan!C6)</f>
        <v>19166.66667</v>
      </c>
      <c r="F6" s="44">
        <f>SUMIF($C$11:$C$41,C6,$F$11:$F$41)</f>
        <v>1</v>
      </c>
      <c r="G6" s="47">
        <f t="shared" si="1"/>
        <v>19166.66667</v>
      </c>
      <c r="H6" s="51" t="str">
        <f t="array" ref="H6">INDEX('Panduan Gaji'!$Q:$Q,MATCH(D6,'Panduan Gaji'!$C:$C,0))</f>
        <v>Joglo</v>
      </c>
      <c r="I6" s="53"/>
      <c r="J6" s="88"/>
      <c r="K6" s="88"/>
      <c r="L6" s="100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22"/>
      <c r="Y6" s="22"/>
      <c r="Z6" s="22"/>
      <c r="AA6" s="22"/>
      <c r="AB6" s="22"/>
      <c r="AC6" s="22"/>
      <c r="AD6" s="22"/>
      <c r="AE6" s="22"/>
      <c r="AF6" s="22"/>
    </row>
    <row r="7" hidden="1">
      <c r="A7" s="26">
        <f t="shared" si="2"/>
        <v>1</v>
      </c>
      <c r="B7" s="28"/>
      <c r="C7" s="102" t="s">
        <v>30</v>
      </c>
      <c r="D7" s="33" t="str">
        <f t="shared" si="3"/>
        <v>Renaldi</v>
      </c>
      <c r="E7" s="42">
        <f>SUMIFS(SSOD!$C:$C,SSOD!$B:$B,Hitungan!D7,SSOD!$A:$A,Hitungan!C7)</f>
        <v>19166.66667</v>
      </c>
      <c r="F7" s="44">
        <f t="shared" ref="F7:F8" si="4">COUNTIF($C$11:$C$41,C7)</f>
        <v>2</v>
      </c>
      <c r="G7" s="47">
        <f t="shared" si="1"/>
        <v>38333.33333</v>
      </c>
      <c r="H7" s="51" t="str">
        <f t="array" ref="H7">INDEX('Panduan Gaji'!$Q:$Q,MATCH(D7,'Panduan Gaji'!$C:$C,0))</f>
        <v>Joglo</v>
      </c>
      <c r="I7" s="53"/>
      <c r="J7" s="105"/>
      <c r="K7" s="105"/>
      <c r="L7" s="10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22"/>
      <c r="Y7" s="22"/>
      <c r="Z7" s="22"/>
      <c r="AA7" s="22"/>
      <c r="AB7" s="22"/>
      <c r="AC7" s="22"/>
      <c r="AD7" s="22"/>
      <c r="AE7" s="22"/>
      <c r="AF7" s="22"/>
    </row>
    <row r="8" hidden="1">
      <c r="A8" s="26">
        <f t="shared" si="2"/>
        <v>1</v>
      </c>
      <c r="B8" s="28"/>
      <c r="C8" s="30" t="s">
        <v>33</v>
      </c>
      <c r="D8" s="33" t="str">
        <f t="shared" si="3"/>
        <v>Renaldi</v>
      </c>
      <c r="E8" s="42"/>
      <c r="F8" s="44">
        <f t="shared" si="4"/>
        <v>1</v>
      </c>
      <c r="G8" s="47">
        <f>SUMIF($C$11:$C$41,C8,$E$11:$E$41)</f>
        <v>15000</v>
      </c>
      <c r="H8" s="51" t="str">
        <f t="array" ref="H8">INDEX('Panduan Gaji'!$Q:$Q,MATCH(D8,'Panduan Gaji'!$C:$C,0))</f>
        <v>Joglo</v>
      </c>
      <c r="I8" s="53"/>
      <c r="J8" s="105"/>
      <c r="K8" s="105"/>
      <c r="L8" s="10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22"/>
      <c r="Y8" s="22"/>
      <c r="Z8" s="22"/>
      <c r="AA8" s="22"/>
      <c r="AB8" s="22"/>
      <c r="AC8" s="22"/>
      <c r="AD8" s="22"/>
      <c r="AE8" s="22"/>
      <c r="AF8" s="22"/>
    </row>
    <row r="9" hidden="1">
      <c r="A9" s="26">
        <f t="shared" si="2"/>
        <v>1</v>
      </c>
      <c r="B9" s="28"/>
      <c r="C9" s="30" t="s">
        <v>83</v>
      </c>
      <c r="D9" s="33" t="str">
        <f t="shared" si="3"/>
        <v>Renaldi</v>
      </c>
      <c r="E9" s="42"/>
      <c r="F9" s="44"/>
      <c r="G9" s="47"/>
      <c r="H9" s="51" t="str">
        <f t="array" ref="H9">INDEX('Panduan Gaji'!$Q:$Q,MATCH(D9,'Panduan Gaji'!$C:$C,0))</f>
        <v>Joglo</v>
      </c>
      <c r="I9" s="53"/>
      <c r="J9" s="105"/>
      <c r="K9" s="105"/>
      <c r="L9" s="10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22"/>
      <c r="Y9" s="22"/>
      <c r="Z9" s="22"/>
      <c r="AA9" s="22"/>
      <c r="AB9" s="22"/>
      <c r="AC9" s="22"/>
      <c r="AD9" s="22"/>
      <c r="AE9" s="22"/>
      <c r="AF9" s="22"/>
    </row>
    <row r="10" hidden="1">
      <c r="A10" s="26">
        <f t="shared" si="2"/>
        <v>1</v>
      </c>
      <c r="B10" s="28"/>
      <c r="C10" s="30" t="s">
        <v>85</v>
      </c>
      <c r="D10" s="33" t="str">
        <f t="shared" si="3"/>
        <v>Renaldi</v>
      </c>
      <c r="E10" s="42"/>
      <c r="F10" s="44"/>
      <c r="G10" s="47"/>
      <c r="H10" s="51" t="str">
        <f t="array" ref="H10">INDEX('Panduan Gaji'!$Q:$Q,MATCH(D10,'Panduan Gaji'!$C:$C,0))</f>
        <v>Joglo</v>
      </c>
      <c r="I10" s="53"/>
      <c r="J10" s="105"/>
      <c r="K10" s="105"/>
      <c r="L10" s="10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22"/>
      <c r="Y10" s="22"/>
      <c r="Z10" s="22"/>
      <c r="AA10" s="22"/>
      <c r="AB10" s="22"/>
      <c r="AC10" s="22"/>
      <c r="AD10" s="22"/>
      <c r="AE10" s="22"/>
      <c r="AF10" s="22"/>
    </row>
    <row r="11" ht="13.5" hidden="1" customHeight="1">
      <c r="A11" s="116">
        <f t="shared" si="2"/>
        <v>1</v>
      </c>
      <c r="B11" s="118">
        <v>46228.0</v>
      </c>
      <c r="C11" s="119"/>
      <c r="D11" s="120" t="str">
        <f t="shared" si="3"/>
        <v>Renaldi</v>
      </c>
      <c r="E11" s="121">
        <f>SUMIFS(SSOD!$C:$C,SSOD!$B:$B,Hitungan!D11,SSOD!$A:$A,Hitungan!C11)</f>
        <v>0</v>
      </c>
      <c r="F11" s="122"/>
      <c r="G11" s="124">
        <f t="shared" ref="G11:G41" si="5">E11*F11</f>
        <v>0</v>
      </c>
      <c r="H11" s="126" t="str">
        <f t="array" ref="H11">INDEX('Panduan Gaji'!$Q:$Q,MATCH(D11,'Panduan Gaji'!$C:$C,0))</f>
        <v>Joglo</v>
      </c>
      <c r="I11" s="128" t="s">
        <v>97</v>
      </c>
      <c r="J11" s="129">
        <v>0.3354166666666666</v>
      </c>
      <c r="K11" s="129">
        <v>0.625</v>
      </c>
      <c r="L11" s="130"/>
      <c r="M11" s="56"/>
      <c r="N11" s="56"/>
      <c r="O11" s="22"/>
      <c r="P11" s="56"/>
      <c r="Q11" s="56"/>
      <c r="R11" s="56"/>
      <c r="S11" s="56"/>
      <c r="T11" s="56"/>
      <c r="U11" s="56"/>
      <c r="V11" s="56"/>
      <c r="W11" s="56"/>
      <c r="X11" s="22"/>
      <c r="Y11" s="22"/>
      <c r="Z11" s="22"/>
      <c r="AA11" s="22"/>
      <c r="AB11" s="22"/>
      <c r="AC11" s="22"/>
      <c r="AD11" s="22"/>
      <c r="AE11" s="22"/>
      <c r="AF11" s="22"/>
    </row>
    <row r="12" ht="13.5" hidden="1" customHeight="1">
      <c r="A12" s="116">
        <f t="shared" si="2"/>
        <v>1</v>
      </c>
      <c r="B12" s="118">
        <v>46229.0</v>
      </c>
      <c r="C12" s="119"/>
      <c r="D12" s="120" t="str">
        <f t="shared" si="3"/>
        <v>Renaldi</v>
      </c>
      <c r="E12" s="121">
        <f>SUMIFS(SSOD!$C:$C,SSOD!$B:$B,Hitungan!D12,SSOD!$A:$A,Hitungan!C12)</f>
        <v>0</v>
      </c>
      <c r="F12" s="122"/>
      <c r="G12" s="124">
        <f t="shared" si="5"/>
        <v>0</v>
      </c>
      <c r="H12" s="126" t="str">
        <f t="array" ref="H12">INDEX('Panduan Gaji'!$Q:$Q,MATCH(D12,'Panduan Gaji'!$C:$C,0))</f>
        <v>Joglo</v>
      </c>
      <c r="I12" s="128" t="s">
        <v>97</v>
      </c>
      <c r="J12" s="129"/>
      <c r="K12" s="137"/>
      <c r="L12" s="138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22"/>
      <c r="Y12" s="22"/>
      <c r="Z12" s="22"/>
      <c r="AA12" s="22"/>
      <c r="AB12" s="22"/>
      <c r="AC12" s="22"/>
      <c r="AD12" s="22"/>
      <c r="AE12" s="22"/>
      <c r="AF12" s="22"/>
    </row>
    <row r="13" ht="13.5" hidden="1" customHeight="1">
      <c r="A13" s="116">
        <f t="shared" si="2"/>
        <v>1</v>
      </c>
      <c r="B13" s="118">
        <v>46230.0</v>
      </c>
      <c r="C13" s="119"/>
      <c r="D13" s="120" t="str">
        <f t="shared" si="3"/>
        <v>Renaldi</v>
      </c>
      <c r="E13" s="121">
        <f>SUMIFS(SSOD!$C:$C,SSOD!$B:$B,Hitungan!D13,SSOD!$A:$A,Hitungan!C13)</f>
        <v>0</v>
      </c>
      <c r="F13" s="122"/>
      <c r="G13" s="124">
        <f t="shared" si="5"/>
        <v>0</v>
      </c>
      <c r="H13" s="126" t="str">
        <f t="array" ref="H13">INDEX('Panduan Gaji'!$Q:$Q,MATCH(D13,'Panduan Gaji'!$C:$C,0))</f>
        <v>Joglo</v>
      </c>
      <c r="I13" s="128" t="s">
        <v>97</v>
      </c>
      <c r="J13" s="129">
        <v>0.3340277777777778</v>
      </c>
      <c r="K13" s="129">
        <v>0.8423611111111111</v>
      </c>
      <c r="L13" s="145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22"/>
      <c r="Y13" s="22"/>
      <c r="Z13" s="22"/>
      <c r="AA13" s="22"/>
      <c r="AB13" s="22"/>
      <c r="AC13" s="22"/>
      <c r="AD13" s="22"/>
      <c r="AE13" s="22"/>
      <c r="AF13" s="22"/>
    </row>
    <row r="14" ht="13.5" hidden="1" customHeight="1">
      <c r="A14" s="116">
        <f t="shared" si="2"/>
        <v>1</v>
      </c>
      <c r="B14" s="118">
        <v>46231.0</v>
      </c>
      <c r="C14" s="146"/>
      <c r="D14" s="120" t="str">
        <f t="shared" si="3"/>
        <v>Renaldi</v>
      </c>
      <c r="E14" s="147">
        <f>SUMIFS(SSOD!$C:$C,SSOD!$B:$B,Hitungan!D14,SSOD!$A:$A,Hitungan!C14)</f>
        <v>0</v>
      </c>
      <c r="F14" s="148"/>
      <c r="G14" s="124">
        <f t="shared" si="5"/>
        <v>0</v>
      </c>
      <c r="H14" s="126" t="str">
        <f t="array" ref="H14">INDEX('Panduan Gaji'!$Q:$Q,MATCH(D14,'Panduan Gaji'!$C:$C,0))</f>
        <v>Joglo</v>
      </c>
      <c r="I14" s="128" t="s">
        <v>97</v>
      </c>
      <c r="J14" s="129">
        <v>0.3354166666666666</v>
      </c>
      <c r="K14" s="129">
        <v>0.8375</v>
      </c>
      <c r="L14" s="153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22"/>
      <c r="Y14" s="22"/>
      <c r="Z14" s="22"/>
      <c r="AA14" s="22"/>
      <c r="AB14" s="22"/>
      <c r="AC14" s="22"/>
      <c r="AD14" s="22"/>
      <c r="AE14" s="22"/>
      <c r="AF14" s="22"/>
    </row>
    <row r="15" ht="13.5" hidden="1" customHeight="1">
      <c r="A15" s="116">
        <f t="shared" si="2"/>
        <v>1</v>
      </c>
      <c r="B15" s="118">
        <v>46232.0</v>
      </c>
      <c r="C15" s="119"/>
      <c r="D15" s="120" t="str">
        <f t="shared" si="3"/>
        <v>Renaldi</v>
      </c>
      <c r="E15" s="121">
        <f>SUMIFS(SSOD!$C:$C,SSOD!$B:$B,Hitungan!D15,SSOD!$A:$A,Hitungan!C15)</f>
        <v>0</v>
      </c>
      <c r="F15" s="122"/>
      <c r="G15" s="124">
        <f t="shared" si="5"/>
        <v>0</v>
      </c>
      <c r="H15" s="126" t="str">
        <f t="array" ref="H15">INDEX('Panduan Gaji'!$Q:$Q,MATCH(D15,'Panduan Gaji'!$C:$C,0))</f>
        <v>Joglo</v>
      </c>
      <c r="I15" s="128" t="s">
        <v>97</v>
      </c>
      <c r="J15" s="129">
        <v>0.3277777777777778</v>
      </c>
      <c r="K15" s="129">
        <v>0.8520833333333333</v>
      </c>
      <c r="L15" s="164"/>
      <c r="M15" s="16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22"/>
      <c r="Y15" s="22"/>
      <c r="Z15" s="22"/>
      <c r="AA15" s="22"/>
      <c r="AB15" s="22"/>
      <c r="AC15" s="22"/>
      <c r="AD15" s="22"/>
      <c r="AE15" s="22"/>
      <c r="AF15" s="22"/>
    </row>
    <row r="16" ht="13.5" hidden="1" customHeight="1">
      <c r="A16" s="116">
        <f t="shared" si="2"/>
        <v>1</v>
      </c>
      <c r="B16" s="118">
        <v>46233.0</v>
      </c>
      <c r="C16" s="119"/>
      <c r="D16" s="120" t="str">
        <f t="shared" si="3"/>
        <v>Renaldi</v>
      </c>
      <c r="E16" s="121">
        <f>SUMIFS(SSOD!$C:$C,SSOD!$B:$B,Hitungan!D16,SSOD!$A:$A,Hitungan!C16)</f>
        <v>0</v>
      </c>
      <c r="F16" s="122"/>
      <c r="G16" s="124">
        <f t="shared" si="5"/>
        <v>0</v>
      </c>
      <c r="H16" s="126" t="str">
        <f t="array" ref="H16">INDEX('Panduan Gaji'!$Q:$Q,MATCH(D16,'Panduan Gaji'!$C:$C,0))</f>
        <v>Joglo</v>
      </c>
      <c r="I16" s="128" t="s">
        <v>97</v>
      </c>
      <c r="J16" s="129">
        <v>0.3333333333333333</v>
      </c>
      <c r="K16" s="129">
        <v>0.8423611111111111</v>
      </c>
      <c r="L16" s="130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22"/>
      <c r="Y16" s="22"/>
      <c r="Z16" s="22"/>
      <c r="AA16" s="22"/>
      <c r="AB16" s="22"/>
      <c r="AC16" s="22"/>
      <c r="AD16" s="22"/>
      <c r="AE16" s="22"/>
      <c r="AF16" s="22"/>
    </row>
    <row r="17" ht="13.5" hidden="1" customHeight="1">
      <c r="A17" s="116">
        <f t="shared" si="2"/>
        <v>1</v>
      </c>
      <c r="B17" s="118">
        <v>46234.0</v>
      </c>
      <c r="C17" s="119"/>
      <c r="D17" s="120" t="str">
        <f t="shared" si="3"/>
        <v>Renaldi</v>
      </c>
      <c r="E17" s="121">
        <f>SUMIFS(SSOD!$C:$C,SSOD!$B:$B,Hitungan!D17,SSOD!$A:$A,Hitungan!C17)</f>
        <v>0</v>
      </c>
      <c r="F17" s="122"/>
      <c r="G17" s="124">
        <f t="shared" si="5"/>
        <v>0</v>
      </c>
      <c r="H17" s="126" t="str">
        <f t="array" ref="H17">INDEX('Panduan Gaji'!$Q:$Q,MATCH(D17,'Panduan Gaji'!$C:$C,0))</f>
        <v>Joglo</v>
      </c>
      <c r="I17" s="128" t="s">
        <v>97</v>
      </c>
      <c r="J17" s="177">
        <v>0.3319444444444444</v>
      </c>
      <c r="K17" s="129">
        <v>0.8631944444444445</v>
      </c>
      <c r="L17" s="14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22"/>
      <c r="Y17" s="22"/>
      <c r="Z17" s="22"/>
      <c r="AA17" s="22"/>
      <c r="AB17" s="22"/>
      <c r="AC17" s="22"/>
      <c r="AD17" s="22"/>
      <c r="AE17" s="22"/>
      <c r="AF17" s="22"/>
    </row>
    <row r="18" ht="13.5" hidden="1" customHeight="1">
      <c r="A18" s="116">
        <f t="shared" si="2"/>
        <v>1</v>
      </c>
      <c r="B18" s="118">
        <v>46235.0</v>
      </c>
      <c r="C18" s="119"/>
      <c r="D18" s="120" t="str">
        <f t="shared" si="3"/>
        <v>Renaldi</v>
      </c>
      <c r="E18" s="121">
        <v>0.0</v>
      </c>
      <c r="F18" s="122"/>
      <c r="G18" s="124">
        <f t="shared" si="5"/>
        <v>0</v>
      </c>
      <c r="H18" s="126" t="str">
        <f t="array" ref="H18">INDEX('Panduan Gaji'!$Q:$Q,MATCH(D18,'Panduan Gaji'!$C:$C,0))</f>
        <v>Joglo</v>
      </c>
      <c r="I18" s="128" t="s">
        <v>97</v>
      </c>
      <c r="J18" s="177">
        <v>0.3333333333333333</v>
      </c>
      <c r="K18" s="129">
        <v>0.8416666666666667</v>
      </c>
      <c r="L18" s="14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22"/>
      <c r="Y18" s="22"/>
      <c r="Z18" s="22"/>
      <c r="AA18" s="22"/>
      <c r="AB18" s="22"/>
      <c r="AC18" s="22"/>
      <c r="AD18" s="22"/>
      <c r="AE18" s="22"/>
      <c r="AF18" s="22"/>
    </row>
    <row r="19" ht="13.5" hidden="1" customHeight="1">
      <c r="A19" s="116">
        <f t="shared" si="2"/>
        <v>1</v>
      </c>
      <c r="B19" s="118">
        <v>46236.0</v>
      </c>
      <c r="C19" s="119"/>
      <c r="D19" s="120" t="str">
        <f t="shared" si="3"/>
        <v>Renaldi</v>
      </c>
      <c r="E19" s="121">
        <f>SUMIFS(SSOD!$C:$C,SSOD!$B:$B,Hitungan!D19,SSOD!$A:$A,Hitungan!C19)</f>
        <v>0</v>
      </c>
      <c r="F19" s="122"/>
      <c r="G19" s="124">
        <f t="shared" si="5"/>
        <v>0</v>
      </c>
      <c r="H19" s="126" t="str">
        <f t="array" ref="H19">INDEX('Panduan Gaji'!$Q:$Q,MATCH(D19,'Panduan Gaji'!$C:$C,0))</f>
        <v>Joglo</v>
      </c>
      <c r="I19" s="128" t="s">
        <v>97</v>
      </c>
      <c r="J19" s="177"/>
      <c r="K19" s="129"/>
      <c r="L19" s="14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22"/>
      <c r="Y19" s="22"/>
      <c r="Z19" s="22"/>
      <c r="AA19" s="22"/>
      <c r="AB19" s="22"/>
      <c r="AC19" s="22"/>
      <c r="AD19" s="22"/>
      <c r="AE19" s="22"/>
      <c r="AF19" s="22"/>
    </row>
    <row r="20" ht="13.5" hidden="1" customHeight="1">
      <c r="A20" s="116">
        <f t="shared" si="2"/>
        <v>1</v>
      </c>
      <c r="B20" s="118">
        <v>46237.0</v>
      </c>
      <c r="C20" s="181" t="s">
        <v>33</v>
      </c>
      <c r="D20" s="120" t="str">
        <f t="shared" si="3"/>
        <v>Renaldi</v>
      </c>
      <c r="E20" s="121">
        <v>15000.0</v>
      </c>
      <c r="F20" s="182">
        <v>1.0</v>
      </c>
      <c r="G20" s="52">
        <f t="shared" si="5"/>
        <v>15000</v>
      </c>
      <c r="H20" s="126" t="str">
        <f t="array" ref="H20">INDEX('Panduan Gaji'!$Q:$Q,MATCH(D20,'Panduan Gaji'!$C:$C,0))</f>
        <v>Joglo</v>
      </c>
      <c r="I20" s="128" t="s">
        <v>97</v>
      </c>
      <c r="J20" s="177">
        <v>0.3347222222222222</v>
      </c>
      <c r="K20" s="129">
        <v>0.8541666666666666</v>
      </c>
      <c r="L20" s="119" t="s">
        <v>121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22"/>
      <c r="Y20" s="22"/>
      <c r="Z20" s="22"/>
      <c r="AA20" s="22"/>
      <c r="AB20" s="22"/>
      <c r="AC20" s="22"/>
      <c r="AD20" s="22"/>
      <c r="AE20" s="22"/>
      <c r="AF20" s="22"/>
    </row>
    <row r="21" ht="13.5" hidden="1" customHeight="1">
      <c r="A21" s="116">
        <f t="shared" si="2"/>
        <v>1</v>
      </c>
      <c r="B21" s="118">
        <v>46238.0</v>
      </c>
      <c r="C21" s="119"/>
      <c r="D21" s="120" t="str">
        <f t="shared" si="3"/>
        <v>Renaldi</v>
      </c>
      <c r="E21" s="121">
        <f>SUMIFS(SSOD!$C:$C,SSOD!$B:$B,Hitungan!D21,SSOD!$A:$A,Hitungan!C21)</f>
        <v>0</v>
      </c>
      <c r="F21" s="122"/>
      <c r="G21" s="124">
        <f t="shared" si="5"/>
        <v>0</v>
      </c>
      <c r="H21" s="126" t="str">
        <f t="array" ref="H21">INDEX('Panduan Gaji'!$Q:$Q,MATCH(D21,'Panduan Gaji'!$C:$C,0))</f>
        <v>Joglo</v>
      </c>
      <c r="I21" s="128" t="s">
        <v>97</v>
      </c>
      <c r="J21" s="177">
        <v>0.3354166666666666</v>
      </c>
      <c r="K21" s="129">
        <v>0.8347222222222223</v>
      </c>
      <c r="L21" s="14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22"/>
      <c r="Y21" s="22"/>
      <c r="Z21" s="22"/>
      <c r="AA21" s="22"/>
      <c r="AB21" s="22"/>
      <c r="AC21" s="22"/>
      <c r="AD21" s="22"/>
      <c r="AE21" s="22"/>
      <c r="AF21" s="22"/>
    </row>
    <row r="22" ht="13.5" hidden="1" customHeight="1">
      <c r="A22" s="116">
        <f t="shared" si="2"/>
        <v>1</v>
      </c>
      <c r="B22" s="118">
        <v>46239.0</v>
      </c>
      <c r="C22" s="119"/>
      <c r="D22" s="120" t="str">
        <f t="shared" si="3"/>
        <v>Renaldi</v>
      </c>
      <c r="E22" s="121">
        <f>SUMIFS(SSOD!$C:$C,SSOD!$B:$B,Hitungan!D22,SSOD!$A:$A,Hitungan!C22)</f>
        <v>0</v>
      </c>
      <c r="F22" s="122"/>
      <c r="G22" s="124">
        <f t="shared" si="5"/>
        <v>0</v>
      </c>
      <c r="H22" s="126" t="str">
        <f t="array" ref="H22">INDEX('Panduan Gaji'!$Q:$Q,MATCH(D22,'Panduan Gaji'!$C:$C,0))</f>
        <v>Joglo</v>
      </c>
      <c r="I22" s="128" t="s">
        <v>97</v>
      </c>
      <c r="J22" s="129">
        <v>0.3291666666666667</v>
      </c>
      <c r="K22" s="129">
        <v>0.8416666666666667</v>
      </c>
      <c r="L22" s="14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22"/>
      <c r="Y22" s="22"/>
      <c r="Z22" s="22"/>
      <c r="AA22" s="22"/>
      <c r="AB22" s="22"/>
      <c r="AC22" s="22"/>
      <c r="AD22" s="22"/>
      <c r="AE22" s="22"/>
      <c r="AF22" s="22"/>
    </row>
    <row r="23" ht="13.5" hidden="1" customHeight="1">
      <c r="A23" s="116">
        <f t="shared" si="2"/>
        <v>1</v>
      </c>
      <c r="B23" s="118">
        <v>46240.0</v>
      </c>
      <c r="C23" s="119"/>
      <c r="D23" s="120" t="str">
        <f t="shared" si="3"/>
        <v>Renaldi</v>
      </c>
      <c r="E23" s="121">
        <f>SUMIFS(SSOD!$C:$C,SSOD!$B:$B,Hitungan!D23,SSOD!$A:$A,Hitungan!C23)</f>
        <v>0</v>
      </c>
      <c r="F23" s="122"/>
      <c r="G23" s="124">
        <f t="shared" si="5"/>
        <v>0</v>
      </c>
      <c r="H23" s="126" t="str">
        <f t="array" ref="H23">INDEX('Panduan Gaji'!$Q:$Q,MATCH(D23,'Panduan Gaji'!$C:$C,0))</f>
        <v>Joglo</v>
      </c>
      <c r="I23" s="128" t="s">
        <v>97</v>
      </c>
      <c r="J23" s="129">
        <v>0.3347222222222222</v>
      </c>
      <c r="K23" s="185">
        <v>0.8340277777777778</v>
      </c>
      <c r="L23" s="119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22"/>
      <c r="Y23" s="22"/>
      <c r="Z23" s="22"/>
      <c r="AA23" s="22"/>
      <c r="AB23" s="22"/>
      <c r="AC23" s="22"/>
      <c r="AD23" s="22"/>
      <c r="AE23" s="22"/>
      <c r="AF23" s="22"/>
    </row>
    <row r="24" ht="13.5" hidden="1" customHeight="1">
      <c r="A24" s="116">
        <f t="shared" si="2"/>
        <v>1</v>
      </c>
      <c r="B24" s="118">
        <v>46241.0</v>
      </c>
      <c r="C24" s="119" t="s">
        <v>30</v>
      </c>
      <c r="D24" s="120" t="str">
        <f t="shared" si="3"/>
        <v>Renaldi</v>
      </c>
      <c r="E24" s="121">
        <f>SUMIFS(SSOD!$C:$C,SSOD!$B:$B,Hitungan!D24,SSOD!$A:$A,Hitungan!C24)</f>
        <v>19166.66667</v>
      </c>
      <c r="F24" s="122">
        <v>1.0</v>
      </c>
      <c r="G24" s="124">
        <f t="shared" si="5"/>
        <v>19166.66667</v>
      </c>
      <c r="H24" s="126" t="str">
        <f t="array" ref="H24">INDEX('Panduan Gaji'!$Q:$Q,MATCH(D24,'Panduan Gaji'!$C:$C,0))</f>
        <v>Joglo</v>
      </c>
      <c r="I24" s="128" t="s">
        <v>97</v>
      </c>
      <c r="J24" s="186">
        <v>0.3375</v>
      </c>
      <c r="K24" s="177">
        <v>0.8333333333333334</v>
      </c>
      <c r="L24" s="187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22"/>
      <c r="Y24" s="22"/>
      <c r="Z24" s="22"/>
      <c r="AA24" s="22"/>
      <c r="AB24" s="22"/>
      <c r="AC24" s="22"/>
      <c r="AD24" s="22"/>
      <c r="AE24" s="22"/>
      <c r="AF24" s="22"/>
    </row>
    <row r="25" ht="13.5" hidden="1" customHeight="1">
      <c r="A25" s="116">
        <f t="shared" si="2"/>
        <v>1</v>
      </c>
      <c r="B25" s="118">
        <v>46242.0</v>
      </c>
      <c r="C25" s="119"/>
      <c r="D25" s="120" t="str">
        <f t="shared" si="3"/>
        <v>Renaldi</v>
      </c>
      <c r="E25" s="121">
        <f>SUMIFS(SSOD!$C:$C,SSOD!$B:$B,Hitungan!D25,SSOD!$A:$A,Hitungan!C25)</f>
        <v>0</v>
      </c>
      <c r="F25" s="122"/>
      <c r="G25" s="124">
        <f t="shared" si="5"/>
        <v>0</v>
      </c>
      <c r="H25" s="126" t="str">
        <f t="array" ref="H25">INDEX('Panduan Gaji'!$Q:$Q,MATCH(D25,'Panduan Gaji'!$C:$C,0))</f>
        <v>Joglo</v>
      </c>
      <c r="I25" s="128" t="s">
        <v>97</v>
      </c>
      <c r="J25" s="177">
        <v>0.3361111111111111</v>
      </c>
      <c r="K25" s="177">
        <v>0.8347222222222223</v>
      </c>
      <c r="L25" s="187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22"/>
      <c r="Y25" s="22"/>
      <c r="Z25" s="22"/>
      <c r="AA25" s="22"/>
      <c r="AB25" s="22"/>
      <c r="AC25" s="22"/>
      <c r="AD25" s="22"/>
      <c r="AE25" s="22"/>
      <c r="AF25" s="22"/>
    </row>
    <row r="26" ht="13.5" hidden="1" customHeight="1">
      <c r="A26" s="116">
        <f t="shared" si="2"/>
        <v>1</v>
      </c>
      <c r="B26" s="118">
        <v>46243.0</v>
      </c>
      <c r="C26" s="119"/>
      <c r="D26" s="120" t="str">
        <f t="shared" si="3"/>
        <v>Renaldi</v>
      </c>
      <c r="E26" s="121">
        <f>SUMIFS(SSOD!$C:$C,SSOD!$B:$B,Hitungan!D26,SSOD!$A:$A,Hitungan!C26)</f>
        <v>0</v>
      </c>
      <c r="F26" s="122"/>
      <c r="G26" s="124">
        <f t="shared" si="5"/>
        <v>0</v>
      </c>
      <c r="H26" s="126" t="str">
        <f t="array" ref="H26">INDEX('Panduan Gaji'!$Q:$Q,MATCH(D26,'Panduan Gaji'!$C:$C,0))</f>
        <v>Joglo</v>
      </c>
      <c r="I26" s="128" t="s">
        <v>97</v>
      </c>
      <c r="J26" s="177"/>
      <c r="K26" s="177"/>
      <c r="L26" s="187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22"/>
      <c r="Y26" s="22"/>
      <c r="Z26" s="22"/>
      <c r="AA26" s="22"/>
      <c r="AB26" s="22"/>
      <c r="AC26" s="22"/>
      <c r="AD26" s="22"/>
      <c r="AE26" s="22"/>
      <c r="AF26" s="22"/>
    </row>
    <row r="27" ht="13.5" hidden="1" customHeight="1">
      <c r="A27" s="116">
        <f t="shared" si="2"/>
        <v>1</v>
      </c>
      <c r="B27" s="118">
        <v>46244.0</v>
      </c>
      <c r="C27" s="119"/>
      <c r="D27" s="120" t="str">
        <f t="shared" si="3"/>
        <v>Renaldi</v>
      </c>
      <c r="E27" s="121">
        <f>SUMIFS(SSOD!$C:$C,SSOD!$B:$B,Hitungan!D27,SSOD!$A:$A,Hitungan!C27)</f>
        <v>0</v>
      </c>
      <c r="F27" s="122"/>
      <c r="G27" s="124">
        <f t="shared" si="5"/>
        <v>0</v>
      </c>
      <c r="H27" s="126" t="str">
        <f t="array" ref="H27">INDEX('Panduan Gaji'!$Q:$Q,MATCH(D27,'Panduan Gaji'!$C:$C,0))</f>
        <v>Joglo</v>
      </c>
      <c r="I27" s="128" t="s">
        <v>97</v>
      </c>
      <c r="J27" s="129">
        <v>0.3326388888888889</v>
      </c>
      <c r="K27" s="189">
        <v>0.8333333333333334</v>
      </c>
      <c r="L27" s="145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22"/>
      <c r="Y27" s="22"/>
      <c r="Z27" s="22"/>
      <c r="AA27" s="22"/>
      <c r="AB27" s="22"/>
      <c r="AC27" s="22"/>
      <c r="AD27" s="22"/>
      <c r="AE27" s="22"/>
      <c r="AF27" s="22"/>
    </row>
    <row r="28" ht="13.5" hidden="1" customHeight="1">
      <c r="A28" s="116">
        <f t="shared" si="2"/>
        <v>1</v>
      </c>
      <c r="B28" s="118">
        <v>46245.0</v>
      </c>
      <c r="C28" s="119"/>
      <c r="D28" s="120" t="str">
        <f t="shared" si="3"/>
        <v>Renaldi</v>
      </c>
      <c r="E28" s="121">
        <f>SUMIFS(SSOD!$C:$C,SSOD!$B:$B,Hitungan!D28,SSOD!$A:$A,Hitungan!C28)</f>
        <v>0</v>
      </c>
      <c r="F28" s="122"/>
      <c r="G28" s="124">
        <f t="shared" si="5"/>
        <v>0</v>
      </c>
      <c r="H28" s="126" t="str">
        <f t="array" ref="H28">INDEX('Panduan Gaji'!$Q:$Q,MATCH(D28,'Panduan Gaji'!$C:$C,0))</f>
        <v>Joglo</v>
      </c>
      <c r="I28" s="128" t="s">
        <v>97</v>
      </c>
      <c r="J28" s="129">
        <v>0.3305555555555555</v>
      </c>
      <c r="K28" s="129">
        <v>0.8368055555555556</v>
      </c>
      <c r="L28" s="145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22"/>
      <c r="Y28" s="22"/>
      <c r="Z28" s="22"/>
      <c r="AA28" s="22"/>
      <c r="AB28" s="22"/>
      <c r="AC28" s="22"/>
      <c r="AD28" s="22"/>
      <c r="AE28" s="22"/>
      <c r="AF28" s="22"/>
    </row>
    <row r="29" ht="13.5" hidden="1" customHeight="1">
      <c r="A29" s="116">
        <f t="shared" si="2"/>
        <v>1</v>
      </c>
      <c r="B29" s="118">
        <v>46246.0</v>
      </c>
      <c r="C29" s="119"/>
      <c r="D29" s="120" t="str">
        <f t="shared" si="3"/>
        <v>Renaldi</v>
      </c>
      <c r="E29" s="121">
        <f>SUMIFS(SSOD!$C:$C,SSOD!$B:$B,Hitungan!D29,SSOD!$A:$A,Hitungan!C29)</f>
        <v>0</v>
      </c>
      <c r="F29" s="122"/>
      <c r="G29" s="124">
        <f t="shared" si="5"/>
        <v>0</v>
      </c>
      <c r="H29" s="126" t="str">
        <f t="array" ref="H29">INDEX('Panduan Gaji'!$Q:$Q,MATCH(D29,'Panduan Gaji'!$C:$C,0))</f>
        <v>Joglo</v>
      </c>
      <c r="I29" s="128" t="s">
        <v>97</v>
      </c>
      <c r="J29" s="129">
        <v>0.3333333333333333</v>
      </c>
      <c r="K29" s="129">
        <v>0.8451388888888889</v>
      </c>
      <c r="L29" s="145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22"/>
      <c r="Y29" s="22"/>
      <c r="Z29" s="22"/>
      <c r="AA29" s="22"/>
      <c r="AB29" s="22"/>
      <c r="AC29" s="22"/>
      <c r="AD29" s="22"/>
      <c r="AE29" s="22"/>
      <c r="AF29" s="22"/>
    </row>
    <row r="30" ht="13.5" hidden="1" customHeight="1">
      <c r="A30" s="116">
        <f t="shared" si="2"/>
        <v>1</v>
      </c>
      <c r="B30" s="118">
        <v>46247.0</v>
      </c>
      <c r="C30" s="119"/>
      <c r="D30" s="120" t="str">
        <f t="shared" si="3"/>
        <v>Renaldi</v>
      </c>
      <c r="E30" s="121">
        <f>SUMIFS(SSOD!$C:$C,SSOD!$B:$B,Hitungan!D30,SSOD!$A:$A,Hitungan!C30)</f>
        <v>0</v>
      </c>
      <c r="F30" s="122"/>
      <c r="G30" s="124">
        <f t="shared" si="5"/>
        <v>0</v>
      </c>
      <c r="H30" s="126" t="str">
        <f t="array" ref="H30">INDEX('Panduan Gaji'!$Q:$Q,MATCH(D30,'Panduan Gaji'!$C:$C,0))</f>
        <v>Joglo</v>
      </c>
      <c r="I30" s="128" t="s">
        <v>97</v>
      </c>
      <c r="J30" s="129">
        <v>0.3194444444444444</v>
      </c>
      <c r="K30" s="185">
        <v>0.8458333333333333</v>
      </c>
      <c r="L30" s="145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22"/>
      <c r="Y30" s="22"/>
      <c r="Z30" s="22"/>
      <c r="AA30" s="22"/>
      <c r="AB30" s="22"/>
      <c r="AC30" s="22"/>
      <c r="AD30" s="22"/>
      <c r="AE30" s="22"/>
      <c r="AF30" s="22"/>
    </row>
    <row r="31" ht="13.5" hidden="1" customHeight="1">
      <c r="A31" s="116">
        <f t="shared" si="2"/>
        <v>1</v>
      </c>
      <c r="B31" s="118">
        <v>46248.0</v>
      </c>
      <c r="C31" s="119"/>
      <c r="D31" s="120" t="str">
        <f t="shared" si="3"/>
        <v>Renaldi</v>
      </c>
      <c r="E31" s="121">
        <f>SUMIFS(SSOD!$C:$C,SSOD!$B:$B,Hitungan!D31,SSOD!$A:$A,Hitungan!C31)</f>
        <v>0</v>
      </c>
      <c r="F31" s="122"/>
      <c r="G31" s="124">
        <f t="shared" si="5"/>
        <v>0</v>
      </c>
      <c r="H31" s="126" t="str">
        <f t="array" ref="H31">INDEX('Panduan Gaji'!$Q:$Q,MATCH(D31,'Panduan Gaji'!$C:$C,0))</f>
        <v>Joglo</v>
      </c>
      <c r="I31" s="128" t="s">
        <v>97</v>
      </c>
      <c r="J31" s="129">
        <v>0.3340277777777778</v>
      </c>
      <c r="K31" s="137">
        <v>0.8694444444444445</v>
      </c>
      <c r="L31" s="145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22"/>
      <c r="Y31" s="22"/>
      <c r="Z31" s="22"/>
      <c r="AA31" s="22"/>
      <c r="AB31" s="22"/>
      <c r="AC31" s="22"/>
      <c r="AD31" s="22"/>
      <c r="AE31" s="22"/>
      <c r="AF31" s="22"/>
    </row>
    <row r="32" ht="13.5" hidden="1" customHeight="1">
      <c r="A32" s="116">
        <f t="shared" si="2"/>
        <v>1</v>
      </c>
      <c r="B32" s="118">
        <v>46249.0</v>
      </c>
      <c r="C32" s="119"/>
      <c r="D32" s="120" t="str">
        <f t="shared" si="3"/>
        <v>Renaldi</v>
      </c>
      <c r="E32" s="121">
        <f>SUMIFS(SSOD!$C:$C,SSOD!$B:$B,Hitungan!D32,SSOD!$A:$A,Hitungan!C32)</f>
        <v>0</v>
      </c>
      <c r="F32" s="122"/>
      <c r="G32" s="124">
        <f t="shared" si="5"/>
        <v>0</v>
      </c>
      <c r="H32" s="126" t="str">
        <f t="array" ref="H32">INDEX('Panduan Gaji'!$Q:$Q,MATCH(D32,'Panduan Gaji'!$C:$C,0))</f>
        <v>Joglo</v>
      </c>
      <c r="I32" s="128" t="s">
        <v>97</v>
      </c>
      <c r="J32" s="129">
        <v>0.3076388888888889</v>
      </c>
      <c r="K32" s="129">
        <v>0.8361111111111111</v>
      </c>
      <c r="L32" s="145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22"/>
      <c r="Y32" s="22"/>
      <c r="Z32" s="22"/>
      <c r="AA32" s="22"/>
      <c r="AB32" s="22"/>
      <c r="AC32" s="22"/>
      <c r="AD32" s="22"/>
      <c r="AE32" s="22"/>
      <c r="AF32" s="22"/>
    </row>
    <row r="33" ht="13.5" hidden="1" customHeight="1">
      <c r="A33" s="116">
        <f t="shared" si="2"/>
        <v>1</v>
      </c>
      <c r="B33" s="118">
        <v>46250.0</v>
      </c>
      <c r="C33" s="119"/>
      <c r="D33" s="120" t="str">
        <f t="shared" si="3"/>
        <v>Renaldi</v>
      </c>
      <c r="E33" s="121">
        <f>SUMIFS(SSOD!$C:$C,SSOD!$B:$B,Hitungan!D33,SSOD!$A:$A,Hitungan!C33)</f>
        <v>0</v>
      </c>
      <c r="F33" s="122"/>
      <c r="G33" s="124">
        <f t="shared" si="5"/>
        <v>0</v>
      </c>
      <c r="H33" s="126" t="str">
        <f t="array" ref="H33">INDEX('Panduan Gaji'!$Q:$Q,MATCH(D33,'Panduan Gaji'!$C:$C,0))</f>
        <v>Joglo</v>
      </c>
      <c r="I33" s="128" t="s">
        <v>97</v>
      </c>
      <c r="J33" s="129"/>
      <c r="K33" s="129"/>
      <c r="L33" s="119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22"/>
      <c r="Y33" s="22"/>
      <c r="Z33" s="22"/>
      <c r="AA33" s="22"/>
      <c r="AB33" s="22"/>
      <c r="AC33" s="22"/>
      <c r="AD33" s="22"/>
      <c r="AE33" s="22"/>
      <c r="AF33" s="22"/>
    </row>
    <row r="34" ht="13.5" hidden="1" customHeight="1">
      <c r="A34" s="116">
        <f t="shared" si="2"/>
        <v>1</v>
      </c>
      <c r="B34" s="118">
        <v>46251.0</v>
      </c>
      <c r="C34" s="119"/>
      <c r="D34" s="120" t="str">
        <f t="shared" si="3"/>
        <v>Renaldi</v>
      </c>
      <c r="E34" s="121">
        <f>SUMIFS(SSOD!$C:$C,SSOD!$B:$B,Hitungan!D34,SSOD!$A:$A,Hitungan!C34)</f>
        <v>0</v>
      </c>
      <c r="F34" s="122"/>
      <c r="G34" s="124">
        <f t="shared" si="5"/>
        <v>0</v>
      </c>
      <c r="H34" s="126" t="str">
        <f t="array" ref="H34">INDEX('Panduan Gaji'!$Q:$Q,MATCH(D34,'Panduan Gaji'!$C:$C,0))</f>
        <v>Joglo</v>
      </c>
      <c r="I34" s="128" t="s">
        <v>97</v>
      </c>
      <c r="J34" s="128"/>
      <c r="K34" s="128"/>
      <c r="L34" s="119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22"/>
      <c r="Y34" s="22"/>
      <c r="Z34" s="22"/>
      <c r="AA34" s="22"/>
      <c r="AB34" s="22"/>
      <c r="AC34" s="22"/>
      <c r="AD34" s="22"/>
      <c r="AE34" s="22"/>
      <c r="AF34" s="22"/>
    </row>
    <row r="35" ht="13.5" hidden="1" customHeight="1">
      <c r="A35" s="116">
        <f t="shared" si="2"/>
        <v>1</v>
      </c>
      <c r="B35" s="118">
        <v>46252.0</v>
      </c>
      <c r="C35" s="119"/>
      <c r="D35" s="120" t="str">
        <f t="shared" si="3"/>
        <v>Renaldi</v>
      </c>
      <c r="E35" s="121">
        <f>SUMIFS(SSOD!$C:$C,SSOD!$B:$B,Hitungan!D35,SSOD!$A:$A,Hitungan!C35)</f>
        <v>0</v>
      </c>
      <c r="F35" s="122"/>
      <c r="G35" s="124">
        <f t="shared" si="5"/>
        <v>0</v>
      </c>
      <c r="H35" s="126" t="str">
        <f t="array" ref="H35">INDEX('Panduan Gaji'!$Q:$Q,MATCH(D35,'Panduan Gaji'!$C:$C,0))</f>
        <v>Joglo</v>
      </c>
      <c r="I35" s="128" t="s">
        <v>97</v>
      </c>
      <c r="J35" s="129">
        <v>0.325</v>
      </c>
      <c r="K35" s="129">
        <v>0.8395833333333333</v>
      </c>
      <c r="L35" s="119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22"/>
      <c r="Y35" s="22"/>
      <c r="Z35" s="22"/>
      <c r="AA35" s="22"/>
      <c r="AB35" s="22"/>
      <c r="AC35" s="22"/>
      <c r="AD35" s="22"/>
      <c r="AE35" s="22"/>
      <c r="AF35" s="22"/>
    </row>
    <row r="36" ht="13.5" hidden="1" customHeight="1">
      <c r="A36" s="116">
        <f t="shared" si="2"/>
        <v>1</v>
      </c>
      <c r="B36" s="118">
        <v>46253.0</v>
      </c>
      <c r="C36" s="119"/>
      <c r="D36" s="120" t="str">
        <f t="shared" si="3"/>
        <v>Renaldi</v>
      </c>
      <c r="E36" s="121">
        <f>SUMIFS(SSOD!$C:$C,SSOD!$B:$B,Hitungan!D36,SSOD!$A:$A,Hitungan!C36)</f>
        <v>0</v>
      </c>
      <c r="F36" s="122"/>
      <c r="G36" s="124">
        <f t="shared" si="5"/>
        <v>0</v>
      </c>
      <c r="H36" s="126" t="str">
        <f t="array" ref="H36">INDEX('Panduan Gaji'!$Q:$Q,MATCH(D36,'Panduan Gaji'!$C:$C,0))</f>
        <v>Joglo</v>
      </c>
      <c r="I36" s="128" t="s">
        <v>97</v>
      </c>
      <c r="J36" s="129">
        <v>0.3354166666666666</v>
      </c>
      <c r="K36" s="129">
        <v>0.8451388888888889</v>
      </c>
      <c r="L36" s="145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22"/>
      <c r="Y36" s="22"/>
      <c r="Z36" s="22"/>
      <c r="AA36" s="22"/>
      <c r="AB36" s="22"/>
      <c r="AC36" s="22"/>
      <c r="AD36" s="22"/>
      <c r="AE36" s="22"/>
      <c r="AF36" s="22"/>
    </row>
    <row r="37" ht="13.5" hidden="1" customHeight="1">
      <c r="A37" s="116">
        <f t="shared" si="2"/>
        <v>1</v>
      </c>
      <c r="B37" s="118">
        <v>46254.0</v>
      </c>
      <c r="C37" s="119" t="s">
        <v>30</v>
      </c>
      <c r="D37" s="120" t="str">
        <f t="shared" si="3"/>
        <v>Renaldi</v>
      </c>
      <c r="E37" s="121">
        <f>SUMIFS(SSOD!$C:$C,SSOD!$B:$B,Hitungan!D37,SSOD!$A:$A,Hitungan!C37)</f>
        <v>19166.66667</v>
      </c>
      <c r="F37" s="122">
        <v>1.0</v>
      </c>
      <c r="G37" s="124">
        <f t="shared" si="5"/>
        <v>19166.66667</v>
      </c>
      <c r="H37" s="126" t="str">
        <f t="array" ref="H37">INDEX('Panduan Gaji'!$Q:$Q,MATCH(D37,'Panduan Gaji'!$C:$C,0))</f>
        <v>Joglo</v>
      </c>
      <c r="I37" s="128" t="s">
        <v>97</v>
      </c>
      <c r="J37" s="205">
        <v>0.3402777777777778</v>
      </c>
      <c r="K37" s="129">
        <v>0.8465277777777778</v>
      </c>
      <c r="L37" s="119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22"/>
      <c r="Y37" s="22"/>
      <c r="Z37" s="22"/>
      <c r="AA37" s="22"/>
      <c r="AB37" s="22"/>
      <c r="AC37" s="22"/>
      <c r="AD37" s="22"/>
      <c r="AE37" s="22"/>
      <c r="AF37" s="22"/>
    </row>
    <row r="38" ht="13.5" hidden="1" customHeight="1">
      <c r="A38" s="116">
        <f t="shared" si="2"/>
        <v>1</v>
      </c>
      <c r="B38" s="118">
        <v>46255.0</v>
      </c>
      <c r="C38" s="209" t="s">
        <v>12</v>
      </c>
      <c r="D38" s="120" t="str">
        <f t="shared" si="3"/>
        <v>Renaldi</v>
      </c>
      <c r="E38" s="121">
        <f>SUMIFS(SSOD!$C:$C,SSOD!$B:$B,Hitungan!D38,SSOD!$A:$A,Hitungan!C38)</f>
        <v>19166.66667</v>
      </c>
      <c r="F38" s="210">
        <v>1.0</v>
      </c>
      <c r="G38" s="124">
        <f t="shared" si="5"/>
        <v>19166.66667</v>
      </c>
      <c r="H38" s="126" t="str">
        <f t="array" ref="H38">INDEX('Panduan Gaji'!$Q:$Q,MATCH(D38,'Panduan Gaji'!$C:$C,0))</f>
        <v>Joglo</v>
      </c>
      <c r="I38" s="128" t="s">
        <v>97</v>
      </c>
      <c r="J38" s="129">
        <v>0.3236111111111111</v>
      </c>
      <c r="K38" s="129">
        <v>0.8784722222222222</v>
      </c>
      <c r="L38" s="119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22"/>
      <c r="Y38" s="22"/>
      <c r="Z38" s="22"/>
      <c r="AA38" s="22"/>
      <c r="AB38" s="22"/>
      <c r="AC38" s="22"/>
      <c r="AD38" s="22"/>
      <c r="AE38" s="22"/>
      <c r="AF38" s="22"/>
    </row>
    <row r="39" ht="13.5" hidden="1" customHeight="1">
      <c r="A39" s="116">
        <f t="shared" si="2"/>
        <v>1</v>
      </c>
      <c r="B39" s="118">
        <v>46256.0</v>
      </c>
      <c r="C39" s="119"/>
      <c r="D39" s="120" t="str">
        <f t="shared" si="3"/>
        <v>Renaldi</v>
      </c>
      <c r="E39" s="121">
        <f>SUMIFS(SSOD!$C:$C,SSOD!$B:$B,Hitungan!D39,SSOD!$A:$A,Hitungan!C39)</f>
        <v>0</v>
      </c>
      <c r="F39" s="122"/>
      <c r="G39" s="124">
        <f t="shared" si="5"/>
        <v>0</v>
      </c>
      <c r="H39" s="126" t="str">
        <f t="array" ref="H39">INDEX('Panduan Gaji'!$Q:$Q,MATCH(D39,'Panduan Gaji'!$C:$C,0))</f>
        <v>Joglo</v>
      </c>
      <c r="I39" s="128" t="s">
        <v>97</v>
      </c>
      <c r="J39" s="129">
        <v>0.3291666666666667</v>
      </c>
      <c r="K39" s="129">
        <v>0.84375</v>
      </c>
      <c r="L39" s="119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22"/>
      <c r="Y39" s="22"/>
      <c r="Z39" s="22"/>
      <c r="AA39" s="22"/>
      <c r="AB39" s="22"/>
      <c r="AC39" s="22"/>
      <c r="AD39" s="22"/>
      <c r="AE39" s="22"/>
      <c r="AF39" s="22"/>
    </row>
    <row r="40" ht="13.5" hidden="1" customHeight="1">
      <c r="A40" s="116">
        <f t="shared" si="2"/>
        <v>1</v>
      </c>
      <c r="B40" s="118">
        <v>46257.0</v>
      </c>
      <c r="C40" s="119"/>
      <c r="D40" s="120" t="str">
        <f t="shared" si="3"/>
        <v>Renaldi</v>
      </c>
      <c r="E40" s="121">
        <f>SUMIFS(SSOD!$C:$C,SSOD!$B:$B,Hitungan!D40,SSOD!$A:$A,Hitungan!C40)</f>
        <v>0</v>
      </c>
      <c r="F40" s="122"/>
      <c r="G40" s="124">
        <f t="shared" si="5"/>
        <v>0</v>
      </c>
      <c r="H40" s="126" t="str">
        <f t="array" ref="H40">INDEX('Panduan Gaji'!$Q:$Q,MATCH(D40,'Panduan Gaji'!$C:$C,0))</f>
        <v>Joglo</v>
      </c>
      <c r="I40" s="128" t="s">
        <v>97</v>
      </c>
      <c r="J40" s="129"/>
      <c r="K40" s="129"/>
      <c r="L40" s="119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22"/>
      <c r="Y40" s="22"/>
      <c r="Z40" s="22"/>
      <c r="AA40" s="22"/>
      <c r="AB40" s="22"/>
      <c r="AC40" s="22"/>
      <c r="AD40" s="22"/>
      <c r="AE40" s="22"/>
      <c r="AF40" s="22"/>
    </row>
    <row r="41" ht="15.75" hidden="1" customHeight="1">
      <c r="A41" s="116">
        <f t="shared" si="2"/>
        <v>1</v>
      </c>
      <c r="B41" s="118">
        <v>46258.0</v>
      </c>
      <c r="C41" s="119"/>
      <c r="D41" s="120" t="str">
        <f t="shared" si="3"/>
        <v>Renaldi</v>
      </c>
      <c r="E41" s="121">
        <f>SUMIFS(SSOD!$C:$C,SSOD!$B:$B,Hitungan!D41,SSOD!$A:$A,Hitungan!C41)</f>
        <v>0</v>
      </c>
      <c r="F41" s="122"/>
      <c r="G41" s="124">
        <f t="shared" si="5"/>
        <v>0</v>
      </c>
      <c r="H41" s="220" t="str">
        <f t="array" ref="H41">INDEX('Panduan Gaji'!$Q:$Q,MATCH(D41,'Panduan Gaji'!$C:$C,0))</f>
        <v>Joglo</v>
      </c>
      <c r="I41" s="128" t="s">
        <v>97</v>
      </c>
      <c r="J41" s="129">
        <v>0.3319444444444444</v>
      </c>
      <c r="K41" s="129"/>
      <c r="L41" s="119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 ht="15.75" hidden="1" customHeight="1">
      <c r="A42" s="222"/>
      <c r="B42" s="223"/>
      <c r="C42" s="224"/>
      <c r="D42" s="225"/>
      <c r="E42" s="226"/>
      <c r="F42" s="227"/>
      <c r="G42" s="228"/>
      <c r="H42" s="229"/>
      <c r="I42" s="22"/>
      <c r="J42" s="230"/>
      <c r="K42" s="230"/>
      <c r="L42" s="224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ht="15.75" hidden="1" customHeight="1">
      <c r="A43" s="222"/>
      <c r="B43" s="223"/>
      <c r="C43" s="224"/>
      <c r="D43" s="225"/>
      <c r="E43" s="226"/>
      <c r="F43" s="227"/>
      <c r="G43" s="228"/>
      <c r="H43" s="229"/>
      <c r="I43" s="22"/>
      <c r="J43" s="230"/>
      <c r="K43" s="230"/>
      <c r="L43" s="224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 ht="13.5" hidden="1" customHeight="1">
      <c r="A44" s="26">
        <v>2.0</v>
      </c>
      <c r="B44" s="28"/>
      <c r="C44" s="30" t="s">
        <v>6</v>
      </c>
      <c r="D44" s="33" t="s">
        <v>49</v>
      </c>
      <c r="E44" s="42">
        <f>SUMIFS(SSOD!$C:$C,SSOD!$B:$B,Hitungan!D44,SSOD!$A:$A,Hitungan!C44)</f>
        <v>1250000</v>
      </c>
      <c r="F44" s="44">
        <v>1.0</v>
      </c>
      <c r="G44" s="47">
        <f t="shared" ref="G44:G49" si="6">E44*F44</f>
        <v>1250000</v>
      </c>
      <c r="H44" s="51" t="str">
        <f t="array" ref="H44">INDEX('Panduan Gaji'!$Q:$Q,MATCH(D44,'Panduan Gaji'!$C:$C,0))</f>
        <v>Joglo</v>
      </c>
      <c r="I44" s="53"/>
      <c r="J44" s="54"/>
      <c r="K44" s="54"/>
      <c r="L44" s="55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22"/>
      <c r="Y44" s="22"/>
      <c r="Z44" s="22"/>
      <c r="AA44" s="22"/>
      <c r="AB44" s="22"/>
      <c r="AC44" s="22"/>
      <c r="AD44" s="22"/>
      <c r="AE44" s="22"/>
      <c r="AF44" s="22"/>
    </row>
    <row r="45" ht="13.5" hidden="1" customHeight="1">
      <c r="A45" s="26">
        <f t="shared" ref="A45:A83" si="7">A44</f>
        <v>2</v>
      </c>
      <c r="B45" s="28"/>
      <c r="C45" s="30" t="s">
        <v>17</v>
      </c>
      <c r="D45" s="33" t="str">
        <f t="shared" ref="D45:D83" si="8">D44</f>
        <v>Ano</v>
      </c>
      <c r="E45" s="42">
        <f>SUMIFS(SSOD!$C:$C,SSOD!$B:$B,Hitungan!D45,SSOD!$A:$A,Hitungan!C45)</f>
        <v>0</v>
      </c>
      <c r="F45" s="44"/>
      <c r="G45" s="47">
        <f t="shared" si="6"/>
        <v>0</v>
      </c>
      <c r="H45" s="51" t="str">
        <f t="array" ref="H45">INDEX('Panduan Gaji'!$Q:$Q,MATCH(D45,'Panduan Gaji'!$C:$C,0))</f>
        <v>Joglo</v>
      </c>
      <c r="I45" s="53"/>
      <c r="J45" s="54"/>
      <c r="K45" s="54"/>
      <c r="L45" s="55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22"/>
      <c r="Y45" s="22"/>
      <c r="Z45" s="22"/>
      <c r="AA45" s="22"/>
      <c r="AB45" s="22"/>
      <c r="AC45" s="22"/>
      <c r="AD45" s="22"/>
      <c r="AE45" s="22"/>
      <c r="AF45" s="22"/>
    </row>
    <row r="46" ht="13.5" hidden="1" customHeight="1">
      <c r="A46" s="26">
        <f t="shared" si="7"/>
        <v>2</v>
      </c>
      <c r="B46" s="28"/>
      <c r="C46" s="30" t="s">
        <v>7</v>
      </c>
      <c r="D46" s="33" t="str">
        <f t="shared" si="8"/>
        <v>Ano</v>
      </c>
      <c r="E46" s="42">
        <f>SUMIFS(SSOD!$C:$C,SSOD!$B:$B,Hitungan!D46,SSOD!$A:$A,Hitungan!C46)</f>
        <v>45000</v>
      </c>
      <c r="F46" s="44">
        <f>SUMPRODUCT(--((($J$53:$J$83&lt;&gt;"")+($K$53:$K$83&lt;&gt;""))&gt;0))</f>
        <v>17</v>
      </c>
      <c r="G46" s="47">
        <f t="shared" si="6"/>
        <v>765000</v>
      </c>
      <c r="H46" s="51" t="str">
        <f t="array" ref="H46">INDEX('Panduan Gaji'!$Q:$Q,MATCH(D46,'Panduan Gaji'!$C:$C,0))</f>
        <v>Joglo</v>
      </c>
      <c r="I46" s="53"/>
      <c r="J46" s="88"/>
      <c r="K46" s="88"/>
      <c r="L46" s="55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22"/>
      <c r="Y46" s="22"/>
      <c r="Z46" s="22"/>
      <c r="AA46" s="22"/>
      <c r="AB46" s="22"/>
      <c r="AC46" s="22"/>
      <c r="AD46" s="22"/>
      <c r="AE46" s="22"/>
      <c r="AF46" s="22"/>
    </row>
    <row r="47" ht="13.5" hidden="1" customHeight="1">
      <c r="A47" s="26">
        <f t="shared" si="7"/>
        <v>2</v>
      </c>
      <c r="B47" s="28"/>
      <c r="C47" s="30" t="s">
        <v>9</v>
      </c>
      <c r="D47" s="33" t="str">
        <f t="shared" si="8"/>
        <v>Ano</v>
      </c>
      <c r="E47" s="42">
        <f>SUMIFS(SSOD!$C:$C,SSOD!$B:$B,Hitungan!D47,SSOD!$A:$A,Hitungan!C47)</f>
        <v>55000</v>
      </c>
      <c r="F47" s="44">
        <f>SUMPRODUCT(--((($J$53:$J$83&lt;&gt;"")+($K$53:$K$83&lt;&gt;""))&gt;0))+1</f>
        <v>18</v>
      </c>
      <c r="G47" s="47">
        <f t="shared" si="6"/>
        <v>990000</v>
      </c>
      <c r="H47" s="51" t="str">
        <f t="array" ref="H47">INDEX('Panduan Gaji'!$Q:$Q,MATCH(D47,'Panduan Gaji'!$C:$C,0))</f>
        <v>Joglo</v>
      </c>
      <c r="I47" s="85" t="s">
        <v>72</v>
      </c>
      <c r="J47" s="88"/>
      <c r="K47" s="88"/>
      <c r="L47" s="9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22"/>
      <c r="Y47" s="22"/>
      <c r="Z47" s="22"/>
      <c r="AA47" s="22"/>
      <c r="AB47" s="22"/>
      <c r="AC47" s="22"/>
      <c r="AD47" s="22"/>
      <c r="AE47" s="22"/>
      <c r="AF47" s="22"/>
    </row>
    <row r="48" ht="15.75" hidden="1" customHeight="1">
      <c r="A48" s="26">
        <f t="shared" si="7"/>
        <v>2</v>
      </c>
      <c r="B48" s="28"/>
      <c r="C48" s="30" t="s">
        <v>12</v>
      </c>
      <c r="D48" s="33" t="str">
        <f t="shared" si="8"/>
        <v>Ano</v>
      </c>
      <c r="E48" s="42">
        <f>SUMIFS(SSOD!$C:$C,SSOD!$B:$B,Hitungan!D48,SSOD!$A:$A,Hitungan!C48)</f>
        <v>18333.33333</v>
      </c>
      <c r="F48" s="44">
        <f>SUMIF($C$53:$C$83,C48,$F$53:$F$83)</f>
        <v>0</v>
      </c>
      <c r="G48" s="47">
        <f t="shared" si="6"/>
        <v>0</v>
      </c>
      <c r="H48" s="51" t="str">
        <f t="array" ref="H48">INDEX('Panduan Gaji'!$Q:$Q,MATCH(D48,'Panduan Gaji'!$C:$C,0))</f>
        <v>Joglo</v>
      </c>
      <c r="I48" s="53"/>
      <c r="J48" s="88"/>
      <c r="K48" s="88"/>
      <c r="L48" s="100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22"/>
      <c r="Y48" s="22"/>
      <c r="Z48" s="22"/>
      <c r="AA48" s="22"/>
      <c r="AB48" s="22"/>
      <c r="AC48" s="22"/>
      <c r="AD48" s="22"/>
      <c r="AE48" s="22"/>
      <c r="AF48" s="22"/>
    </row>
    <row r="49" ht="15.75" hidden="1" customHeight="1">
      <c r="A49" s="26">
        <f t="shared" si="7"/>
        <v>2</v>
      </c>
      <c r="B49" s="28"/>
      <c r="C49" s="102" t="s">
        <v>30</v>
      </c>
      <c r="D49" s="33" t="str">
        <f t="shared" si="8"/>
        <v>Ano</v>
      </c>
      <c r="E49" s="42">
        <f>SUMIFS(SSOD!$C:$C,SSOD!$B:$B,Hitungan!D49,SSOD!$A:$A,Hitungan!C49)</f>
        <v>18333.33333</v>
      </c>
      <c r="F49" s="44">
        <f t="shared" ref="F49:F50" si="9">COUNTIF($C$53:$C$83,C49)</f>
        <v>1</v>
      </c>
      <c r="G49" s="47">
        <f t="shared" si="6"/>
        <v>18333.33333</v>
      </c>
      <c r="H49" s="51" t="str">
        <f t="array" ref="H49">INDEX('Panduan Gaji'!$Q:$Q,MATCH(D49,'Panduan Gaji'!$C:$C,0))</f>
        <v>Joglo</v>
      </c>
      <c r="I49" s="53"/>
      <c r="J49" s="105"/>
      <c r="K49" s="105"/>
      <c r="L49" s="10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22"/>
      <c r="Y49" s="22"/>
      <c r="Z49" s="22"/>
      <c r="AA49" s="22"/>
      <c r="AB49" s="22"/>
      <c r="AC49" s="22"/>
      <c r="AD49" s="22"/>
      <c r="AE49" s="22"/>
      <c r="AF49" s="22"/>
    </row>
    <row r="50" ht="15.75" hidden="1" customHeight="1">
      <c r="A50" s="26">
        <f t="shared" si="7"/>
        <v>2</v>
      </c>
      <c r="B50" s="28"/>
      <c r="C50" s="30" t="s">
        <v>33</v>
      </c>
      <c r="D50" s="33" t="str">
        <f t="shared" si="8"/>
        <v>Ano</v>
      </c>
      <c r="E50" s="42"/>
      <c r="F50" s="44">
        <f t="shared" si="9"/>
        <v>1</v>
      </c>
      <c r="G50" s="47">
        <f>SUMIF($C$53:$C$83,C50,$E$53:$E$83)</f>
        <v>15000</v>
      </c>
      <c r="H50" s="51" t="str">
        <f t="array" ref="H50">INDEX('Panduan Gaji'!$Q:$Q,MATCH(D50,'Panduan Gaji'!$C:$C,0))</f>
        <v>Joglo</v>
      </c>
      <c r="I50" s="53"/>
      <c r="J50" s="105"/>
      <c r="K50" s="105"/>
      <c r="L50" s="10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22"/>
      <c r="Y50" s="22"/>
      <c r="Z50" s="22"/>
      <c r="AA50" s="22"/>
      <c r="AB50" s="22"/>
      <c r="AC50" s="22"/>
      <c r="AD50" s="22"/>
      <c r="AE50" s="22"/>
      <c r="AF50" s="22"/>
    </row>
    <row r="51" ht="15.75" hidden="1" customHeight="1">
      <c r="A51" s="26">
        <f t="shared" si="7"/>
        <v>2</v>
      </c>
      <c r="B51" s="28"/>
      <c r="C51" s="30" t="s">
        <v>83</v>
      </c>
      <c r="D51" s="33" t="str">
        <f t="shared" si="8"/>
        <v>Ano</v>
      </c>
      <c r="E51" s="42"/>
      <c r="F51" s="44"/>
      <c r="G51" s="47">
        <f t="shared" ref="G51:G83" si="10">E51*F51</f>
        <v>0</v>
      </c>
      <c r="H51" s="51" t="str">
        <f t="array" ref="H51">INDEX('Panduan Gaji'!$Q:$Q,MATCH(D51,'Panduan Gaji'!$C:$C,0))</f>
        <v>Joglo</v>
      </c>
      <c r="I51" s="53"/>
      <c r="J51" s="105"/>
      <c r="K51" s="105"/>
      <c r="L51" s="10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22"/>
      <c r="Y51" s="22"/>
      <c r="Z51" s="22"/>
      <c r="AA51" s="22"/>
      <c r="AB51" s="22"/>
      <c r="AC51" s="22"/>
      <c r="AD51" s="22"/>
      <c r="AE51" s="22"/>
      <c r="AF51" s="22"/>
    </row>
    <row r="52" ht="15.75" hidden="1" customHeight="1">
      <c r="A52" s="26">
        <f t="shared" si="7"/>
        <v>2</v>
      </c>
      <c r="B52" s="28"/>
      <c r="C52" s="30" t="s">
        <v>85</v>
      </c>
      <c r="D52" s="33" t="str">
        <f t="shared" si="8"/>
        <v>Ano</v>
      </c>
      <c r="E52" s="42">
        <v>250000.0</v>
      </c>
      <c r="F52" s="44">
        <v>1.0</v>
      </c>
      <c r="G52" s="47">
        <f t="shared" si="10"/>
        <v>250000</v>
      </c>
      <c r="H52" s="51" t="str">
        <f t="array" ref="H52">INDEX('Panduan Gaji'!$Q:$Q,MATCH(D52,'Panduan Gaji'!$C:$C,0))</f>
        <v>Joglo</v>
      </c>
      <c r="I52" s="53"/>
      <c r="J52" s="105"/>
      <c r="K52" s="105"/>
      <c r="L52" s="10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22"/>
      <c r="Y52" s="22"/>
      <c r="Z52" s="22"/>
      <c r="AA52" s="22"/>
      <c r="AB52" s="22"/>
      <c r="AC52" s="22"/>
      <c r="AD52" s="22"/>
      <c r="AE52" s="22"/>
      <c r="AF52" s="22"/>
    </row>
    <row r="53" ht="13.5" hidden="1" customHeight="1">
      <c r="A53" s="116">
        <f t="shared" si="7"/>
        <v>2</v>
      </c>
      <c r="B53" s="118">
        <v>46228.0</v>
      </c>
      <c r="C53" s="119"/>
      <c r="D53" s="120" t="str">
        <f t="shared" si="8"/>
        <v>Ano</v>
      </c>
      <c r="E53" s="121">
        <f>SUMIFS(SSOD!$C:$C,SSOD!$B:$B,Hitungan!D53,SSOD!$A:$A,Hitungan!C53)</f>
        <v>0</v>
      </c>
      <c r="F53" s="122"/>
      <c r="G53" s="124">
        <f t="shared" si="10"/>
        <v>0</v>
      </c>
      <c r="H53" s="126" t="str">
        <f t="array" ref="H53">INDEX('Panduan Gaji'!$Q:$Q,MATCH(D53,'Panduan Gaji'!$C:$C,0))</f>
        <v>Joglo</v>
      </c>
      <c r="I53" s="128" t="s">
        <v>97</v>
      </c>
      <c r="J53" s="129">
        <v>0.3354166666666666</v>
      </c>
      <c r="K53" s="129">
        <v>0.625</v>
      </c>
      <c r="L53" s="130"/>
      <c r="M53" s="56"/>
      <c r="N53" s="56"/>
      <c r="O53" s="22"/>
      <c r="P53" s="56"/>
      <c r="Q53" s="56"/>
      <c r="R53" s="56"/>
      <c r="S53" s="56"/>
      <c r="T53" s="56"/>
      <c r="U53" s="56"/>
      <c r="V53" s="56"/>
      <c r="W53" s="56"/>
      <c r="X53" s="22"/>
      <c r="Y53" s="22"/>
      <c r="Z53" s="22"/>
      <c r="AA53" s="22"/>
      <c r="AB53" s="22"/>
      <c r="AC53" s="22"/>
      <c r="AD53" s="22"/>
      <c r="AE53" s="22"/>
      <c r="AF53" s="22"/>
    </row>
    <row r="54" ht="13.5" hidden="1" customHeight="1">
      <c r="A54" s="116">
        <f t="shared" si="7"/>
        <v>2</v>
      </c>
      <c r="B54" s="118">
        <v>46229.0</v>
      </c>
      <c r="C54" s="119"/>
      <c r="D54" s="120" t="str">
        <f t="shared" si="8"/>
        <v>Ano</v>
      </c>
      <c r="E54" s="121">
        <f>SUMIFS(SSOD!$C:$C,SSOD!$B:$B,Hitungan!D54,SSOD!$A:$A,Hitungan!C54)</f>
        <v>0</v>
      </c>
      <c r="F54" s="122"/>
      <c r="G54" s="124">
        <f t="shared" si="10"/>
        <v>0</v>
      </c>
      <c r="H54" s="126" t="str">
        <f t="array" ref="H54">INDEX('Panduan Gaji'!$Q:$Q,MATCH(D54,'Panduan Gaji'!$C:$C,0))</f>
        <v>Joglo</v>
      </c>
      <c r="I54" s="128" t="s">
        <v>97</v>
      </c>
      <c r="J54" s="129"/>
      <c r="K54" s="137"/>
      <c r="L54" s="138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22"/>
      <c r="Y54" s="22"/>
      <c r="Z54" s="22"/>
      <c r="AA54" s="22"/>
      <c r="AB54" s="22"/>
      <c r="AC54" s="22"/>
      <c r="AD54" s="22"/>
      <c r="AE54" s="22"/>
      <c r="AF54" s="22"/>
    </row>
    <row r="55" ht="13.5" hidden="1" customHeight="1">
      <c r="A55" s="116">
        <f t="shared" si="7"/>
        <v>2</v>
      </c>
      <c r="B55" s="118">
        <v>46230.0</v>
      </c>
      <c r="C55" s="119"/>
      <c r="D55" s="120" t="str">
        <f t="shared" si="8"/>
        <v>Ano</v>
      </c>
      <c r="E55" s="121">
        <f>SUMIFS(SSOD!$C:$C,SSOD!$B:$B,Hitungan!D55,SSOD!$A:$A,Hitungan!C55)</f>
        <v>0</v>
      </c>
      <c r="F55" s="122"/>
      <c r="G55" s="124">
        <f t="shared" si="10"/>
        <v>0</v>
      </c>
      <c r="H55" s="126" t="str">
        <f t="array" ref="H55">INDEX('Panduan Gaji'!$Q:$Q,MATCH(D55,'Panduan Gaji'!$C:$C,0))</f>
        <v>Joglo</v>
      </c>
      <c r="I55" s="128" t="s">
        <v>97</v>
      </c>
      <c r="J55" s="129"/>
      <c r="K55" s="129"/>
      <c r="L55" s="145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22"/>
      <c r="Y55" s="22"/>
      <c r="Z55" s="22"/>
      <c r="AA55" s="22"/>
      <c r="AB55" s="22"/>
      <c r="AC55" s="22"/>
      <c r="AD55" s="22"/>
      <c r="AE55" s="22"/>
      <c r="AF55" s="22"/>
    </row>
    <row r="56" ht="13.5" hidden="1" customHeight="1">
      <c r="A56" s="116">
        <f t="shared" si="7"/>
        <v>2</v>
      </c>
      <c r="B56" s="118">
        <v>46231.0</v>
      </c>
      <c r="C56" s="146"/>
      <c r="D56" s="120" t="str">
        <f t="shared" si="8"/>
        <v>Ano</v>
      </c>
      <c r="E56" s="147">
        <f>SUMIFS(SSOD!$C:$C,SSOD!$B:$B,Hitungan!D56,SSOD!$A:$A,Hitungan!C56)</f>
        <v>0</v>
      </c>
      <c r="F56" s="148"/>
      <c r="G56" s="124">
        <f t="shared" si="10"/>
        <v>0</v>
      </c>
      <c r="H56" s="126" t="str">
        <f t="array" ref="H56">INDEX('Panduan Gaji'!$Q:$Q,MATCH(D56,'Panduan Gaji'!$C:$C,0))</f>
        <v>Joglo</v>
      </c>
      <c r="I56" s="128" t="s">
        <v>97</v>
      </c>
      <c r="J56" s="129"/>
      <c r="K56" s="129"/>
      <c r="L56" s="153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22"/>
      <c r="Y56" s="22"/>
      <c r="Z56" s="22"/>
      <c r="AA56" s="22"/>
      <c r="AB56" s="22"/>
      <c r="AC56" s="22"/>
      <c r="AD56" s="22"/>
      <c r="AE56" s="22"/>
      <c r="AF56" s="22"/>
    </row>
    <row r="57" ht="13.5" hidden="1" customHeight="1">
      <c r="A57" s="116">
        <f t="shared" si="7"/>
        <v>2</v>
      </c>
      <c r="B57" s="118">
        <v>46232.0</v>
      </c>
      <c r="C57" s="119"/>
      <c r="D57" s="120" t="str">
        <f t="shared" si="8"/>
        <v>Ano</v>
      </c>
      <c r="E57" s="121">
        <f>SUMIFS(SSOD!$C:$C,SSOD!$B:$B,Hitungan!D57,SSOD!$A:$A,Hitungan!C57)</f>
        <v>0</v>
      </c>
      <c r="F57" s="122"/>
      <c r="G57" s="124">
        <f t="shared" si="10"/>
        <v>0</v>
      </c>
      <c r="H57" s="126" t="str">
        <f t="array" ref="H57">INDEX('Panduan Gaji'!$Q:$Q,MATCH(D57,'Panduan Gaji'!$C:$C,0))</f>
        <v>Joglo</v>
      </c>
      <c r="I57" s="128" t="s">
        <v>97</v>
      </c>
      <c r="J57" s="129">
        <v>0.3361111111111111</v>
      </c>
      <c r="K57" s="129">
        <v>0.8520833333333333</v>
      </c>
      <c r="L57" s="164"/>
      <c r="M57" s="16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22"/>
      <c r="Y57" s="22"/>
      <c r="Z57" s="22"/>
      <c r="AA57" s="22"/>
      <c r="AB57" s="22"/>
      <c r="AC57" s="22"/>
      <c r="AD57" s="22"/>
      <c r="AE57" s="22"/>
      <c r="AF57" s="22"/>
    </row>
    <row r="58" ht="13.5" hidden="1" customHeight="1">
      <c r="A58" s="116">
        <f t="shared" si="7"/>
        <v>2</v>
      </c>
      <c r="B58" s="118">
        <v>46233.0</v>
      </c>
      <c r="C58" s="119"/>
      <c r="D58" s="120" t="str">
        <f t="shared" si="8"/>
        <v>Ano</v>
      </c>
      <c r="E58" s="121">
        <f>SUMIFS(SSOD!$C:$C,SSOD!$B:$B,Hitungan!D58,SSOD!$A:$A,Hitungan!C58)</f>
        <v>0</v>
      </c>
      <c r="F58" s="122"/>
      <c r="G58" s="124">
        <f t="shared" si="10"/>
        <v>0</v>
      </c>
      <c r="H58" s="126" t="str">
        <f t="array" ref="H58">INDEX('Panduan Gaji'!$Q:$Q,MATCH(D58,'Panduan Gaji'!$C:$C,0))</f>
        <v>Joglo</v>
      </c>
      <c r="I58" s="128" t="s">
        <v>97</v>
      </c>
      <c r="J58" s="128"/>
      <c r="K58" s="129">
        <v>0.8416666666666667</v>
      </c>
      <c r="L58" s="130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22"/>
      <c r="Y58" s="22"/>
      <c r="Z58" s="22"/>
      <c r="AA58" s="22"/>
      <c r="AB58" s="22"/>
      <c r="AC58" s="22"/>
      <c r="AD58" s="22"/>
      <c r="AE58" s="22"/>
      <c r="AF58" s="22"/>
    </row>
    <row r="59" ht="13.5" hidden="1" customHeight="1">
      <c r="A59" s="116">
        <f t="shared" si="7"/>
        <v>2</v>
      </c>
      <c r="B59" s="118">
        <v>46234.0</v>
      </c>
      <c r="C59" s="119"/>
      <c r="D59" s="120" t="str">
        <f t="shared" si="8"/>
        <v>Ano</v>
      </c>
      <c r="E59" s="121">
        <f>SUMIFS(SSOD!$C:$C,SSOD!$B:$B,Hitungan!D59,SSOD!$A:$A,Hitungan!C59)</f>
        <v>0</v>
      </c>
      <c r="F59" s="122"/>
      <c r="G59" s="124">
        <f t="shared" si="10"/>
        <v>0</v>
      </c>
      <c r="H59" s="126" t="str">
        <f t="array" ref="H59">INDEX('Panduan Gaji'!$Q:$Q,MATCH(D59,'Panduan Gaji'!$C:$C,0))</f>
        <v>Joglo</v>
      </c>
      <c r="I59" s="128" t="s">
        <v>97</v>
      </c>
      <c r="J59" s="177">
        <v>0.3319444444444444</v>
      </c>
      <c r="K59" s="129">
        <v>0.8631944444444445</v>
      </c>
      <c r="L59" s="145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22"/>
      <c r="Y59" s="22"/>
      <c r="Z59" s="22"/>
      <c r="AA59" s="22"/>
      <c r="AB59" s="22"/>
      <c r="AC59" s="22"/>
      <c r="AD59" s="22"/>
      <c r="AE59" s="22"/>
      <c r="AF59" s="22"/>
    </row>
    <row r="60" ht="13.5" hidden="1" customHeight="1">
      <c r="A60" s="116">
        <f t="shared" si="7"/>
        <v>2</v>
      </c>
      <c r="B60" s="118">
        <v>46235.0</v>
      </c>
      <c r="C60" s="119"/>
      <c r="D60" s="120" t="str">
        <f t="shared" si="8"/>
        <v>Ano</v>
      </c>
      <c r="E60" s="121">
        <v>0.0</v>
      </c>
      <c r="F60" s="122"/>
      <c r="G60" s="124">
        <f t="shared" si="10"/>
        <v>0</v>
      </c>
      <c r="H60" s="126" t="str">
        <f t="array" ref="H60">INDEX('Panduan Gaji'!$Q:$Q,MATCH(D60,'Panduan Gaji'!$C:$C,0))</f>
        <v>Joglo</v>
      </c>
      <c r="I60" s="128" t="s">
        <v>97</v>
      </c>
      <c r="J60" s="177">
        <v>0.3333333333333333</v>
      </c>
      <c r="K60" s="129">
        <v>0.8388888888888889</v>
      </c>
      <c r="L60" s="145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22"/>
      <c r="Y60" s="22"/>
      <c r="Z60" s="22"/>
      <c r="AA60" s="22"/>
      <c r="AB60" s="22"/>
      <c r="AC60" s="22"/>
      <c r="AD60" s="22"/>
      <c r="AE60" s="22"/>
      <c r="AF60" s="22"/>
    </row>
    <row r="61" ht="13.5" hidden="1" customHeight="1">
      <c r="A61" s="116">
        <f t="shared" si="7"/>
        <v>2</v>
      </c>
      <c r="B61" s="118">
        <v>46236.0</v>
      </c>
      <c r="C61" s="119"/>
      <c r="D61" s="120" t="str">
        <f t="shared" si="8"/>
        <v>Ano</v>
      </c>
      <c r="E61" s="121">
        <f>SUMIFS(SSOD!$C:$C,SSOD!$B:$B,Hitungan!D61,SSOD!$A:$A,Hitungan!C61)</f>
        <v>0</v>
      </c>
      <c r="F61" s="122"/>
      <c r="G61" s="124">
        <f t="shared" si="10"/>
        <v>0</v>
      </c>
      <c r="H61" s="126" t="str">
        <f t="array" ref="H61">INDEX('Panduan Gaji'!$Q:$Q,MATCH(D61,'Panduan Gaji'!$C:$C,0))</f>
        <v>Joglo</v>
      </c>
      <c r="I61" s="128" t="s">
        <v>97</v>
      </c>
      <c r="J61" s="177"/>
      <c r="K61" s="129"/>
      <c r="L61" s="145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22"/>
      <c r="Y61" s="22"/>
      <c r="Z61" s="22"/>
      <c r="AA61" s="22"/>
      <c r="AB61" s="22"/>
      <c r="AC61" s="22"/>
      <c r="AD61" s="22"/>
      <c r="AE61" s="22"/>
      <c r="AF61" s="22"/>
    </row>
    <row r="62" ht="13.5" hidden="1" customHeight="1">
      <c r="A62" s="116">
        <f t="shared" si="7"/>
        <v>2</v>
      </c>
      <c r="B62" s="118">
        <v>46237.0</v>
      </c>
      <c r="C62" s="181" t="s">
        <v>33</v>
      </c>
      <c r="D62" s="120" t="str">
        <f t="shared" si="8"/>
        <v>Ano</v>
      </c>
      <c r="E62" s="121">
        <v>15000.0</v>
      </c>
      <c r="F62" s="182">
        <v>1.0</v>
      </c>
      <c r="G62" s="52">
        <f t="shared" si="10"/>
        <v>15000</v>
      </c>
      <c r="H62" s="126" t="str">
        <f t="array" ref="H62">INDEX('Panduan Gaji'!$Q:$Q,MATCH(D62,'Panduan Gaji'!$C:$C,0))</f>
        <v>Joglo</v>
      </c>
      <c r="I62" s="128" t="s">
        <v>97</v>
      </c>
      <c r="J62" s="177">
        <v>0.3347222222222222</v>
      </c>
      <c r="K62" s="129">
        <v>0.8548611111111111</v>
      </c>
      <c r="L62" s="119" t="s">
        <v>121</v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22"/>
      <c r="Y62" s="22"/>
      <c r="Z62" s="22"/>
      <c r="AA62" s="22"/>
      <c r="AB62" s="22"/>
      <c r="AC62" s="22"/>
      <c r="AD62" s="22"/>
      <c r="AE62" s="22"/>
      <c r="AF62" s="22"/>
    </row>
    <row r="63" ht="13.5" hidden="1" customHeight="1">
      <c r="A63" s="116">
        <f t="shared" si="7"/>
        <v>2</v>
      </c>
      <c r="B63" s="118">
        <v>46238.0</v>
      </c>
      <c r="C63" s="119"/>
      <c r="D63" s="120" t="str">
        <f t="shared" si="8"/>
        <v>Ano</v>
      </c>
      <c r="E63" s="121">
        <f>SUMIFS(SSOD!$C:$C,SSOD!$B:$B,Hitungan!D63,SSOD!$A:$A,Hitungan!C63)</f>
        <v>0</v>
      </c>
      <c r="F63" s="122"/>
      <c r="G63" s="124">
        <f t="shared" si="10"/>
        <v>0</v>
      </c>
      <c r="H63" s="126" t="str">
        <f t="array" ref="H63">INDEX('Panduan Gaji'!$Q:$Q,MATCH(D63,'Panduan Gaji'!$C:$C,0))</f>
        <v>Joglo</v>
      </c>
      <c r="I63" s="128" t="s">
        <v>97</v>
      </c>
      <c r="J63" s="177">
        <v>0.3354166666666666</v>
      </c>
      <c r="K63" s="129">
        <v>0.8340277777777778</v>
      </c>
      <c r="L63" s="145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22"/>
      <c r="Y63" s="22"/>
      <c r="Z63" s="22"/>
      <c r="AA63" s="22"/>
      <c r="AB63" s="22"/>
      <c r="AC63" s="22"/>
      <c r="AD63" s="22"/>
      <c r="AE63" s="22"/>
      <c r="AF63" s="22"/>
    </row>
    <row r="64" ht="13.5" hidden="1" customHeight="1">
      <c r="A64" s="116">
        <f t="shared" si="7"/>
        <v>2</v>
      </c>
      <c r="B64" s="118">
        <v>46239.0</v>
      </c>
      <c r="C64" s="119"/>
      <c r="D64" s="120" t="str">
        <f t="shared" si="8"/>
        <v>Ano</v>
      </c>
      <c r="E64" s="121">
        <f>SUMIFS(SSOD!$C:$C,SSOD!$B:$B,Hitungan!D64,SSOD!$A:$A,Hitungan!C64)</f>
        <v>0</v>
      </c>
      <c r="F64" s="122"/>
      <c r="G64" s="124">
        <f t="shared" si="10"/>
        <v>0</v>
      </c>
      <c r="H64" s="126" t="str">
        <f t="array" ref="H64">INDEX('Panduan Gaji'!$Q:$Q,MATCH(D64,'Panduan Gaji'!$C:$C,0))</f>
        <v>Joglo</v>
      </c>
      <c r="I64" s="128" t="s">
        <v>97</v>
      </c>
      <c r="J64" s="129"/>
      <c r="K64" s="129"/>
      <c r="L64" s="145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22"/>
      <c r="Y64" s="22"/>
      <c r="Z64" s="22"/>
      <c r="AA64" s="22"/>
      <c r="AB64" s="22"/>
      <c r="AC64" s="22"/>
      <c r="AD64" s="22"/>
      <c r="AE64" s="22"/>
      <c r="AF64" s="22"/>
    </row>
    <row r="65" ht="13.5" hidden="1" customHeight="1">
      <c r="A65" s="116">
        <f t="shared" si="7"/>
        <v>2</v>
      </c>
      <c r="B65" s="118">
        <v>46240.0</v>
      </c>
      <c r="C65" s="119"/>
      <c r="D65" s="120" t="str">
        <f t="shared" si="8"/>
        <v>Ano</v>
      </c>
      <c r="E65" s="121">
        <f>SUMIFS(SSOD!$C:$C,SSOD!$B:$B,Hitungan!D65,SSOD!$A:$A,Hitungan!C65)</f>
        <v>0</v>
      </c>
      <c r="F65" s="122"/>
      <c r="G65" s="124">
        <f t="shared" si="10"/>
        <v>0</v>
      </c>
      <c r="H65" s="126" t="str">
        <f t="array" ref="H65">INDEX('Panduan Gaji'!$Q:$Q,MATCH(D65,'Panduan Gaji'!$C:$C,0))</f>
        <v>Joglo</v>
      </c>
      <c r="I65" s="128" t="s">
        <v>97</v>
      </c>
      <c r="J65" s="129">
        <v>0.3354166666666666</v>
      </c>
      <c r="K65" s="185">
        <v>0.8340277777777778</v>
      </c>
      <c r="L65" s="119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22"/>
      <c r="Y65" s="22"/>
      <c r="Z65" s="22"/>
      <c r="AA65" s="22"/>
      <c r="AB65" s="22"/>
      <c r="AC65" s="22"/>
      <c r="AD65" s="22"/>
      <c r="AE65" s="22"/>
      <c r="AF65" s="22"/>
    </row>
    <row r="66" ht="13.5" hidden="1" customHeight="1">
      <c r="A66" s="116">
        <f t="shared" si="7"/>
        <v>2</v>
      </c>
      <c r="B66" s="118">
        <v>46241.0</v>
      </c>
      <c r="C66" s="119" t="s">
        <v>30</v>
      </c>
      <c r="D66" s="120" t="str">
        <f t="shared" si="8"/>
        <v>Ano</v>
      </c>
      <c r="E66" s="121">
        <f>SUMIFS(SSOD!$C:$C,SSOD!$B:$B,Hitungan!D66,SSOD!$A:$A,Hitungan!C66)</f>
        <v>18333.33333</v>
      </c>
      <c r="F66" s="122">
        <v>1.0</v>
      </c>
      <c r="G66" s="124">
        <f t="shared" si="10"/>
        <v>18333.33333</v>
      </c>
      <c r="H66" s="126" t="str">
        <f t="array" ref="H66">INDEX('Panduan Gaji'!$Q:$Q,MATCH(D66,'Panduan Gaji'!$C:$C,0))</f>
        <v>Joglo</v>
      </c>
      <c r="I66" s="128" t="s">
        <v>97</v>
      </c>
      <c r="J66" s="186">
        <v>0.3381944444444445</v>
      </c>
      <c r="K66" s="177">
        <v>0.7993055555555556</v>
      </c>
      <c r="L66" s="187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22"/>
      <c r="Y66" s="22"/>
      <c r="Z66" s="22"/>
      <c r="AA66" s="22"/>
      <c r="AB66" s="22"/>
      <c r="AC66" s="22"/>
      <c r="AD66" s="22"/>
      <c r="AE66" s="22"/>
      <c r="AF66" s="22"/>
    </row>
    <row r="67" ht="13.5" hidden="1" customHeight="1">
      <c r="A67" s="116">
        <f t="shared" si="7"/>
        <v>2</v>
      </c>
      <c r="B67" s="118">
        <v>46242.0</v>
      </c>
      <c r="C67" s="119"/>
      <c r="D67" s="120" t="str">
        <f t="shared" si="8"/>
        <v>Ano</v>
      </c>
      <c r="E67" s="121">
        <f>SUMIFS(SSOD!$C:$C,SSOD!$B:$B,Hitungan!D67,SSOD!$A:$A,Hitungan!C67)</f>
        <v>0</v>
      </c>
      <c r="F67" s="122"/>
      <c r="G67" s="124">
        <f t="shared" si="10"/>
        <v>0</v>
      </c>
      <c r="H67" s="126" t="str">
        <f t="array" ref="H67">INDEX('Panduan Gaji'!$Q:$Q,MATCH(D67,'Panduan Gaji'!$C:$C,0))</f>
        <v>Joglo</v>
      </c>
      <c r="I67" s="128" t="s">
        <v>97</v>
      </c>
      <c r="J67" s="177">
        <v>0.3361111111111111</v>
      </c>
      <c r="K67" s="177">
        <v>0.8347222222222223</v>
      </c>
      <c r="L67" s="187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22"/>
      <c r="Y67" s="22"/>
      <c r="Z67" s="22"/>
      <c r="AA67" s="22"/>
      <c r="AB67" s="22"/>
      <c r="AC67" s="22"/>
      <c r="AD67" s="22"/>
      <c r="AE67" s="22"/>
      <c r="AF67" s="22"/>
    </row>
    <row r="68" ht="13.5" hidden="1" customHeight="1">
      <c r="A68" s="116">
        <f t="shared" si="7"/>
        <v>2</v>
      </c>
      <c r="B68" s="118">
        <v>46243.0</v>
      </c>
      <c r="C68" s="119"/>
      <c r="D68" s="120" t="str">
        <f t="shared" si="8"/>
        <v>Ano</v>
      </c>
      <c r="E68" s="121">
        <f>SUMIFS(SSOD!$C:$C,SSOD!$B:$B,Hitungan!D68,SSOD!$A:$A,Hitungan!C68)</f>
        <v>0</v>
      </c>
      <c r="F68" s="122"/>
      <c r="G68" s="124">
        <f t="shared" si="10"/>
        <v>0</v>
      </c>
      <c r="H68" s="126" t="str">
        <f t="array" ref="H68">INDEX('Panduan Gaji'!$Q:$Q,MATCH(D68,'Panduan Gaji'!$C:$C,0))</f>
        <v>Joglo</v>
      </c>
      <c r="I68" s="128" t="s">
        <v>97</v>
      </c>
      <c r="J68" s="177"/>
      <c r="K68" s="177"/>
      <c r="L68" s="187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22"/>
      <c r="Y68" s="22"/>
      <c r="Z68" s="22"/>
      <c r="AA68" s="22"/>
      <c r="AB68" s="22"/>
      <c r="AC68" s="22"/>
      <c r="AD68" s="22"/>
      <c r="AE68" s="22"/>
      <c r="AF68" s="22"/>
    </row>
    <row r="69" ht="13.5" hidden="1" customHeight="1">
      <c r="A69" s="116">
        <f t="shared" si="7"/>
        <v>2</v>
      </c>
      <c r="B69" s="118">
        <v>46244.0</v>
      </c>
      <c r="C69" s="119"/>
      <c r="D69" s="120" t="str">
        <f t="shared" si="8"/>
        <v>Ano</v>
      </c>
      <c r="E69" s="121">
        <f>SUMIFS(SSOD!$C:$C,SSOD!$B:$B,Hitungan!D69,SSOD!$A:$A,Hitungan!C69)</f>
        <v>0</v>
      </c>
      <c r="F69" s="122"/>
      <c r="G69" s="124">
        <f t="shared" si="10"/>
        <v>0</v>
      </c>
      <c r="H69" s="126" t="str">
        <f t="array" ref="H69">INDEX('Panduan Gaji'!$Q:$Q,MATCH(D69,'Panduan Gaji'!$C:$C,0))</f>
        <v>Joglo</v>
      </c>
      <c r="I69" s="128" t="s">
        <v>97</v>
      </c>
      <c r="J69" s="129">
        <v>0.3340277777777778</v>
      </c>
      <c r="K69" s="129">
        <v>0.8486111111111111</v>
      </c>
      <c r="L69" s="145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22"/>
      <c r="Y69" s="22"/>
      <c r="Z69" s="22"/>
      <c r="AA69" s="22"/>
      <c r="AB69" s="22"/>
      <c r="AC69" s="22"/>
      <c r="AD69" s="22"/>
      <c r="AE69" s="22"/>
      <c r="AF69" s="22"/>
    </row>
    <row r="70" ht="13.5" hidden="1" customHeight="1">
      <c r="A70" s="116">
        <f t="shared" si="7"/>
        <v>2</v>
      </c>
      <c r="B70" s="118">
        <v>46245.0</v>
      </c>
      <c r="C70" s="119"/>
      <c r="D70" s="120" t="str">
        <f t="shared" si="8"/>
        <v>Ano</v>
      </c>
      <c r="E70" s="121">
        <f>SUMIFS(SSOD!$C:$C,SSOD!$B:$B,Hitungan!D70,SSOD!$A:$A,Hitungan!C70)</f>
        <v>0</v>
      </c>
      <c r="F70" s="122"/>
      <c r="G70" s="124">
        <f t="shared" si="10"/>
        <v>0</v>
      </c>
      <c r="H70" s="126" t="str">
        <f t="array" ref="H70">INDEX('Panduan Gaji'!$Q:$Q,MATCH(D70,'Panduan Gaji'!$C:$C,0))</f>
        <v>Joglo</v>
      </c>
      <c r="I70" s="128" t="s">
        <v>97</v>
      </c>
      <c r="J70" s="129"/>
      <c r="K70" s="129"/>
      <c r="L70" s="145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22"/>
      <c r="Y70" s="22"/>
      <c r="Z70" s="22"/>
      <c r="AA70" s="22"/>
      <c r="AB70" s="22"/>
      <c r="AC70" s="22"/>
      <c r="AD70" s="22"/>
      <c r="AE70" s="22"/>
      <c r="AF70" s="22"/>
    </row>
    <row r="71" ht="13.5" hidden="1" customHeight="1">
      <c r="A71" s="116">
        <f t="shared" si="7"/>
        <v>2</v>
      </c>
      <c r="B71" s="118">
        <v>46246.0</v>
      </c>
      <c r="C71" s="119"/>
      <c r="D71" s="120" t="str">
        <f t="shared" si="8"/>
        <v>Ano</v>
      </c>
      <c r="E71" s="121">
        <f>SUMIFS(SSOD!$C:$C,SSOD!$B:$B,Hitungan!D71,SSOD!$A:$A,Hitungan!C71)</f>
        <v>0</v>
      </c>
      <c r="F71" s="122"/>
      <c r="G71" s="124">
        <f t="shared" si="10"/>
        <v>0</v>
      </c>
      <c r="H71" s="126" t="str">
        <f t="array" ref="H71">INDEX('Panduan Gaji'!$Q:$Q,MATCH(D71,'Panduan Gaji'!$C:$C,0))</f>
        <v>Joglo</v>
      </c>
      <c r="I71" s="128" t="s">
        <v>97</v>
      </c>
      <c r="J71" s="129"/>
      <c r="K71" s="129"/>
      <c r="L71" s="145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22"/>
      <c r="Y71" s="22"/>
      <c r="Z71" s="22"/>
      <c r="AA71" s="22"/>
      <c r="AB71" s="22"/>
      <c r="AC71" s="22"/>
      <c r="AD71" s="22"/>
      <c r="AE71" s="22"/>
      <c r="AF71" s="22"/>
    </row>
    <row r="72" ht="13.5" hidden="1" customHeight="1">
      <c r="A72" s="116">
        <f t="shared" si="7"/>
        <v>2</v>
      </c>
      <c r="B72" s="118">
        <v>46247.0</v>
      </c>
      <c r="C72" s="119"/>
      <c r="D72" s="120" t="str">
        <f t="shared" si="8"/>
        <v>Ano</v>
      </c>
      <c r="E72" s="121">
        <f>SUMIFS(SSOD!$C:$C,SSOD!$B:$B,Hitungan!D72,SSOD!$A:$A,Hitungan!C72)</f>
        <v>0</v>
      </c>
      <c r="F72" s="122"/>
      <c r="G72" s="124">
        <f t="shared" si="10"/>
        <v>0</v>
      </c>
      <c r="H72" s="126" t="str">
        <f t="array" ref="H72">INDEX('Panduan Gaji'!$Q:$Q,MATCH(D72,'Panduan Gaji'!$C:$C,0))</f>
        <v>Joglo</v>
      </c>
      <c r="I72" s="128" t="s">
        <v>97</v>
      </c>
      <c r="J72" s="129">
        <v>0.3333333333333333</v>
      </c>
      <c r="K72" s="185">
        <v>0.8458333333333333</v>
      </c>
      <c r="L72" s="145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22"/>
      <c r="Y72" s="22"/>
      <c r="Z72" s="22"/>
      <c r="AA72" s="22"/>
      <c r="AB72" s="22"/>
      <c r="AC72" s="22"/>
      <c r="AD72" s="22"/>
      <c r="AE72" s="22"/>
      <c r="AF72" s="22"/>
    </row>
    <row r="73" ht="13.5" hidden="1" customHeight="1">
      <c r="A73" s="116">
        <f t="shared" si="7"/>
        <v>2</v>
      </c>
      <c r="B73" s="118">
        <v>46248.0</v>
      </c>
      <c r="C73" s="119"/>
      <c r="D73" s="120" t="str">
        <f t="shared" si="8"/>
        <v>Ano</v>
      </c>
      <c r="E73" s="121">
        <f>SUMIFS(SSOD!$C:$C,SSOD!$B:$B,Hitungan!D73,SSOD!$A:$A,Hitungan!C73)</f>
        <v>0</v>
      </c>
      <c r="F73" s="122"/>
      <c r="G73" s="124">
        <f t="shared" si="10"/>
        <v>0</v>
      </c>
      <c r="H73" s="126" t="str">
        <f t="array" ref="H73">INDEX('Panduan Gaji'!$Q:$Q,MATCH(D73,'Panduan Gaji'!$C:$C,0))</f>
        <v>Joglo</v>
      </c>
      <c r="I73" s="128" t="s">
        <v>97</v>
      </c>
      <c r="J73" s="129"/>
      <c r="K73" s="137"/>
      <c r="L73" s="145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22"/>
      <c r="Y73" s="22"/>
      <c r="Z73" s="22"/>
      <c r="AA73" s="22"/>
      <c r="AB73" s="22"/>
      <c r="AC73" s="22"/>
      <c r="AD73" s="22"/>
      <c r="AE73" s="22"/>
      <c r="AF73" s="22"/>
    </row>
    <row r="74" ht="13.5" hidden="1" customHeight="1">
      <c r="A74" s="116">
        <f t="shared" si="7"/>
        <v>2</v>
      </c>
      <c r="B74" s="118">
        <v>46249.0</v>
      </c>
      <c r="C74" s="119"/>
      <c r="D74" s="120" t="str">
        <f t="shared" si="8"/>
        <v>Ano</v>
      </c>
      <c r="E74" s="121">
        <f>SUMIFS(SSOD!$C:$C,SSOD!$B:$B,Hitungan!D74,SSOD!$A:$A,Hitungan!C74)</f>
        <v>0</v>
      </c>
      <c r="F74" s="122"/>
      <c r="G74" s="124">
        <f t="shared" si="10"/>
        <v>0</v>
      </c>
      <c r="H74" s="126" t="str">
        <f t="array" ref="H74">INDEX('Panduan Gaji'!$Q:$Q,MATCH(D74,'Panduan Gaji'!$C:$C,0))</f>
        <v>Joglo</v>
      </c>
      <c r="I74" s="128" t="s">
        <v>97</v>
      </c>
      <c r="J74" s="129"/>
      <c r="K74" s="129"/>
      <c r="L74" s="14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22"/>
      <c r="Y74" s="22"/>
      <c r="Z74" s="22"/>
      <c r="AA74" s="22"/>
      <c r="AB74" s="22"/>
      <c r="AC74" s="22"/>
      <c r="AD74" s="22"/>
      <c r="AE74" s="22"/>
      <c r="AF74" s="22"/>
    </row>
    <row r="75" ht="13.5" hidden="1" customHeight="1">
      <c r="A75" s="116">
        <f t="shared" si="7"/>
        <v>2</v>
      </c>
      <c r="B75" s="118">
        <v>46250.0</v>
      </c>
      <c r="C75" s="119"/>
      <c r="D75" s="120" t="str">
        <f t="shared" si="8"/>
        <v>Ano</v>
      </c>
      <c r="E75" s="121">
        <f>SUMIFS(SSOD!$C:$C,SSOD!$B:$B,Hitungan!D75,SSOD!$A:$A,Hitungan!C75)</f>
        <v>0</v>
      </c>
      <c r="F75" s="122"/>
      <c r="G75" s="124">
        <f t="shared" si="10"/>
        <v>0</v>
      </c>
      <c r="H75" s="126" t="str">
        <f t="array" ref="H75">INDEX('Panduan Gaji'!$Q:$Q,MATCH(D75,'Panduan Gaji'!$C:$C,0))</f>
        <v>Joglo</v>
      </c>
      <c r="I75" s="128" t="s">
        <v>97</v>
      </c>
      <c r="J75" s="129"/>
      <c r="K75" s="129"/>
      <c r="L75" s="119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22"/>
      <c r="Y75" s="22"/>
      <c r="Z75" s="22"/>
      <c r="AA75" s="22"/>
      <c r="AB75" s="22"/>
      <c r="AC75" s="22"/>
      <c r="AD75" s="22"/>
      <c r="AE75" s="22"/>
      <c r="AF75" s="22"/>
    </row>
    <row r="76" ht="13.5" hidden="1" customHeight="1">
      <c r="A76" s="116">
        <f t="shared" si="7"/>
        <v>2</v>
      </c>
      <c r="B76" s="118">
        <v>46251.0</v>
      </c>
      <c r="C76" s="119"/>
      <c r="D76" s="120" t="str">
        <f t="shared" si="8"/>
        <v>Ano</v>
      </c>
      <c r="E76" s="121">
        <f>SUMIFS(SSOD!$C:$C,SSOD!$B:$B,Hitungan!D76,SSOD!$A:$A,Hitungan!C76)</f>
        <v>0</v>
      </c>
      <c r="F76" s="122"/>
      <c r="G76" s="124">
        <f t="shared" si="10"/>
        <v>0</v>
      </c>
      <c r="H76" s="126" t="str">
        <f t="array" ref="H76">INDEX('Panduan Gaji'!$Q:$Q,MATCH(D76,'Panduan Gaji'!$C:$C,0))</f>
        <v>Joglo</v>
      </c>
      <c r="I76" s="128" t="s">
        <v>97</v>
      </c>
      <c r="J76" s="128"/>
      <c r="K76" s="128"/>
      <c r="L76" s="119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22"/>
      <c r="Y76" s="22"/>
      <c r="Z76" s="22"/>
      <c r="AA76" s="22"/>
      <c r="AB76" s="22"/>
      <c r="AC76" s="22"/>
      <c r="AD76" s="22"/>
      <c r="AE76" s="22"/>
      <c r="AF76" s="22"/>
    </row>
    <row r="77" ht="13.5" hidden="1" customHeight="1">
      <c r="A77" s="116">
        <f t="shared" si="7"/>
        <v>2</v>
      </c>
      <c r="B77" s="118">
        <v>46252.0</v>
      </c>
      <c r="C77" s="119"/>
      <c r="D77" s="120" t="str">
        <f t="shared" si="8"/>
        <v>Ano</v>
      </c>
      <c r="E77" s="121">
        <f>SUMIFS(SSOD!$C:$C,SSOD!$B:$B,Hitungan!D77,SSOD!$A:$A,Hitungan!C77)</f>
        <v>0</v>
      </c>
      <c r="F77" s="122"/>
      <c r="G77" s="124">
        <f t="shared" si="10"/>
        <v>0</v>
      </c>
      <c r="H77" s="126" t="str">
        <f t="array" ref="H77">INDEX('Panduan Gaji'!$Q:$Q,MATCH(D77,'Panduan Gaji'!$C:$C,0))</f>
        <v>Joglo</v>
      </c>
      <c r="I77" s="128" t="s">
        <v>97</v>
      </c>
      <c r="J77" s="129">
        <v>0.3326388888888889</v>
      </c>
      <c r="K77" s="129">
        <v>0.8381944444444445</v>
      </c>
      <c r="L77" s="119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22"/>
      <c r="Y77" s="22"/>
      <c r="Z77" s="22"/>
      <c r="AA77" s="22"/>
      <c r="AB77" s="22"/>
      <c r="AC77" s="22"/>
      <c r="AD77" s="22"/>
      <c r="AE77" s="22"/>
      <c r="AF77" s="22"/>
    </row>
    <row r="78" ht="13.5" hidden="1" customHeight="1">
      <c r="A78" s="116">
        <f t="shared" si="7"/>
        <v>2</v>
      </c>
      <c r="B78" s="118">
        <v>46253.0</v>
      </c>
      <c r="C78" s="119"/>
      <c r="D78" s="120" t="str">
        <f t="shared" si="8"/>
        <v>Ano</v>
      </c>
      <c r="E78" s="121">
        <f>SUMIFS(SSOD!$C:$C,SSOD!$B:$B,Hitungan!D78,SSOD!$A:$A,Hitungan!C78)</f>
        <v>0</v>
      </c>
      <c r="F78" s="122"/>
      <c r="G78" s="124">
        <f t="shared" si="10"/>
        <v>0</v>
      </c>
      <c r="H78" s="126" t="str">
        <f t="array" ref="H78">INDEX('Panduan Gaji'!$Q:$Q,MATCH(D78,'Panduan Gaji'!$C:$C,0))</f>
        <v>Joglo</v>
      </c>
      <c r="I78" s="128" t="s">
        <v>97</v>
      </c>
      <c r="J78" s="129">
        <v>0.3340277777777778</v>
      </c>
      <c r="K78" s="129">
        <v>0.8409722222222222</v>
      </c>
      <c r="L78" s="145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22"/>
      <c r="Y78" s="22"/>
      <c r="Z78" s="22"/>
      <c r="AA78" s="22"/>
      <c r="AB78" s="22"/>
      <c r="AC78" s="22"/>
      <c r="AD78" s="22"/>
      <c r="AE78" s="22"/>
      <c r="AF78" s="22"/>
    </row>
    <row r="79" ht="13.5" hidden="1" customHeight="1">
      <c r="A79" s="116">
        <f t="shared" si="7"/>
        <v>2</v>
      </c>
      <c r="B79" s="118">
        <v>46254.0</v>
      </c>
      <c r="C79" s="119"/>
      <c r="D79" s="120" t="str">
        <f t="shared" si="8"/>
        <v>Ano</v>
      </c>
      <c r="E79" s="121">
        <f>SUMIFS(SSOD!$C:$C,SSOD!$B:$B,Hitungan!D79,SSOD!$A:$A,Hitungan!C79)</f>
        <v>0</v>
      </c>
      <c r="F79" s="122"/>
      <c r="G79" s="124">
        <f t="shared" si="10"/>
        <v>0</v>
      </c>
      <c r="H79" s="126" t="str">
        <f t="array" ref="H79">INDEX('Panduan Gaji'!$Q:$Q,MATCH(D79,'Panduan Gaji'!$C:$C,0))</f>
        <v>Joglo</v>
      </c>
      <c r="I79" s="128" t="s">
        <v>97</v>
      </c>
      <c r="J79" s="129"/>
      <c r="K79" s="129"/>
      <c r="L79" s="119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22"/>
      <c r="Y79" s="22"/>
      <c r="Z79" s="22"/>
      <c r="AA79" s="22"/>
      <c r="AB79" s="22"/>
      <c r="AC79" s="22"/>
      <c r="AD79" s="22"/>
      <c r="AE79" s="22"/>
      <c r="AF79" s="22"/>
    </row>
    <row r="80" ht="13.5" hidden="1" customHeight="1">
      <c r="A80" s="116">
        <f t="shared" si="7"/>
        <v>2</v>
      </c>
      <c r="B80" s="118">
        <v>46255.0</v>
      </c>
      <c r="C80" s="119"/>
      <c r="D80" s="120" t="str">
        <f t="shared" si="8"/>
        <v>Ano</v>
      </c>
      <c r="E80" s="121">
        <f>SUMIFS(SSOD!$C:$C,SSOD!$B:$B,Hitungan!D80,SSOD!$A:$A,Hitungan!C80)</f>
        <v>0</v>
      </c>
      <c r="F80" s="122"/>
      <c r="G80" s="124">
        <f t="shared" si="10"/>
        <v>0</v>
      </c>
      <c r="H80" s="126" t="str">
        <f t="array" ref="H80">INDEX('Panduan Gaji'!$Q:$Q,MATCH(D80,'Panduan Gaji'!$C:$C,0))</f>
        <v>Joglo</v>
      </c>
      <c r="I80" s="128" t="s">
        <v>97</v>
      </c>
      <c r="J80" s="129">
        <v>0.3319444444444444</v>
      </c>
      <c r="K80" s="129">
        <v>0.8402777777777778</v>
      </c>
      <c r="L80" s="119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22"/>
      <c r="Y80" s="22"/>
      <c r="Z80" s="22"/>
      <c r="AA80" s="22"/>
      <c r="AB80" s="22"/>
      <c r="AC80" s="22"/>
      <c r="AD80" s="22"/>
      <c r="AE80" s="22"/>
      <c r="AF80" s="22"/>
    </row>
    <row r="81" ht="13.5" hidden="1" customHeight="1">
      <c r="A81" s="116">
        <f t="shared" si="7"/>
        <v>2</v>
      </c>
      <c r="B81" s="118">
        <v>46256.0</v>
      </c>
      <c r="C81" s="119"/>
      <c r="D81" s="120" t="str">
        <f t="shared" si="8"/>
        <v>Ano</v>
      </c>
      <c r="E81" s="121">
        <f>SUMIFS(SSOD!$C:$C,SSOD!$B:$B,Hitungan!D81,SSOD!$A:$A,Hitungan!C81)</f>
        <v>0</v>
      </c>
      <c r="F81" s="122"/>
      <c r="G81" s="124">
        <f t="shared" si="10"/>
        <v>0</v>
      </c>
      <c r="H81" s="126" t="str">
        <f t="array" ref="H81">INDEX('Panduan Gaji'!$Q:$Q,MATCH(D81,'Panduan Gaji'!$C:$C,0))</f>
        <v>Joglo</v>
      </c>
      <c r="I81" s="128" t="s">
        <v>97</v>
      </c>
      <c r="J81" s="129">
        <v>0.3340277777777778</v>
      </c>
      <c r="K81" s="129">
        <v>0.84375</v>
      </c>
      <c r="L81" s="119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22"/>
      <c r="Y81" s="22"/>
      <c r="Z81" s="22"/>
      <c r="AA81" s="22"/>
      <c r="AB81" s="22"/>
      <c r="AC81" s="22"/>
      <c r="AD81" s="22"/>
      <c r="AE81" s="22"/>
      <c r="AF81" s="22"/>
    </row>
    <row r="82" ht="13.5" hidden="1" customHeight="1">
      <c r="A82" s="116">
        <f t="shared" si="7"/>
        <v>2</v>
      </c>
      <c r="B82" s="118">
        <v>46257.0</v>
      </c>
      <c r="C82" s="119"/>
      <c r="D82" s="120" t="str">
        <f t="shared" si="8"/>
        <v>Ano</v>
      </c>
      <c r="E82" s="121">
        <f>SUMIFS(SSOD!$C:$C,SSOD!$B:$B,Hitungan!D82,SSOD!$A:$A,Hitungan!C82)</f>
        <v>0</v>
      </c>
      <c r="F82" s="122"/>
      <c r="G82" s="124">
        <f t="shared" si="10"/>
        <v>0</v>
      </c>
      <c r="H82" s="126" t="str">
        <f t="array" ref="H82">INDEX('Panduan Gaji'!$Q:$Q,MATCH(D82,'Panduan Gaji'!$C:$C,0))</f>
        <v>Joglo</v>
      </c>
      <c r="I82" s="128" t="s">
        <v>97</v>
      </c>
      <c r="J82" s="129"/>
      <c r="K82" s="129"/>
      <c r="L82" s="119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22"/>
      <c r="Y82" s="22"/>
      <c r="Z82" s="22"/>
      <c r="AA82" s="22"/>
      <c r="AB82" s="22"/>
      <c r="AC82" s="22"/>
      <c r="AD82" s="22"/>
      <c r="AE82" s="22"/>
      <c r="AF82" s="22"/>
    </row>
    <row r="83" ht="15.75" hidden="1" customHeight="1">
      <c r="A83" s="116">
        <f t="shared" si="7"/>
        <v>2</v>
      </c>
      <c r="B83" s="118">
        <v>46258.0</v>
      </c>
      <c r="C83" s="119"/>
      <c r="D83" s="120" t="str">
        <f t="shared" si="8"/>
        <v>Ano</v>
      </c>
      <c r="E83" s="121">
        <f>SUMIFS(SSOD!$C:$C,SSOD!$B:$B,Hitungan!D83,SSOD!$A:$A,Hitungan!C83)</f>
        <v>0</v>
      </c>
      <c r="F83" s="122"/>
      <c r="G83" s="124">
        <f t="shared" si="10"/>
        <v>0</v>
      </c>
      <c r="H83" s="220" t="str">
        <f t="array" ref="H83">INDEX('Panduan Gaji'!$Q:$Q,MATCH(D83,'Panduan Gaji'!$C:$C,0))</f>
        <v>Joglo</v>
      </c>
      <c r="I83" s="128" t="s">
        <v>97</v>
      </c>
      <c r="J83" s="129">
        <v>0.3354166666666666</v>
      </c>
      <c r="K83" s="129"/>
      <c r="L83" s="119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 ht="15.75" hidden="1" customHeight="1">
      <c r="A84" s="222"/>
      <c r="B84" s="223"/>
      <c r="C84" s="224"/>
      <c r="D84" s="225"/>
      <c r="E84" s="226"/>
      <c r="F84" s="227"/>
      <c r="G84" s="228"/>
      <c r="H84" s="229"/>
      <c r="I84" s="22"/>
      <c r="J84" s="230"/>
      <c r="K84" s="230"/>
      <c r="L84" s="224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 ht="15.75" hidden="1" customHeight="1">
      <c r="A85" s="222"/>
      <c r="B85" s="223"/>
      <c r="C85" s="224"/>
      <c r="D85" s="225"/>
      <c r="E85" s="226"/>
      <c r="F85" s="227"/>
      <c r="G85" s="228"/>
      <c r="H85" s="229"/>
      <c r="I85" s="22"/>
      <c r="J85" s="230"/>
      <c r="K85" s="230"/>
      <c r="L85" s="224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ht="13.5" hidden="1" customHeight="1">
      <c r="A86" s="26">
        <v>3.0</v>
      </c>
      <c r="B86" s="28"/>
      <c r="C86" s="30" t="s">
        <v>6</v>
      </c>
      <c r="D86" s="33" t="s">
        <v>50</v>
      </c>
      <c r="E86" s="42">
        <v>1250000.0</v>
      </c>
      <c r="F86" s="44">
        <v>1.0</v>
      </c>
      <c r="G86" s="47">
        <f t="shared" ref="G86:G87" si="11">E86*F86</f>
        <v>1250000</v>
      </c>
      <c r="H86" s="51" t="str">
        <f t="array" ref="H86">INDEX('Panduan Gaji'!$Q:$Q,MATCH(D86,'Panduan Gaji'!$C:$C,0))</f>
        <v>Joglo</v>
      </c>
      <c r="I86" s="53"/>
      <c r="J86" s="54"/>
      <c r="K86" s="54"/>
      <c r="L86" s="55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22"/>
      <c r="Y86" s="22"/>
      <c r="Z86" s="22"/>
      <c r="AA86" s="22"/>
      <c r="AB86" s="22"/>
      <c r="AC86" s="22"/>
      <c r="AD86" s="22"/>
      <c r="AE86" s="22"/>
      <c r="AF86" s="22"/>
    </row>
    <row r="87" ht="13.5" hidden="1" customHeight="1">
      <c r="A87" s="26">
        <f>A86</f>
        <v>3</v>
      </c>
      <c r="B87" s="28"/>
      <c r="C87" s="30" t="s">
        <v>17</v>
      </c>
      <c r="D87" s="33" t="str">
        <f t="shared" ref="D87:D88" si="12">D86</f>
        <v>Raihan</v>
      </c>
      <c r="E87" s="42">
        <f>SUMIFS(SSOD!$C:$C,SSOD!$B:$B,Hitungan!D87,SSOD!$A:$A,Hitungan!C87)</f>
        <v>0</v>
      </c>
      <c r="F87" s="44"/>
      <c r="G87" s="47">
        <f t="shared" si="11"/>
        <v>0</v>
      </c>
      <c r="H87" s="51" t="str">
        <f t="array" ref="H87">INDEX('Panduan Gaji'!$Q:$Q,MATCH(D87,'Panduan Gaji'!$C:$C,0))</f>
        <v>Joglo</v>
      </c>
      <c r="I87" s="53"/>
      <c r="J87" s="54"/>
      <c r="K87" s="54"/>
      <c r="L87" s="55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22"/>
      <c r="Y87" s="22"/>
      <c r="Z87" s="22"/>
      <c r="AA87" s="22"/>
      <c r="AB87" s="22"/>
      <c r="AC87" s="22"/>
      <c r="AD87" s="22"/>
      <c r="AE87" s="22"/>
      <c r="AF87" s="22"/>
    </row>
    <row r="88" ht="13.5" hidden="1" customHeight="1">
      <c r="A88" s="26"/>
      <c r="B88" s="28"/>
      <c r="C88" s="30" t="s">
        <v>128</v>
      </c>
      <c r="D88" s="33" t="str">
        <f t="shared" si="12"/>
        <v>Raihan</v>
      </c>
      <c r="E88" s="42">
        <f>E89-(E89*15%)</f>
        <v>38250</v>
      </c>
      <c r="F88" s="44"/>
      <c r="G88" s="47"/>
      <c r="H88" s="51"/>
      <c r="I88" s="53"/>
      <c r="J88" s="105"/>
      <c r="K88" s="105"/>
      <c r="L88" s="55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22"/>
      <c r="Y88" s="22"/>
      <c r="Z88" s="22"/>
      <c r="AA88" s="22"/>
      <c r="AB88" s="22"/>
      <c r="AC88" s="22"/>
      <c r="AD88" s="22"/>
      <c r="AE88" s="22"/>
      <c r="AF88" s="22"/>
    </row>
    <row r="89" ht="13.5" hidden="1" customHeight="1">
      <c r="A89" s="26">
        <f>A87</f>
        <v>3</v>
      </c>
      <c r="B89" s="28"/>
      <c r="C89" s="30" t="s">
        <v>129</v>
      </c>
      <c r="D89" s="33" t="str">
        <f>D87</f>
        <v>Raihan</v>
      </c>
      <c r="E89" s="42">
        <v>45000.0</v>
      </c>
      <c r="F89" s="44"/>
      <c r="G89" s="47">
        <f>E89*F89</f>
        <v>0</v>
      </c>
      <c r="H89" s="51" t="str">
        <f t="array" ref="H89">INDEX('Panduan Gaji'!$Q:$Q,MATCH(D89,'Panduan Gaji'!$C:$C,0))</f>
        <v>Joglo</v>
      </c>
      <c r="I89" s="53"/>
      <c r="J89" s="88"/>
      <c r="K89" s="88"/>
      <c r="L89" s="55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22"/>
      <c r="Y89" s="22"/>
      <c r="Z89" s="22"/>
      <c r="AA89" s="22"/>
      <c r="AB89" s="22"/>
      <c r="AC89" s="22"/>
      <c r="AD89" s="22"/>
      <c r="AE89" s="22"/>
      <c r="AF89" s="22"/>
    </row>
    <row r="90" ht="13.5" hidden="1" customHeight="1">
      <c r="A90" s="26"/>
      <c r="B90" s="28"/>
      <c r="C90" s="30" t="s">
        <v>7</v>
      </c>
      <c r="D90" s="33" t="str">
        <f>D89</f>
        <v>Raihan</v>
      </c>
      <c r="E90" s="42">
        <f>SUMIFS(SSOD!$C:$C,SSOD!$B:$B,Hitungan!D90,SSOD!$A:$A,Hitungan!C90)</f>
        <v>45000</v>
      </c>
      <c r="F90" s="44">
        <f>SUMPRODUCT(--((($J$97:$J$127&lt;&gt;"")+($K$97:$K$127&lt;&gt;""))&gt;0))</f>
        <v>22</v>
      </c>
      <c r="G90" s="47">
        <f>F90*E90</f>
        <v>990000</v>
      </c>
      <c r="H90" s="51" t="str">
        <f t="array" ref="H90">INDEX('Panduan Gaji'!$Q:$Q,MATCH(D90,'Panduan Gaji'!$C:$C,0))</f>
        <v>Joglo</v>
      </c>
      <c r="I90" s="53"/>
      <c r="J90" s="88"/>
      <c r="K90" s="88"/>
      <c r="L90" s="275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22"/>
      <c r="Y90" s="22"/>
      <c r="Z90" s="22"/>
      <c r="AA90" s="22"/>
      <c r="AB90" s="22"/>
      <c r="AC90" s="22"/>
      <c r="AD90" s="22"/>
      <c r="AE90" s="22"/>
      <c r="AF90" s="22"/>
    </row>
    <row r="91" ht="13.5" hidden="1" customHeight="1">
      <c r="A91" s="26">
        <f>A89</f>
        <v>3</v>
      </c>
      <c r="B91" s="28"/>
      <c r="C91" s="30" t="s">
        <v>9</v>
      </c>
      <c r="D91" s="33" t="str">
        <f>D89</f>
        <v>Raihan</v>
      </c>
      <c r="E91" s="42">
        <f>SUMIFS(SSOD!$C:$C,SSOD!$B:$B,Hitungan!D91,SSOD!$A:$A,Hitungan!C91)</f>
        <v>55000</v>
      </c>
      <c r="F91" s="44">
        <f>SUMPRODUCT(--((($J$97:$J$127&lt;&gt;"")+($K$97:$K$127&lt;&gt;""))&gt;0))+1</f>
        <v>23</v>
      </c>
      <c r="G91" s="47">
        <f t="shared" ref="G91:G93" si="13">E91*F91</f>
        <v>1265000</v>
      </c>
      <c r="H91" s="51" t="str">
        <f t="array" ref="H91">INDEX('Panduan Gaji'!$Q:$Q,MATCH(D91,'Panduan Gaji'!$C:$C,0))</f>
        <v>Joglo</v>
      </c>
      <c r="I91" s="85" t="s">
        <v>72</v>
      </c>
      <c r="J91" s="88"/>
      <c r="K91" s="88"/>
      <c r="L91" s="9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22"/>
      <c r="Y91" s="22"/>
      <c r="Z91" s="22"/>
      <c r="AA91" s="22"/>
      <c r="AB91" s="22"/>
      <c r="AC91" s="22"/>
      <c r="AD91" s="22"/>
      <c r="AE91" s="22"/>
      <c r="AF91" s="22"/>
    </row>
    <row r="92" ht="15.75" hidden="1" customHeight="1">
      <c r="A92" s="26">
        <f t="shared" ref="A92:A127" si="14">A91</f>
        <v>3</v>
      </c>
      <c r="B92" s="28"/>
      <c r="C92" s="30" t="s">
        <v>12</v>
      </c>
      <c r="D92" s="33" t="str">
        <f t="shared" ref="D92:D127" si="15">D91</f>
        <v>Raihan</v>
      </c>
      <c r="E92" s="42">
        <f>SUMIFS(SSOD!$C:$C,SSOD!$B:$B,Hitungan!D92,SSOD!$A:$A,Hitungan!C92)</f>
        <v>18333.33333</v>
      </c>
      <c r="F92" s="44">
        <f>SUMIF($C$97:$C$127,C92,$F$97:$F$127)</f>
        <v>0</v>
      </c>
      <c r="G92" s="47">
        <f t="shared" si="13"/>
        <v>0</v>
      </c>
      <c r="H92" s="51" t="str">
        <f t="array" ref="H92">INDEX('Panduan Gaji'!$Q:$Q,MATCH(D92,'Panduan Gaji'!$C:$C,0))</f>
        <v>Joglo</v>
      </c>
      <c r="I92" s="53"/>
      <c r="J92" s="88"/>
      <c r="K92" s="88"/>
      <c r="L92" s="100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22"/>
      <c r="Y92" s="22"/>
      <c r="Z92" s="22"/>
      <c r="AA92" s="22"/>
      <c r="AB92" s="22"/>
      <c r="AC92" s="22"/>
      <c r="AD92" s="22"/>
      <c r="AE92" s="22"/>
      <c r="AF92" s="22"/>
    </row>
    <row r="93" ht="15.75" hidden="1" customHeight="1">
      <c r="A93" s="26">
        <f t="shared" si="14"/>
        <v>3</v>
      </c>
      <c r="B93" s="28"/>
      <c r="C93" s="102" t="s">
        <v>30</v>
      </c>
      <c r="D93" s="33" t="str">
        <f t="shared" si="15"/>
        <v>Raihan</v>
      </c>
      <c r="E93" s="42">
        <f>SUMIFS(SSOD!$C:$C,SSOD!$B:$B,Hitungan!D93,SSOD!$A:$A,Hitungan!C93)</f>
        <v>18333.33333</v>
      </c>
      <c r="F93" s="44">
        <f t="shared" ref="F93:F94" si="16">COUNTIF($C$97:$C$127,C93)</f>
        <v>2</v>
      </c>
      <c r="G93" s="47">
        <f t="shared" si="13"/>
        <v>36666.66667</v>
      </c>
      <c r="H93" s="51" t="str">
        <f t="array" ref="H93">INDEX('Panduan Gaji'!$Q:$Q,MATCH(D93,'Panduan Gaji'!$C:$C,0))</f>
        <v>Joglo</v>
      </c>
      <c r="I93" s="53"/>
      <c r="J93" s="105"/>
      <c r="K93" s="105"/>
      <c r="L93" s="10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22"/>
      <c r="Y93" s="22"/>
      <c r="Z93" s="22"/>
      <c r="AA93" s="22"/>
      <c r="AB93" s="22"/>
      <c r="AC93" s="22"/>
      <c r="AD93" s="22"/>
      <c r="AE93" s="22"/>
      <c r="AF93" s="22"/>
    </row>
    <row r="94" ht="15.75" hidden="1" customHeight="1">
      <c r="A94" s="26">
        <f t="shared" si="14"/>
        <v>3</v>
      </c>
      <c r="B94" s="28"/>
      <c r="C94" s="30" t="s">
        <v>33</v>
      </c>
      <c r="D94" s="33" t="str">
        <f t="shared" si="15"/>
        <v>Raihan</v>
      </c>
      <c r="E94" s="42"/>
      <c r="F94" s="44">
        <f t="shared" si="16"/>
        <v>1</v>
      </c>
      <c r="G94" s="47">
        <f>SUMIF($C$97:$C$127,C94,$E$97:$E$127)</f>
        <v>15000</v>
      </c>
      <c r="H94" s="51" t="str">
        <f t="array" ref="H94">INDEX('Panduan Gaji'!$Q:$Q,MATCH(D94,'Panduan Gaji'!$C:$C,0))</f>
        <v>Joglo</v>
      </c>
      <c r="I94" s="53"/>
      <c r="J94" s="105"/>
      <c r="K94" s="105"/>
      <c r="L94" s="10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22"/>
      <c r="Y94" s="22"/>
      <c r="Z94" s="22"/>
      <c r="AA94" s="22"/>
      <c r="AB94" s="22"/>
      <c r="AC94" s="22"/>
      <c r="AD94" s="22"/>
      <c r="AE94" s="22"/>
      <c r="AF94" s="22"/>
    </row>
    <row r="95" ht="15.75" hidden="1" customHeight="1">
      <c r="A95" s="26">
        <f t="shared" si="14"/>
        <v>3</v>
      </c>
      <c r="B95" s="28"/>
      <c r="C95" s="30" t="s">
        <v>83</v>
      </c>
      <c r="D95" s="33" t="str">
        <f t="shared" si="15"/>
        <v>Raihan</v>
      </c>
      <c r="E95" s="42"/>
      <c r="F95" s="44"/>
      <c r="G95" s="47">
        <f t="shared" ref="G95:G127" si="17">E95*F95</f>
        <v>0</v>
      </c>
      <c r="H95" s="51" t="str">
        <f t="array" ref="H95">INDEX('Panduan Gaji'!$Q:$Q,MATCH(D95,'Panduan Gaji'!$C:$C,0))</f>
        <v>Joglo</v>
      </c>
      <c r="I95" s="53"/>
      <c r="J95" s="105"/>
      <c r="K95" s="105"/>
      <c r="L95" s="10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22"/>
      <c r="Y95" s="22"/>
      <c r="Z95" s="22"/>
      <c r="AA95" s="22"/>
      <c r="AB95" s="22"/>
      <c r="AC95" s="22"/>
      <c r="AD95" s="22"/>
      <c r="AE95" s="22"/>
      <c r="AF95" s="22"/>
    </row>
    <row r="96" ht="15.75" hidden="1" customHeight="1">
      <c r="A96" s="26">
        <f t="shared" si="14"/>
        <v>3</v>
      </c>
      <c r="B96" s="28"/>
      <c r="C96" s="30" t="s">
        <v>85</v>
      </c>
      <c r="D96" s="33" t="str">
        <f t="shared" si="15"/>
        <v>Raihan</v>
      </c>
      <c r="E96" s="42">
        <v>250000.0</v>
      </c>
      <c r="F96" s="44">
        <v>1.0</v>
      </c>
      <c r="G96" s="47">
        <f t="shared" si="17"/>
        <v>250000</v>
      </c>
      <c r="H96" s="51" t="str">
        <f t="array" ref="H96">INDEX('Panduan Gaji'!$Q:$Q,MATCH(D96,'Panduan Gaji'!$C:$C,0))</f>
        <v>Joglo</v>
      </c>
      <c r="I96" s="53"/>
      <c r="J96" s="105"/>
      <c r="K96" s="105"/>
      <c r="L96" s="10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22"/>
      <c r="Y96" s="22"/>
      <c r="Z96" s="22"/>
      <c r="AA96" s="22"/>
      <c r="AB96" s="22"/>
      <c r="AC96" s="22"/>
      <c r="AD96" s="22"/>
      <c r="AE96" s="22"/>
      <c r="AF96" s="22"/>
    </row>
    <row r="97" ht="13.5" hidden="1" customHeight="1">
      <c r="A97" s="116">
        <f t="shared" si="14"/>
        <v>3</v>
      </c>
      <c r="B97" s="118">
        <v>46228.0</v>
      </c>
      <c r="C97" s="119"/>
      <c r="D97" s="120" t="str">
        <f t="shared" si="15"/>
        <v>Raihan</v>
      </c>
      <c r="E97" s="121">
        <f>SUMIFS(SSOD!$C:$C,SSOD!$B:$B,Hitungan!D97,SSOD!$A:$A,Hitungan!C97)</f>
        <v>0</v>
      </c>
      <c r="F97" s="122"/>
      <c r="G97" s="124">
        <f t="shared" si="17"/>
        <v>0</v>
      </c>
      <c r="H97" s="126" t="str">
        <f t="array" ref="H97">INDEX('Panduan Gaji'!$Q:$Q,MATCH(D97,'Panduan Gaji'!$C:$C,0))</f>
        <v>Joglo</v>
      </c>
      <c r="I97" s="128" t="s">
        <v>97</v>
      </c>
      <c r="J97" s="129">
        <v>0.3298611111111111</v>
      </c>
      <c r="K97" s="129">
        <v>0.625</v>
      </c>
      <c r="L97" s="130"/>
      <c r="M97" s="56"/>
      <c r="N97" s="56"/>
      <c r="O97" s="22"/>
      <c r="P97" s="56"/>
      <c r="Q97" s="56"/>
      <c r="R97" s="56"/>
      <c r="S97" s="56"/>
      <c r="T97" s="56"/>
      <c r="U97" s="56"/>
      <c r="V97" s="56"/>
      <c r="W97" s="56"/>
      <c r="X97" s="22"/>
      <c r="Y97" s="22"/>
      <c r="Z97" s="22"/>
      <c r="AA97" s="22"/>
      <c r="AB97" s="22"/>
      <c r="AC97" s="22"/>
      <c r="AD97" s="22"/>
      <c r="AE97" s="22"/>
      <c r="AF97" s="22"/>
    </row>
    <row r="98" ht="13.5" hidden="1" customHeight="1">
      <c r="A98" s="116">
        <f t="shared" si="14"/>
        <v>3</v>
      </c>
      <c r="B98" s="118">
        <v>46229.0</v>
      </c>
      <c r="C98" s="119"/>
      <c r="D98" s="120" t="str">
        <f t="shared" si="15"/>
        <v>Raihan</v>
      </c>
      <c r="E98" s="121">
        <f>SUMIFS(SSOD!$C:$C,SSOD!$B:$B,Hitungan!D98,SSOD!$A:$A,Hitungan!C98)</f>
        <v>0</v>
      </c>
      <c r="F98" s="122"/>
      <c r="G98" s="124">
        <f t="shared" si="17"/>
        <v>0</v>
      </c>
      <c r="H98" s="126" t="str">
        <f t="array" ref="H98">INDEX('Panduan Gaji'!$Q:$Q,MATCH(D98,'Panduan Gaji'!$C:$C,0))</f>
        <v>Joglo</v>
      </c>
      <c r="I98" s="128" t="s">
        <v>97</v>
      </c>
      <c r="J98" s="129"/>
      <c r="K98" s="137"/>
      <c r="L98" s="138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22"/>
      <c r="Y98" s="22"/>
      <c r="Z98" s="22"/>
      <c r="AA98" s="22"/>
      <c r="AB98" s="22"/>
      <c r="AC98" s="22"/>
      <c r="AD98" s="22"/>
      <c r="AE98" s="22"/>
      <c r="AF98" s="22"/>
    </row>
    <row r="99" ht="13.5" hidden="1" customHeight="1">
      <c r="A99" s="116">
        <f t="shared" si="14"/>
        <v>3</v>
      </c>
      <c r="B99" s="118">
        <v>46230.0</v>
      </c>
      <c r="C99" s="119"/>
      <c r="D99" s="120" t="str">
        <f t="shared" si="15"/>
        <v>Raihan</v>
      </c>
      <c r="E99" s="121">
        <f>SUMIFS(SSOD!$C:$C,SSOD!$B:$B,Hitungan!D99,SSOD!$A:$A,Hitungan!C99)</f>
        <v>0</v>
      </c>
      <c r="F99" s="122"/>
      <c r="G99" s="124">
        <f t="shared" si="17"/>
        <v>0</v>
      </c>
      <c r="H99" s="126" t="str">
        <f t="array" ref="H99">INDEX('Panduan Gaji'!$Q:$Q,MATCH(D99,'Panduan Gaji'!$C:$C,0))</f>
        <v>Joglo</v>
      </c>
      <c r="I99" s="128" t="s">
        <v>97</v>
      </c>
      <c r="J99" s="129">
        <v>0.3361111111111111</v>
      </c>
      <c r="K99" s="129">
        <v>0.8409722222222222</v>
      </c>
      <c r="L99" s="145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22"/>
      <c r="Y99" s="22"/>
      <c r="Z99" s="22"/>
      <c r="AA99" s="22"/>
      <c r="AB99" s="22"/>
      <c r="AC99" s="22"/>
      <c r="AD99" s="22"/>
      <c r="AE99" s="22"/>
      <c r="AF99" s="22"/>
    </row>
    <row r="100" ht="13.5" hidden="1" customHeight="1">
      <c r="A100" s="116">
        <f t="shared" si="14"/>
        <v>3</v>
      </c>
      <c r="B100" s="118">
        <v>46231.0</v>
      </c>
      <c r="C100" s="146"/>
      <c r="D100" s="120" t="str">
        <f t="shared" si="15"/>
        <v>Raihan</v>
      </c>
      <c r="E100" s="147">
        <f>SUMIFS(SSOD!$C:$C,SSOD!$B:$B,Hitungan!D100,SSOD!$A:$A,Hitungan!C100)</f>
        <v>0</v>
      </c>
      <c r="F100" s="148"/>
      <c r="G100" s="124">
        <f t="shared" si="17"/>
        <v>0</v>
      </c>
      <c r="H100" s="126" t="str">
        <f t="array" ref="H100">INDEX('Panduan Gaji'!$Q:$Q,MATCH(D100,'Panduan Gaji'!$C:$C,0))</f>
        <v>Joglo</v>
      </c>
      <c r="I100" s="128" t="s">
        <v>97</v>
      </c>
      <c r="J100" s="129">
        <v>0.3354166666666666</v>
      </c>
      <c r="K100" s="129">
        <v>0.8381944444444445</v>
      </c>
      <c r="L100" s="153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ht="13.5" hidden="1" customHeight="1">
      <c r="A101" s="116">
        <f t="shared" si="14"/>
        <v>3</v>
      </c>
      <c r="B101" s="118">
        <v>46232.0</v>
      </c>
      <c r="C101" s="119"/>
      <c r="D101" s="120" t="str">
        <f t="shared" si="15"/>
        <v>Raihan</v>
      </c>
      <c r="E101" s="121">
        <f>SUMIFS(SSOD!$C:$C,SSOD!$B:$B,Hitungan!D101,SSOD!$A:$A,Hitungan!C101)</f>
        <v>0</v>
      </c>
      <c r="F101" s="122"/>
      <c r="G101" s="124">
        <f t="shared" si="17"/>
        <v>0</v>
      </c>
      <c r="H101" s="126" t="str">
        <f t="array" ref="H101">INDEX('Panduan Gaji'!$Q:$Q,MATCH(D101,'Panduan Gaji'!$C:$C,0))</f>
        <v>Joglo</v>
      </c>
      <c r="I101" s="128" t="s">
        <v>97</v>
      </c>
      <c r="J101" s="129">
        <v>0.33125</v>
      </c>
      <c r="K101" s="129">
        <v>0.8513888888888889</v>
      </c>
      <c r="L101" s="164"/>
      <c r="M101" s="16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ht="13.5" hidden="1" customHeight="1">
      <c r="A102" s="116">
        <f t="shared" si="14"/>
        <v>3</v>
      </c>
      <c r="B102" s="118">
        <v>46233.0</v>
      </c>
      <c r="C102" s="119"/>
      <c r="D102" s="120" t="str">
        <f t="shared" si="15"/>
        <v>Raihan</v>
      </c>
      <c r="E102" s="121">
        <f>SUMIFS(SSOD!$C:$C,SSOD!$B:$B,Hitungan!D102,SSOD!$A:$A,Hitungan!C102)</f>
        <v>0</v>
      </c>
      <c r="F102" s="122"/>
      <c r="G102" s="124">
        <f t="shared" si="17"/>
        <v>0</v>
      </c>
      <c r="H102" s="126" t="str">
        <f t="array" ref="H102">INDEX('Panduan Gaji'!$Q:$Q,MATCH(D102,'Panduan Gaji'!$C:$C,0))</f>
        <v>Joglo</v>
      </c>
      <c r="I102" s="128" t="s">
        <v>97</v>
      </c>
      <c r="J102" s="129">
        <v>0.3291666666666667</v>
      </c>
      <c r="K102" s="129">
        <v>0.8409722222222222</v>
      </c>
      <c r="L102" s="130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ht="13.5" hidden="1" customHeight="1">
      <c r="A103" s="116">
        <f t="shared" si="14"/>
        <v>3</v>
      </c>
      <c r="B103" s="118">
        <v>46234.0</v>
      </c>
      <c r="C103" s="119"/>
      <c r="D103" s="120" t="str">
        <f t="shared" si="15"/>
        <v>Raihan</v>
      </c>
      <c r="E103" s="121">
        <f>SUMIFS(SSOD!$C:$C,SSOD!$B:$B,Hitungan!D103,SSOD!$A:$A,Hitungan!C103)</f>
        <v>0</v>
      </c>
      <c r="F103" s="122"/>
      <c r="G103" s="124">
        <f t="shared" si="17"/>
        <v>0</v>
      </c>
      <c r="H103" s="126" t="str">
        <f t="array" ref="H103">INDEX('Panduan Gaji'!$Q:$Q,MATCH(D103,'Panduan Gaji'!$C:$C,0))</f>
        <v>Joglo</v>
      </c>
      <c r="I103" s="128" t="s">
        <v>97</v>
      </c>
      <c r="J103" s="177">
        <v>0.3305555555555555</v>
      </c>
      <c r="K103" s="129">
        <v>0.8590277777777777</v>
      </c>
      <c r="L103" s="145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ht="13.5" hidden="1" customHeight="1">
      <c r="A104" s="116">
        <f t="shared" si="14"/>
        <v>3</v>
      </c>
      <c r="B104" s="118">
        <v>46235.0</v>
      </c>
      <c r="C104" s="119"/>
      <c r="D104" s="120" t="str">
        <f t="shared" si="15"/>
        <v>Raihan</v>
      </c>
      <c r="E104" s="121">
        <v>0.0</v>
      </c>
      <c r="F104" s="122"/>
      <c r="G104" s="124">
        <f t="shared" si="17"/>
        <v>0</v>
      </c>
      <c r="H104" s="126" t="str">
        <f t="array" ref="H104">INDEX('Panduan Gaji'!$Q:$Q,MATCH(D104,'Panduan Gaji'!$C:$C,0))</f>
        <v>Joglo</v>
      </c>
      <c r="I104" s="128" t="s">
        <v>97</v>
      </c>
      <c r="J104" s="177">
        <v>0.3277777777777778</v>
      </c>
      <c r="K104" s="129">
        <v>0.8416666666666667</v>
      </c>
      <c r="L104" s="145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ht="13.5" hidden="1" customHeight="1">
      <c r="A105" s="116">
        <f t="shared" si="14"/>
        <v>3</v>
      </c>
      <c r="B105" s="118">
        <v>46236.0</v>
      </c>
      <c r="C105" s="119"/>
      <c r="D105" s="120" t="str">
        <f t="shared" si="15"/>
        <v>Raihan</v>
      </c>
      <c r="E105" s="121">
        <f>SUMIFS(SSOD!$C:$C,SSOD!$B:$B,Hitungan!D105,SSOD!$A:$A,Hitungan!C105)</f>
        <v>0</v>
      </c>
      <c r="F105" s="122"/>
      <c r="G105" s="124">
        <f t="shared" si="17"/>
        <v>0</v>
      </c>
      <c r="H105" s="126" t="str">
        <f t="array" ref="H105">INDEX('Panduan Gaji'!$Q:$Q,MATCH(D105,'Panduan Gaji'!$C:$C,0))</f>
        <v>Joglo</v>
      </c>
      <c r="I105" s="128" t="s">
        <v>97</v>
      </c>
      <c r="J105" s="177"/>
      <c r="K105" s="129"/>
      <c r="L105" s="145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ht="13.5" hidden="1" customHeight="1">
      <c r="A106" s="116">
        <f t="shared" si="14"/>
        <v>3</v>
      </c>
      <c r="B106" s="118">
        <v>46237.0</v>
      </c>
      <c r="C106" s="181" t="s">
        <v>33</v>
      </c>
      <c r="D106" s="120" t="str">
        <f t="shared" si="15"/>
        <v>Raihan</v>
      </c>
      <c r="E106" s="121">
        <v>15000.0</v>
      </c>
      <c r="F106" s="182">
        <v>1.0</v>
      </c>
      <c r="G106" s="52">
        <f t="shared" si="17"/>
        <v>15000</v>
      </c>
      <c r="H106" s="126" t="str">
        <f t="array" ref="H106">INDEX('Panduan Gaji'!$Q:$Q,MATCH(D106,'Panduan Gaji'!$C:$C,0))</f>
        <v>Joglo</v>
      </c>
      <c r="I106" s="128" t="s">
        <v>97</v>
      </c>
      <c r="J106" s="177">
        <v>0.33125</v>
      </c>
      <c r="K106" s="129">
        <v>0.8548611111111111</v>
      </c>
      <c r="L106" s="119" t="s">
        <v>121</v>
      </c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ht="13.5" hidden="1" customHeight="1">
      <c r="A107" s="116">
        <f t="shared" si="14"/>
        <v>3</v>
      </c>
      <c r="B107" s="118">
        <v>46238.0</v>
      </c>
      <c r="C107" s="119"/>
      <c r="D107" s="120" t="str">
        <f t="shared" si="15"/>
        <v>Raihan</v>
      </c>
      <c r="E107" s="121">
        <f>SUMIFS(SSOD!$C:$C,SSOD!$B:$B,Hitungan!D107,SSOD!$A:$A,Hitungan!C107)</f>
        <v>0</v>
      </c>
      <c r="F107" s="122"/>
      <c r="G107" s="124">
        <f t="shared" si="17"/>
        <v>0</v>
      </c>
      <c r="H107" s="126" t="str">
        <f t="array" ref="H107">INDEX('Panduan Gaji'!$Q:$Q,MATCH(D107,'Panduan Gaji'!$C:$C,0))</f>
        <v>Joglo</v>
      </c>
      <c r="I107" s="128" t="s">
        <v>97</v>
      </c>
      <c r="J107" s="177">
        <v>0.3291666666666667</v>
      </c>
      <c r="K107" s="129">
        <v>0.8354166666666667</v>
      </c>
      <c r="L107" s="145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ht="13.5" hidden="1" customHeight="1">
      <c r="A108" s="116">
        <f t="shared" si="14"/>
        <v>3</v>
      </c>
      <c r="B108" s="118">
        <v>46239.0</v>
      </c>
      <c r="C108" s="119"/>
      <c r="D108" s="120" t="str">
        <f t="shared" si="15"/>
        <v>Raihan</v>
      </c>
      <c r="E108" s="121">
        <f>SUMIFS(SSOD!$C:$C,SSOD!$B:$B,Hitungan!D108,SSOD!$A:$A,Hitungan!C108)</f>
        <v>0</v>
      </c>
      <c r="F108" s="122"/>
      <c r="G108" s="124">
        <f t="shared" si="17"/>
        <v>0</v>
      </c>
      <c r="H108" s="126" t="str">
        <f t="array" ref="H108">INDEX('Panduan Gaji'!$Q:$Q,MATCH(D108,'Panduan Gaji'!$C:$C,0))</f>
        <v>Joglo</v>
      </c>
      <c r="I108" s="128" t="s">
        <v>97</v>
      </c>
      <c r="J108" s="177">
        <v>0.3291666666666667</v>
      </c>
      <c r="K108" s="129">
        <v>0.8416666666666667</v>
      </c>
      <c r="L108" s="145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 ht="13.5" hidden="1" customHeight="1">
      <c r="A109" s="116">
        <f t="shared" si="14"/>
        <v>3</v>
      </c>
      <c r="B109" s="118">
        <v>46240.0</v>
      </c>
      <c r="C109" s="119"/>
      <c r="D109" s="120" t="str">
        <f t="shared" si="15"/>
        <v>Raihan</v>
      </c>
      <c r="E109" s="121">
        <f>SUMIFS(SSOD!$C:$C,SSOD!$B:$B,Hitungan!D109,SSOD!$A:$A,Hitungan!C109)</f>
        <v>0</v>
      </c>
      <c r="F109" s="122"/>
      <c r="G109" s="124">
        <f t="shared" si="17"/>
        <v>0</v>
      </c>
      <c r="H109" s="126" t="str">
        <f t="array" ref="H109">INDEX('Panduan Gaji'!$Q:$Q,MATCH(D109,'Panduan Gaji'!$C:$C,0))</f>
        <v>Joglo</v>
      </c>
      <c r="I109" s="128" t="s">
        <v>97</v>
      </c>
      <c r="J109" s="129"/>
      <c r="K109" s="185"/>
      <c r="L109" s="119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 ht="13.5" hidden="1" customHeight="1">
      <c r="A110" s="116">
        <f t="shared" si="14"/>
        <v>3</v>
      </c>
      <c r="B110" s="118">
        <v>46241.0</v>
      </c>
      <c r="C110" s="119" t="s">
        <v>30</v>
      </c>
      <c r="D110" s="120" t="str">
        <f t="shared" si="15"/>
        <v>Raihan</v>
      </c>
      <c r="E110" s="121">
        <f>SUMIFS(SSOD!$C:$C,SSOD!$B:$B,Hitungan!D110,SSOD!$A:$A,Hitungan!C110)</f>
        <v>18333.33333</v>
      </c>
      <c r="F110" s="122">
        <v>1.0</v>
      </c>
      <c r="G110" s="124">
        <f t="shared" si="17"/>
        <v>18333.33333</v>
      </c>
      <c r="H110" s="126" t="str">
        <f t="array" ref="H110">INDEX('Panduan Gaji'!$Q:$Q,MATCH(D110,'Panduan Gaji'!$C:$C,0))</f>
        <v>Joglo</v>
      </c>
      <c r="I110" s="128" t="s">
        <v>97</v>
      </c>
      <c r="J110" s="186">
        <v>0.3381944444444445</v>
      </c>
      <c r="K110" s="129">
        <v>0.7972222222222223</v>
      </c>
      <c r="L110" s="187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ht="13.5" hidden="1" customHeight="1">
      <c r="A111" s="116">
        <f t="shared" si="14"/>
        <v>3</v>
      </c>
      <c r="B111" s="118">
        <v>46242.0</v>
      </c>
      <c r="C111" s="119" t="s">
        <v>30</v>
      </c>
      <c r="D111" s="120" t="str">
        <f t="shared" si="15"/>
        <v>Raihan</v>
      </c>
      <c r="E111" s="121">
        <f>SUMIFS(SSOD!$C:$C,SSOD!$B:$B,Hitungan!D111,SSOD!$A:$A,Hitungan!C111)</f>
        <v>18333.33333</v>
      </c>
      <c r="F111" s="122">
        <v>1.0</v>
      </c>
      <c r="G111" s="124">
        <f t="shared" si="17"/>
        <v>18333.33333</v>
      </c>
      <c r="H111" s="126" t="str">
        <f t="array" ref="H111">INDEX('Panduan Gaji'!$Q:$Q,MATCH(D111,'Panduan Gaji'!$C:$C,0))</f>
        <v>Joglo</v>
      </c>
      <c r="I111" s="128" t="s">
        <v>97</v>
      </c>
      <c r="J111" s="186">
        <v>0.3388888888888889</v>
      </c>
      <c r="K111" s="129">
        <v>0.8347222222222223</v>
      </c>
      <c r="L111" s="187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 ht="13.5" hidden="1" customHeight="1">
      <c r="A112" s="116">
        <f t="shared" si="14"/>
        <v>3</v>
      </c>
      <c r="B112" s="118">
        <v>46243.0</v>
      </c>
      <c r="C112" s="119"/>
      <c r="D112" s="120" t="str">
        <f t="shared" si="15"/>
        <v>Raihan</v>
      </c>
      <c r="E112" s="121">
        <f>SUMIFS(SSOD!$C:$C,SSOD!$B:$B,Hitungan!D112,SSOD!$A:$A,Hitungan!C112)</f>
        <v>0</v>
      </c>
      <c r="F112" s="122"/>
      <c r="G112" s="124">
        <f t="shared" si="17"/>
        <v>0</v>
      </c>
      <c r="H112" s="126" t="str">
        <f t="array" ref="H112">INDEX('Panduan Gaji'!$Q:$Q,MATCH(D112,'Panduan Gaji'!$C:$C,0))</f>
        <v>Joglo</v>
      </c>
      <c r="I112" s="128" t="s">
        <v>97</v>
      </c>
      <c r="J112" s="177"/>
      <c r="K112" s="177"/>
      <c r="L112" s="187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 ht="13.5" hidden="1" customHeight="1">
      <c r="A113" s="116">
        <f t="shared" si="14"/>
        <v>3</v>
      </c>
      <c r="B113" s="118">
        <v>46244.0</v>
      </c>
      <c r="C113" s="119"/>
      <c r="D113" s="120" t="str">
        <f t="shared" si="15"/>
        <v>Raihan</v>
      </c>
      <c r="E113" s="121">
        <f>SUMIFS(SSOD!$C:$C,SSOD!$B:$B,Hitungan!D113,SSOD!$A:$A,Hitungan!C113)</f>
        <v>0</v>
      </c>
      <c r="F113" s="122"/>
      <c r="G113" s="124">
        <f t="shared" si="17"/>
        <v>0</v>
      </c>
      <c r="H113" s="126" t="str">
        <f t="array" ref="H113">INDEX('Panduan Gaji'!$Q:$Q,MATCH(D113,'Panduan Gaji'!$C:$C,0))</f>
        <v>Joglo</v>
      </c>
      <c r="I113" s="128" t="s">
        <v>97</v>
      </c>
      <c r="J113" s="177">
        <v>0.3319444444444444</v>
      </c>
      <c r="K113" s="129">
        <v>0.84375</v>
      </c>
      <c r="L113" s="145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ht="13.5" hidden="1" customHeight="1">
      <c r="A114" s="116">
        <f t="shared" si="14"/>
        <v>3</v>
      </c>
      <c r="B114" s="118">
        <v>46245.0</v>
      </c>
      <c r="C114" s="119"/>
      <c r="D114" s="120" t="str">
        <f t="shared" si="15"/>
        <v>Raihan</v>
      </c>
      <c r="E114" s="121">
        <f>SUMIFS(SSOD!$C:$C,SSOD!$B:$B,Hitungan!D114,SSOD!$A:$A,Hitungan!C114)</f>
        <v>0</v>
      </c>
      <c r="F114" s="122"/>
      <c r="G114" s="124">
        <f t="shared" si="17"/>
        <v>0</v>
      </c>
      <c r="H114" s="126" t="str">
        <f t="array" ref="H114">INDEX('Panduan Gaji'!$Q:$Q,MATCH(D114,'Panduan Gaji'!$C:$C,0))</f>
        <v>Joglo</v>
      </c>
      <c r="I114" s="128" t="s">
        <v>97</v>
      </c>
      <c r="J114" s="129">
        <v>0.33125</v>
      </c>
      <c r="K114" s="129">
        <v>0.8361111111111111</v>
      </c>
      <c r="L114" s="145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ht="13.5" hidden="1" customHeight="1">
      <c r="A115" s="116">
        <f t="shared" si="14"/>
        <v>3</v>
      </c>
      <c r="B115" s="118">
        <v>46246.0</v>
      </c>
      <c r="C115" s="119"/>
      <c r="D115" s="120" t="str">
        <f t="shared" si="15"/>
        <v>Raihan</v>
      </c>
      <c r="E115" s="121">
        <f>SUMIFS(SSOD!$C:$C,SSOD!$B:$B,Hitungan!D115,SSOD!$A:$A,Hitungan!C115)</f>
        <v>0</v>
      </c>
      <c r="F115" s="122"/>
      <c r="G115" s="124">
        <f t="shared" si="17"/>
        <v>0</v>
      </c>
      <c r="H115" s="126" t="str">
        <f t="array" ref="H115">INDEX('Panduan Gaji'!$Q:$Q,MATCH(D115,'Panduan Gaji'!$C:$C,0))</f>
        <v>Joglo</v>
      </c>
      <c r="I115" s="128" t="s">
        <v>97</v>
      </c>
      <c r="J115" s="129"/>
      <c r="K115" s="129"/>
      <c r="L115" s="145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ht="13.5" hidden="1" customHeight="1">
      <c r="A116" s="116">
        <f t="shared" si="14"/>
        <v>3</v>
      </c>
      <c r="B116" s="118">
        <v>46247.0</v>
      </c>
      <c r="C116" s="119"/>
      <c r="D116" s="120" t="str">
        <f t="shared" si="15"/>
        <v>Raihan</v>
      </c>
      <c r="E116" s="121">
        <f>SUMIFS(SSOD!$C:$C,SSOD!$B:$B,Hitungan!D116,SSOD!$A:$A,Hitungan!C116)</f>
        <v>0</v>
      </c>
      <c r="F116" s="122"/>
      <c r="G116" s="124">
        <f t="shared" si="17"/>
        <v>0</v>
      </c>
      <c r="H116" s="126" t="str">
        <f t="array" ref="H116">INDEX('Panduan Gaji'!$Q:$Q,MATCH(D116,'Panduan Gaji'!$C:$C,0))</f>
        <v>Joglo</v>
      </c>
      <c r="I116" s="128" t="s">
        <v>97</v>
      </c>
      <c r="J116" s="129">
        <v>0.3284722222222222</v>
      </c>
      <c r="K116" s="185">
        <v>0.8451388888888889</v>
      </c>
      <c r="L116" s="145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 ht="13.5" hidden="1" customHeight="1">
      <c r="A117" s="116">
        <f t="shared" si="14"/>
        <v>3</v>
      </c>
      <c r="B117" s="118">
        <v>46248.0</v>
      </c>
      <c r="C117" s="119"/>
      <c r="D117" s="120" t="str">
        <f t="shared" si="15"/>
        <v>Raihan</v>
      </c>
      <c r="E117" s="121">
        <f>SUMIFS(SSOD!$C:$C,SSOD!$B:$B,Hitungan!D117,SSOD!$A:$A,Hitungan!C117)</f>
        <v>0</v>
      </c>
      <c r="F117" s="122"/>
      <c r="G117" s="124">
        <f t="shared" si="17"/>
        <v>0</v>
      </c>
      <c r="H117" s="126" t="str">
        <f t="array" ref="H117">INDEX('Panduan Gaji'!$Q:$Q,MATCH(D117,'Panduan Gaji'!$C:$C,0))</f>
        <v>Joglo</v>
      </c>
      <c r="I117" s="128" t="s">
        <v>97</v>
      </c>
      <c r="J117" s="129">
        <v>0.3319444444444444</v>
      </c>
      <c r="K117" s="137">
        <v>0.8097222222222222</v>
      </c>
      <c r="L117" s="145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ht="13.5" hidden="1" customHeight="1">
      <c r="A118" s="116">
        <f t="shared" si="14"/>
        <v>3</v>
      </c>
      <c r="B118" s="118">
        <v>46249.0</v>
      </c>
      <c r="C118" s="119"/>
      <c r="D118" s="120" t="str">
        <f t="shared" si="15"/>
        <v>Raihan</v>
      </c>
      <c r="E118" s="121">
        <f>SUMIFS(SSOD!$C:$C,SSOD!$B:$B,Hitungan!D118,SSOD!$A:$A,Hitungan!C118)</f>
        <v>0</v>
      </c>
      <c r="F118" s="122"/>
      <c r="G118" s="124">
        <f t="shared" si="17"/>
        <v>0</v>
      </c>
      <c r="H118" s="126" t="str">
        <f t="array" ref="H118">INDEX('Panduan Gaji'!$Q:$Q,MATCH(D118,'Panduan Gaji'!$C:$C,0))</f>
        <v>Joglo</v>
      </c>
      <c r="I118" s="128" t="s">
        <v>97</v>
      </c>
      <c r="J118" s="129">
        <v>0.3298611111111111</v>
      </c>
      <c r="K118" s="129">
        <v>0.8361111111111111</v>
      </c>
      <c r="L118" s="145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 ht="13.5" hidden="1" customHeight="1">
      <c r="A119" s="116">
        <f t="shared" si="14"/>
        <v>3</v>
      </c>
      <c r="B119" s="118">
        <v>46250.0</v>
      </c>
      <c r="C119" s="119"/>
      <c r="D119" s="120" t="str">
        <f t="shared" si="15"/>
        <v>Raihan</v>
      </c>
      <c r="E119" s="121">
        <f>SUMIFS(SSOD!$C:$C,SSOD!$B:$B,Hitungan!D119,SSOD!$A:$A,Hitungan!C119)</f>
        <v>0</v>
      </c>
      <c r="F119" s="122"/>
      <c r="G119" s="124">
        <f t="shared" si="17"/>
        <v>0</v>
      </c>
      <c r="H119" s="126" t="str">
        <f t="array" ref="H119">INDEX('Panduan Gaji'!$Q:$Q,MATCH(D119,'Panduan Gaji'!$C:$C,0))</f>
        <v>Joglo</v>
      </c>
      <c r="I119" s="128" t="s">
        <v>97</v>
      </c>
      <c r="J119" s="129"/>
      <c r="K119" s="129"/>
      <c r="L119" s="119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 ht="13.5" hidden="1" customHeight="1">
      <c r="A120" s="116">
        <f t="shared" si="14"/>
        <v>3</v>
      </c>
      <c r="B120" s="118">
        <v>46251.0</v>
      </c>
      <c r="C120" s="119"/>
      <c r="D120" s="120" t="str">
        <f t="shared" si="15"/>
        <v>Raihan</v>
      </c>
      <c r="E120" s="121">
        <f>SUMIFS(SSOD!$C:$C,SSOD!$B:$B,Hitungan!D120,SSOD!$A:$A,Hitungan!C120)</f>
        <v>0</v>
      </c>
      <c r="F120" s="122"/>
      <c r="G120" s="124">
        <f t="shared" si="17"/>
        <v>0</v>
      </c>
      <c r="H120" s="126" t="str">
        <f t="array" ref="H120">INDEX('Panduan Gaji'!$Q:$Q,MATCH(D120,'Panduan Gaji'!$C:$C,0))</f>
        <v>Joglo</v>
      </c>
      <c r="I120" s="128" t="s">
        <v>97</v>
      </c>
      <c r="J120" s="128"/>
      <c r="K120" s="128"/>
      <c r="L120" s="119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 ht="13.5" hidden="1" customHeight="1">
      <c r="A121" s="116">
        <f t="shared" si="14"/>
        <v>3</v>
      </c>
      <c r="B121" s="118">
        <v>46252.0</v>
      </c>
      <c r="C121" s="119"/>
      <c r="D121" s="120" t="str">
        <f t="shared" si="15"/>
        <v>Raihan</v>
      </c>
      <c r="E121" s="121">
        <f>SUMIFS(SSOD!$C:$C,SSOD!$B:$B,Hitungan!D121,SSOD!$A:$A,Hitungan!C121)</f>
        <v>0</v>
      </c>
      <c r="F121" s="122"/>
      <c r="G121" s="124">
        <f t="shared" si="17"/>
        <v>0</v>
      </c>
      <c r="H121" s="126" t="str">
        <f t="array" ref="H121">INDEX('Panduan Gaji'!$Q:$Q,MATCH(D121,'Panduan Gaji'!$C:$C,0))</f>
        <v>Joglo</v>
      </c>
      <c r="I121" s="128" t="s">
        <v>97</v>
      </c>
      <c r="J121" s="129">
        <v>0.33125</v>
      </c>
      <c r="K121" s="129">
        <v>0.8381944444444445</v>
      </c>
      <c r="L121" s="119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ht="13.5" hidden="1" customHeight="1">
      <c r="A122" s="116">
        <f t="shared" si="14"/>
        <v>3</v>
      </c>
      <c r="B122" s="118">
        <v>46253.0</v>
      </c>
      <c r="C122" s="119"/>
      <c r="D122" s="120" t="str">
        <f t="shared" si="15"/>
        <v>Raihan</v>
      </c>
      <c r="E122" s="121">
        <f>SUMIFS(SSOD!$C:$C,SSOD!$B:$B,Hitungan!D122,SSOD!$A:$A,Hitungan!C122)</f>
        <v>0</v>
      </c>
      <c r="F122" s="122"/>
      <c r="G122" s="124">
        <f t="shared" si="17"/>
        <v>0</v>
      </c>
      <c r="H122" s="126" t="str">
        <f t="array" ref="H122">INDEX('Panduan Gaji'!$Q:$Q,MATCH(D122,'Panduan Gaji'!$C:$C,0))</f>
        <v>Joglo</v>
      </c>
      <c r="I122" s="128" t="s">
        <v>97</v>
      </c>
      <c r="J122" s="129"/>
      <c r="K122" s="129"/>
      <c r="L122" s="145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 ht="13.5" hidden="1" customHeight="1">
      <c r="A123" s="116">
        <f t="shared" si="14"/>
        <v>3</v>
      </c>
      <c r="B123" s="118">
        <v>46254.0</v>
      </c>
      <c r="C123" s="119"/>
      <c r="D123" s="120" t="str">
        <f t="shared" si="15"/>
        <v>Raihan</v>
      </c>
      <c r="E123" s="121">
        <f>SUMIFS(SSOD!$C:$C,SSOD!$B:$B,Hitungan!D123,SSOD!$A:$A,Hitungan!C123)</f>
        <v>0</v>
      </c>
      <c r="F123" s="122"/>
      <c r="G123" s="124">
        <f t="shared" si="17"/>
        <v>0</v>
      </c>
      <c r="H123" s="126" t="str">
        <f t="array" ref="H123">INDEX('Panduan Gaji'!$Q:$Q,MATCH(D123,'Panduan Gaji'!$C:$C,0))</f>
        <v>Joglo</v>
      </c>
      <c r="I123" s="128" t="s">
        <v>97</v>
      </c>
      <c r="J123" s="129">
        <v>0.3277777777777778</v>
      </c>
      <c r="K123" s="129">
        <v>0.8465277777777778</v>
      </c>
      <c r="L123" s="119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 ht="13.5" hidden="1" customHeight="1">
      <c r="A124" s="116">
        <f t="shared" si="14"/>
        <v>3</v>
      </c>
      <c r="B124" s="118">
        <v>46255.0</v>
      </c>
      <c r="C124" s="119"/>
      <c r="D124" s="120" t="str">
        <f t="shared" si="15"/>
        <v>Raihan</v>
      </c>
      <c r="E124" s="121">
        <f>SUMIFS(SSOD!$C:$C,SSOD!$B:$B,Hitungan!D124,SSOD!$A:$A,Hitungan!C124)</f>
        <v>0</v>
      </c>
      <c r="F124" s="122"/>
      <c r="G124" s="124">
        <f t="shared" si="17"/>
        <v>0</v>
      </c>
      <c r="H124" s="126" t="str">
        <f t="array" ref="H124">INDEX('Panduan Gaji'!$Q:$Q,MATCH(D124,'Panduan Gaji'!$C:$C,0))</f>
        <v>Joglo</v>
      </c>
      <c r="I124" s="128" t="s">
        <v>97</v>
      </c>
      <c r="J124" s="129">
        <v>0.3333333333333333</v>
      </c>
      <c r="K124" s="129">
        <v>0.8395833333333333</v>
      </c>
      <c r="L124" s="119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 ht="13.5" hidden="1" customHeight="1">
      <c r="A125" s="116">
        <f t="shared" si="14"/>
        <v>3</v>
      </c>
      <c r="B125" s="118">
        <v>46256.0</v>
      </c>
      <c r="C125" s="119"/>
      <c r="D125" s="120" t="str">
        <f t="shared" si="15"/>
        <v>Raihan</v>
      </c>
      <c r="E125" s="121">
        <f>SUMIFS(SSOD!$C:$C,SSOD!$B:$B,Hitungan!D125,SSOD!$A:$A,Hitungan!C125)</f>
        <v>0</v>
      </c>
      <c r="F125" s="122"/>
      <c r="G125" s="124">
        <f t="shared" si="17"/>
        <v>0</v>
      </c>
      <c r="H125" s="126" t="str">
        <f t="array" ref="H125">INDEX('Panduan Gaji'!$Q:$Q,MATCH(D125,'Panduan Gaji'!$C:$C,0))</f>
        <v>Joglo</v>
      </c>
      <c r="I125" s="128" t="s">
        <v>97</v>
      </c>
      <c r="J125" s="129">
        <v>0.3340277777777778</v>
      </c>
      <c r="K125" s="129">
        <v>0.8402777777777778</v>
      </c>
      <c r="L125" s="119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ht="13.5" hidden="1" customHeight="1">
      <c r="A126" s="116">
        <f t="shared" si="14"/>
        <v>3</v>
      </c>
      <c r="B126" s="118">
        <v>46257.0</v>
      </c>
      <c r="C126" s="119"/>
      <c r="D126" s="120" t="str">
        <f t="shared" si="15"/>
        <v>Raihan</v>
      </c>
      <c r="E126" s="121">
        <f>SUMIFS(SSOD!$C:$C,SSOD!$B:$B,Hitungan!D126,SSOD!$A:$A,Hitungan!C126)</f>
        <v>0</v>
      </c>
      <c r="F126" s="122"/>
      <c r="G126" s="124">
        <f t="shared" si="17"/>
        <v>0</v>
      </c>
      <c r="H126" s="126" t="str">
        <f t="array" ref="H126">INDEX('Panduan Gaji'!$Q:$Q,MATCH(D126,'Panduan Gaji'!$C:$C,0))</f>
        <v>Joglo</v>
      </c>
      <c r="I126" s="128" t="s">
        <v>97</v>
      </c>
      <c r="J126" s="129"/>
      <c r="K126" s="129"/>
      <c r="L126" s="119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 ht="15.75" hidden="1" customHeight="1">
      <c r="A127" s="116">
        <f t="shared" si="14"/>
        <v>3</v>
      </c>
      <c r="B127" s="118">
        <v>46258.0</v>
      </c>
      <c r="C127" s="119"/>
      <c r="D127" s="120" t="str">
        <f t="shared" si="15"/>
        <v>Raihan</v>
      </c>
      <c r="E127" s="121">
        <f>SUMIFS(SSOD!$C:$C,SSOD!$B:$B,Hitungan!D127,SSOD!$A:$A,Hitungan!C127)</f>
        <v>0</v>
      </c>
      <c r="F127" s="122"/>
      <c r="G127" s="124">
        <f t="shared" si="17"/>
        <v>0</v>
      </c>
      <c r="H127" s="220" t="str">
        <f t="array" ref="H127">INDEX('Panduan Gaji'!$Q:$Q,MATCH(D127,'Panduan Gaji'!$C:$C,0))</f>
        <v>Joglo</v>
      </c>
      <c r="I127" s="128" t="s">
        <v>97</v>
      </c>
      <c r="J127" s="129">
        <v>0.3326388888888889</v>
      </c>
      <c r="K127" s="129"/>
      <c r="L127" s="119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ht="15.75" hidden="1" customHeight="1">
      <c r="A128" s="222"/>
      <c r="B128" s="223"/>
      <c r="C128" s="224"/>
      <c r="D128" s="225"/>
      <c r="E128" s="226"/>
      <c r="F128" s="227"/>
      <c r="G128" s="228"/>
      <c r="H128" s="229"/>
      <c r="I128" s="22"/>
      <c r="J128" s="230"/>
      <c r="K128" s="230"/>
      <c r="L128" s="224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ht="15.75" hidden="1" customHeight="1">
      <c r="A129" s="222"/>
      <c r="B129" s="223"/>
      <c r="C129" s="224"/>
      <c r="D129" s="225"/>
      <c r="E129" s="226"/>
      <c r="F129" s="227"/>
      <c r="G129" s="228"/>
      <c r="H129" s="229"/>
      <c r="I129" s="22"/>
      <c r="J129" s="230"/>
      <c r="K129" s="230"/>
      <c r="L129" s="224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 ht="13.5" hidden="1" customHeight="1">
      <c r="A130" s="26">
        <v>4.0</v>
      </c>
      <c r="B130" s="28"/>
      <c r="C130" s="30" t="s">
        <v>6</v>
      </c>
      <c r="D130" s="33" t="s">
        <v>51</v>
      </c>
      <c r="E130" s="42">
        <f>SUMIFS(SSOD!$C:$C,SSOD!$B:$B,Hitungan!D130,SSOD!$A:$A,Hitungan!C130)</f>
        <v>1062500</v>
      </c>
      <c r="F130" s="44">
        <v>1.0</v>
      </c>
      <c r="G130" s="47">
        <f>(E130/26)*F133</f>
        <v>388221.1538</v>
      </c>
      <c r="H130" s="51" t="str">
        <f t="array" ref="H130">INDEX('Panduan Gaji'!$Q:$Q,MATCH(D130,'Panduan Gaji'!$C:$C,0))</f>
        <v>Joglo</v>
      </c>
      <c r="I130" s="53"/>
      <c r="J130" s="54"/>
      <c r="K130" s="54"/>
      <c r="L130" s="55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 ht="13.5" hidden="1" customHeight="1">
      <c r="A131" s="26">
        <f t="shared" ref="A131:A169" si="18">A130</f>
        <v>4</v>
      </c>
      <c r="B131" s="28"/>
      <c r="C131" s="30" t="s">
        <v>17</v>
      </c>
      <c r="D131" s="33" t="str">
        <f t="shared" ref="D131:D169" si="19">D130</f>
        <v>Teguh</v>
      </c>
      <c r="E131" s="42">
        <f>SUMIFS(SSOD!$C:$C,SSOD!$B:$B,Hitungan!D131,SSOD!$A:$A,Hitungan!C131)</f>
        <v>0</v>
      </c>
      <c r="F131" s="44"/>
      <c r="G131" s="47">
        <f t="shared" ref="G131:G169" si="20">E131*F131</f>
        <v>0</v>
      </c>
      <c r="H131" s="51" t="str">
        <f t="array" ref="H131">INDEX('Panduan Gaji'!$Q:$Q,MATCH(D131,'Panduan Gaji'!$C:$C,0))</f>
        <v>Joglo</v>
      </c>
      <c r="I131" s="53"/>
      <c r="J131" s="54"/>
      <c r="K131" s="54"/>
      <c r="L131" s="55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ht="13.5" hidden="1" customHeight="1">
      <c r="A132" s="26">
        <f t="shared" si="18"/>
        <v>4</v>
      </c>
      <c r="B132" s="28"/>
      <c r="C132" s="30" t="s">
        <v>7</v>
      </c>
      <c r="D132" s="33" t="str">
        <f t="shared" si="19"/>
        <v>Teguh</v>
      </c>
      <c r="E132" s="42">
        <f>SUMIFS(SSOD!$C:$C,SSOD!$B:$B,Hitungan!D132,SSOD!$A:$A,Hitungan!C132)</f>
        <v>38250</v>
      </c>
      <c r="F132" s="44">
        <v>9.5</v>
      </c>
      <c r="G132" s="47">
        <f t="shared" si="20"/>
        <v>363375</v>
      </c>
      <c r="H132" s="51" t="str">
        <f t="array" ref="H132">INDEX('Panduan Gaji'!$Q:$Q,MATCH(D132,'Panduan Gaji'!$C:$C,0))</f>
        <v>Joglo</v>
      </c>
      <c r="I132" s="53"/>
      <c r="J132" s="88"/>
      <c r="K132" s="88"/>
      <c r="L132" s="55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 ht="13.5" hidden="1" customHeight="1">
      <c r="A133" s="26">
        <f t="shared" si="18"/>
        <v>4</v>
      </c>
      <c r="B133" s="28"/>
      <c r="C133" s="30" t="s">
        <v>9</v>
      </c>
      <c r="D133" s="33" t="str">
        <f t="shared" si="19"/>
        <v>Teguh</v>
      </c>
      <c r="E133" s="42">
        <f>SUMIFS(SSOD!$C:$C,SSOD!$B:$B,Hitungan!D133,SSOD!$A:$A,Hitungan!C133)</f>
        <v>46750</v>
      </c>
      <c r="F133" s="44">
        <v>9.5</v>
      </c>
      <c r="G133" s="47">
        <f t="shared" si="20"/>
        <v>444125</v>
      </c>
      <c r="H133" s="51" t="str">
        <f t="array" ref="H133">INDEX('Panduan Gaji'!$Q:$Q,MATCH(D133,'Panduan Gaji'!$C:$C,0))</f>
        <v>Joglo</v>
      </c>
      <c r="I133" s="53"/>
      <c r="J133" s="88"/>
      <c r="K133" s="88"/>
      <c r="L133" s="9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 ht="15.75" hidden="1" customHeight="1">
      <c r="A134" s="26">
        <f t="shared" si="18"/>
        <v>4</v>
      </c>
      <c r="B134" s="28"/>
      <c r="C134" s="30" t="s">
        <v>12</v>
      </c>
      <c r="D134" s="33" t="str">
        <f t="shared" si="19"/>
        <v>Teguh</v>
      </c>
      <c r="E134" s="42">
        <f>SUMIFS(SSOD!$C:$C,SSOD!$B:$B,Hitungan!D134,SSOD!$A:$A,Hitungan!C134)</f>
        <v>15583.33333</v>
      </c>
      <c r="F134" s="44">
        <f>SUMIF($C$139:$C$169,C134,$F$139:$F$169)</f>
        <v>0</v>
      </c>
      <c r="G134" s="47">
        <f t="shared" si="20"/>
        <v>0</v>
      </c>
      <c r="H134" s="51" t="str">
        <f t="array" ref="H134">INDEX('Panduan Gaji'!$Q:$Q,MATCH(D134,'Panduan Gaji'!$C:$C,0))</f>
        <v>Joglo</v>
      </c>
      <c r="I134" s="53"/>
      <c r="J134" s="88"/>
      <c r="K134" s="88"/>
      <c r="L134" s="100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ht="15.75" hidden="1" customHeight="1">
      <c r="A135" s="26">
        <f t="shared" si="18"/>
        <v>4</v>
      </c>
      <c r="B135" s="28"/>
      <c r="C135" s="102" t="s">
        <v>30</v>
      </c>
      <c r="D135" s="33" t="str">
        <f t="shared" si="19"/>
        <v>Teguh</v>
      </c>
      <c r="E135" s="42">
        <f>SUMIFS(SSOD!$C:$C,SSOD!$B:$B,Hitungan!D135,SSOD!$A:$A,Hitungan!C135)</f>
        <v>15583.33333</v>
      </c>
      <c r="F135" s="44">
        <f>COUNTIF($C$139:$C$169,C135)</f>
        <v>0</v>
      </c>
      <c r="G135" s="47">
        <f t="shared" si="20"/>
        <v>0</v>
      </c>
      <c r="H135" s="51" t="str">
        <f t="array" ref="H135">INDEX('Panduan Gaji'!$Q:$Q,MATCH(D135,'Panduan Gaji'!$C:$C,0))</f>
        <v>Joglo</v>
      </c>
      <c r="I135" s="53"/>
      <c r="J135" s="105"/>
      <c r="K135" s="105"/>
      <c r="L135" s="10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ht="15.75" hidden="1" customHeight="1">
      <c r="A136" s="26">
        <f t="shared" si="18"/>
        <v>4</v>
      </c>
      <c r="B136" s="28"/>
      <c r="C136" s="30" t="s">
        <v>33</v>
      </c>
      <c r="D136" s="33" t="str">
        <f t="shared" si="19"/>
        <v>Teguh</v>
      </c>
      <c r="E136" s="42">
        <v>15000.0</v>
      </c>
      <c r="F136" s="44">
        <v>1.0</v>
      </c>
      <c r="G136" s="47">
        <f t="shared" si="20"/>
        <v>15000</v>
      </c>
      <c r="H136" s="51" t="str">
        <f t="array" ref="H136">INDEX('Panduan Gaji'!$Q:$Q,MATCH(D136,'Panduan Gaji'!$C:$C,0))</f>
        <v>Joglo</v>
      </c>
      <c r="I136" s="53"/>
      <c r="J136" s="105"/>
      <c r="K136" s="105"/>
      <c r="L136" s="10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ht="15.75" hidden="1" customHeight="1">
      <c r="A137" s="26">
        <f t="shared" si="18"/>
        <v>4</v>
      </c>
      <c r="B137" s="28"/>
      <c r="C137" s="30" t="s">
        <v>83</v>
      </c>
      <c r="D137" s="33" t="str">
        <f t="shared" si="19"/>
        <v>Teguh</v>
      </c>
      <c r="E137" s="42"/>
      <c r="F137" s="44"/>
      <c r="G137" s="47">
        <f t="shared" si="20"/>
        <v>0</v>
      </c>
      <c r="H137" s="51" t="str">
        <f t="array" ref="H137">INDEX('Panduan Gaji'!$Q:$Q,MATCH(D137,'Panduan Gaji'!$C:$C,0))</f>
        <v>Joglo</v>
      </c>
      <c r="I137" s="53"/>
      <c r="J137" s="105"/>
      <c r="K137" s="105"/>
      <c r="L137" s="10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 ht="15.75" hidden="1" customHeight="1">
      <c r="A138" s="26">
        <f t="shared" si="18"/>
        <v>4</v>
      </c>
      <c r="B138" s="28"/>
      <c r="C138" s="30" t="s">
        <v>85</v>
      </c>
      <c r="D138" s="33" t="str">
        <f t="shared" si="19"/>
        <v>Teguh</v>
      </c>
      <c r="E138" s="42"/>
      <c r="F138" s="44"/>
      <c r="G138" s="47">
        <f t="shared" si="20"/>
        <v>0</v>
      </c>
      <c r="H138" s="51" t="str">
        <f t="array" ref="H138">INDEX('Panduan Gaji'!$Q:$Q,MATCH(D138,'Panduan Gaji'!$C:$C,0))</f>
        <v>Joglo</v>
      </c>
      <c r="I138" s="53"/>
      <c r="J138" s="105"/>
      <c r="K138" s="105"/>
      <c r="L138" s="10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ht="13.5" hidden="1" customHeight="1">
      <c r="A139" s="116">
        <f t="shared" si="18"/>
        <v>4</v>
      </c>
      <c r="B139" s="118">
        <v>46228.0</v>
      </c>
      <c r="C139" s="119"/>
      <c r="D139" s="120" t="str">
        <f t="shared" si="19"/>
        <v>Teguh</v>
      </c>
      <c r="E139" s="121">
        <f>SUMIFS(SSOD!$C:$C,SSOD!$B:$B,Hitungan!D139,SSOD!$A:$A,Hitungan!C139)</f>
        <v>0</v>
      </c>
      <c r="F139" s="122"/>
      <c r="G139" s="124">
        <f t="shared" si="20"/>
        <v>0</v>
      </c>
      <c r="H139" s="126" t="str">
        <f t="array" ref="H139">INDEX('Panduan Gaji'!$Q:$Q,MATCH(D139,'Panduan Gaji'!$C:$C,0))</f>
        <v>Joglo</v>
      </c>
      <c r="I139" s="128" t="s">
        <v>97</v>
      </c>
      <c r="J139" s="129">
        <v>0.3208333333333334</v>
      </c>
      <c r="K139" s="129">
        <v>0.625</v>
      </c>
      <c r="L139" s="130"/>
      <c r="M139" s="56"/>
      <c r="N139" s="56"/>
      <c r="O139" s="22"/>
      <c r="P139" s="56"/>
      <c r="Q139" s="56"/>
      <c r="R139" s="56"/>
      <c r="S139" s="56"/>
      <c r="T139" s="56"/>
      <c r="U139" s="56"/>
      <c r="V139" s="56"/>
      <c r="W139" s="56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 ht="13.5" hidden="1" customHeight="1">
      <c r="A140" s="116">
        <f t="shared" si="18"/>
        <v>4</v>
      </c>
      <c r="B140" s="118">
        <v>46229.0</v>
      </c>
      <c r="C140" s="119"/>
      <c r="D140" s="120" t="str">
        <f t="shared" si="19"/>
        <v>Teguh</v>
      </c>
      <c r="E140" s="121">
        <f>SUMIFS(SSOD!$C:$C,SSOD!$B:$B,Hitungan!D140,SSOD!$A:$A,Hitungan!C140)</f>
        <v>0</v>
      </c>
      <c r="F140" s="122"/>
      <c r="G140" s="124">
        <f t="shared" si="20"/>
        <v>0</v>
      </c>
      <c r="H140" s="126" t="str">
        <f t="array" ref="H140">INDEX('Panduan Gaji'!$Q:$Q,MATCH(D140,'Panduan Gaji'!$C:$C,0))</f>
        <v>Joglo</v>
      </c>
      <c r="I140" s="128"/>
      <c r="J140" s="129"/>
      <c r="K140" s="137"/>
      <c r="L140" s="138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 ht="13.5" hidden="1" customHeight="1">
      <c r="A141" s="116">
        <f t="shared" si="18"/>
        <v>4</v>
      </c>
      <c r="B141" s="118">
        <v>46230.0</v>
      </c>
      <c r="C141" s="119"/>
      <c r="D141" s="120" t="str">
        <f t="shared" si="19"/>
        <v>Teguh</v>
      </c>
      <c r="E141" s="121">
        <f>SUMIFS(SSOD!$C:$C,SSOD!$B:$B,Hitungan!D141,SSOD!$A:$A,Hitungan!C141)</f>
        <v>0</v>
      </c>
      <c r="F141" s="122"/>
      <c r="G141" s="124">
        <f t="shared" si="20"/>
        <v>0</v>
      </c>
      <c r="H141" s="126" t="str">
        <f t="array" ref="H141">INDEX('Panduan Gaji'!$Q:$Q,MATCH(D141,'Panduan Gaji'!$C:$C,0))</f>
        <v>Joglo</v>
      </c>
      <c r="I141" s="128" t="s">
        <v>97</v>
      </c>
      <c r="J141" s="129">
        <v>0.3152777777777778</v>
      </c>
      <c r="K141" s="129">
        <v>0.8333333333333334</v>
      </c>
      <c r="L141" s="145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ht="13.5" hidden="1" customHeight="1">
      <c r="A142" s="116">
        <f t="shared" si="18"/>
        <v>4</v>
      </c>
      <c r="B142" s="118">
        <v>46231.0</v>
      </c>
      <c r="C142" s="146"/>
      <c r="D142" s="120" t="str">
        <f t="shared" si="19"/>
        <v>Teguh</v>
      </c>
      <c r="E142" s="147">
        <f>SUMIFS(SSOD!$C:$C,SSOD!$B:$B,Hitungan!D142,SSOD!$A:$A,Hitungan!C142)</f>
        <v>0</v>
      </c>
      <c r="F142" s="148"/>
      <c r="G142" s="124">
        <f t="shared" si="20"/>
        <v>0</v>
      </c>
      <c r="H142" s="126" t="str">
        <f t="array" ref="H142">INDEX('Panduan Gaji'!$Q:$Q,MATCH(D142,'Panduan Gaji'!$C:$C,0))</f>
        <v>Joglo</v>
      </c>
      <c r="I142" s="128"/>
      <c r="J142" s="129"/>
      <c r="K142" s="129"/>
      <c r="L142" s="153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ht="13.5" hidden="1" customHeight="1">
      <c r="A143" s="116">
        <f t="shared" si="18"/>
        <v>4</v>
      </c>
      <c r="B143" s="118">
        <v>46232.0</v>
      </c>
      <c r="C143" s="119"/>
      <c r="D143" s="120" t="str">
        <f t="shared" si="19"/>
        <v>Teguh</v>
      </c>
      <c r="E143" s="121">
        <f>SUMIFS(SSOD!$C:$C,SSOD!$B:$B,Hitungan!D143,SSOD!$A:$A,Hitungan!C143)</f>
        <v>0</v>
      </c>
      <c r="F143" s="122"/>
      <c r="G143" s="124">
        <f t="shared" si="20"/>
        <v>0</v>
      </c>
      <c r="H143" s="126" t="str">
        <f t="array" ref="H143">INDEX('Panduan Gaji'!$Q:$Q,MATCH(D143,'Panduan Gaji'!$C:$C,0))</f>
        <v>Joglo</v>
      </c>
      <c r="I143" s="128" t="s">
        <v>97</v>
      </c>
      <c r="J143" s="129">
        <v>0.3173611111111111</v>
      </c>
      <c r="K143" s="129">
        <v>0.8333333333333334</v>
      </c>
      <c r="L143" s="164"/>
      <c r="M143" s="16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ht="13.5" hidden="1" customHeight="1">
      <c r="A144" s="116">
        <f t="shared" si="18"/>
        <v>4</v>
      </c>
      <c r="B144" s="118">
        <v>46233.0</v>
      </c>
      <c r="C144" s="119"/>
      <c r="D144" s="120" t="str">
        <f t="shared" si="19"/>
        <v>Teguh</v>
      </c>
      <c r="E144" s="121">
        <f>SUMIFS(SSOD!$C:$C,SSOD!$B:$B,Hitungan!D144,SSOD!$A:$A,Hitungan!C144)</f>
        <v>0</v>
      </c>
      <c r="F144" s="122"/>
      <c r="G144" s="124">
        <f t="shared" si="20"/>
        <v>0</v>
      </c>
      <c r="H144" s="126" t="str">
        <f t="array" ref="H144">INDEX('Panduan Gaji'!$Q:$Q,MATCH(D144,'Panduan Gaji'!$C:$C,0))</f>
        <v>Joglo</v>
      </c>
      <c r="I144" s="128" t="s">
        <v>97</v>
      </c>
      <c r="J144" s="129">
        <v>0.3090277777777778</v>
      </c>
      <c r="K144" s="129">
        <v>0.8333333333333334</v>
      </c>
      <c r="L144" s="130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 ht="13.5" hidden="1" customHeight="1">
      <c r="A145" s="116">
        <f t="shared" si="18"/>
        <v>4</v>
      </c>
      <c r="B145" s="118">
        <v>46234.0</v>
      </c>
      <c r="C145" s="119"/>
      <c r="D145" s="120" t="str">
        <f t="shared" si="19"/>
        <v>Teguh</v>
      </c>
      <c r="E145" s="121">
        <f>SUMIFS(SSOD!$C:$C,SSOD!$B:$B,Hitungan!D145,SSOD!$A:$A,Hitungan!C145)</f>
        <v>0</v>
      </c>
      <c r="F145" s="122"/>
      <c r="G145" s="124">
        <f t="shared" si="20"/>
        <v>0</v>
      </c>
      <c r="H145" s="126" t="str">
        <f t="array" ref="H145">INDEX('Panduan Gaji'!$Q:$Q,MATCH(D145,'Panduan Gaji'!$C:$C,0))</f>
        <v>Joglo</v>
      </c>
      <c r="I145" s="128" t="s">
        <v>97</v>
      </c>
      <c r="J145" s="177">
        <v>0.3076388888888889</v>
      </c>
      <c r="K145" s="129">
        <v>0.8333333333333334</v>
      </c>
      <c r="L145" s="145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 ht="13.5" hidden="1" customHeight="1">
      <c r="A146" s="116">
        <f t="shared" si="18"/>
        <v>4</v>
      </c>
      <c r="B146" s="118">
        <v>46235.0</v>
      </c>
      <c r="C146" s="119"/>
      <c r="D146" s="120" t="str">
        <f t="shared" si="19"/>
        <v>Teguh</v>
      </c>
      <c r="E146" s="121">
        <v>0.0</v>
      </c>
      <c r="F146" s="122"/>
      <c r="G146" s="124">
        <f t="shared" si="20"/>
        <v>0</v>
      </c>
      <c r="H146" s="126" t="str">
        <f t="array" ref="H146">INDEX('Panduan Gaji'!$Q:$Q,MATCH(D146,'Panduan Gaji'!$C:$C,0))</f>
        <v>Joglo</v>
      </c>
      <c r="I146" s="128" t="s">
        <v>97</v>
      </c>
      <c r="J146" s="177">
        <v>0.3333333333333333</v>
      </c>
      <c r="K146" s="129">
        <v>0.8333333333333334</v>
      </c>
      <c r="L146" s="145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 ht="13.5" hidden="1" customHeight="1">
      <c r="A147" s="116">
        <f t="shared" si="18"/>
        <v>4</v>
      </c>
      <c r="B147" s="118">
        <v>46236.0</v>
      </c>
      <c r="C147" s="119"/>
      <c r="D147" s="120" t="str">
        <f t="shared" si="19"/>
        <v>Teguh</v>
      </c>
      <c r="E147" s="121">
        <f>SUMIFS(SSOD!$C:$C,SSOD!$B:$B,Hitungan!D147,SSOD!$A:$A,Hitungan!C147)</f>
        <v>0</v>
      </c>
      <c r="F147" s="122"/>
      <c r="G147" s="124">
        <f t="shared" si="20"/>
        <v>0</v>
      </c>
      <c r="H147" s="126" t="str">
        <f t="array" ref="H147">INDEX('Panduan Gaji'!$Q:$Q,MATCH(D147,'Panduan Gaji'!$C:$C,0))</f>
        <v>Joglo</v>
      </c>
      <c r="I147" s="128"/>
      <c r="J147" s="177"/>
      <c r="K147" s="129"/>
      <c r="L147" s="145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 ht="13.5" hidden="1" customHeight="1">
      <c r="A148" s="116">
        <f t="shared" si="18"/>
        <v>4</v>
      </c>
      <c r="B148" s="118">
        <v>46237.0</v>
      </c>
      <c r="C148" s="181"/>
      <c r="D148" s="120" t="str">
        <f t="shared" si="19"/>
        <v>Teguh</v>
      </c>
      <c r="E148" s="121">
        <f>SUMIFS(SSOD!$C:$C,SSOD!$B:$B,Hitungan!D148,SSOD!$A:$A,Hitungan!C148)</f>
        <v>0</v>
      </c>
      <c r="F148" s="182"/>
      <c r="G148" s="52">
        <f t="shared" si="20"/>
        <v>0</v>
      </c>
      <c r="H148" s="126" t="str">
        <f t="array" ref="H148">INDEX('Panduan Gaji'!$Q:$Q,MATCH(D148,'Panduan Gaji'!$C:$C,0))</f>
        <v>Joglo</v>
      </c>
      <c r="I148" s="128" t="s">
        <v>97</v>
      </c>
      <c r="J148" s="177">
        <v>0.3118055555555556</v>
      </c>
      <c r="K148" s="129">
        <v>0.8333333333333334</v>
      </c>
      <c r="L148" s="119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 ht="13.5" hidden="1" customHeight="1">
      <c r="A149" s="116">
        <f t="shared" si="18"/>
        <v>4</v>
      </c>
      <c r="B149" s="118">
        <v>46238.0</v>
      </c>
      <c r="C149" s="119"/>
      <c r="D149" s="120" t="str">
        <f t="shared" si="19"/>
        <v>Teguh</v>
      </c>
      <c r="E149" s="121">
        <f>SUMIFS(SSOD!$C:$C,SSOD!$B:$B,Hitungan!D149,SSOD!$A:$A,Hitungan!C149)</f>
        <v>0</v>
      </c>
      <c r="F149" s="122"/>
      <c r="G149" s="124">
        <f t="shared" si="20"/>
        <v>0</v>
      </c>
      <c r="H149" s="126" t="str">
        <f t="array" ref="H149">INDEX('Panduan Gaji'!$Q:$Q,MATCH(D149,'Panduan Gaji'!$C:$C,0))</f>
        <v>Joglo</v>
      </c>
      <c r="I149" s="128"/>
      <c r="J149" s="177"/>
      <c r="K149" s="129"/>
      <c r="L149" s="145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 ht="13.5" hidden="1" customHeight="1">
      <c r="A150" s="116">
        <f t="shared" si="18"/>
        <v>4</v>
      </c>
      <c r="B150" s="118">
        <v>46239.0</v>
      </c>
      <c r="C150" s="119"/>
      <c r="D150" s="120" t="str">
        <f t="shared" si="19"/>
        <v>Teguh</v>
      </c>
      <c r="E150" s="121">
        <f>SUMIFS(SSOD!$C:$C,SSOD!$B:$B,Hitungan!D150,SSOD!$A:$A,Hitungan!C150)</f>
        <v>0</v>
      </c>
      <c r="F150" s="122"/>
      <c r="G150" s="124">
        <f t="shared" si="20"/>
        <v>0</v>
      </c>
      <c r="H150" s="126" t="str">
        <f t="array" ref="H150">INDEX('Panduan Gaji'!$Q:$Q,MATCH(D150,'Panduan Gaji'!$C:$C,0))</f>
        <v>Joglo</v>
      </c>
      <c r="I150" s="128" t="s">
        <v>97</v>
      </c>
      <c r="J150" s="177">
        <v>0.3333333333333333</v>
      </c>
      <c r="K150" s="129">
        <v>0.8333333333333334</v>
      </c>
      <c r="L150" s="145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 ht="13.5" hidden="1" customHeight="1">
      <c r="A151" s="116">
        <f t="shared" si="18"/>
        <v>4</v>
      </c>
      <c r="B151" s="118">
        <v>46240.0</v>
      </c>
      <c r="C151" s="119"/>
      <c r="D151" s="120" t="str">
        <f t="shared" si="19"/>
        <v>Teguh</v>
      </c>
      <c r="E151" s="121">
        <f>SUMIFS(SSOD!$C:$C,SSOD!$B:$B,Hitungan!D151,SSOD!$A:$A,Hitungan!C151)</f>
        <v>0</v>
      </c>
      <c r="F151" s="122"/>
      <c r="G151" s="124">
        <f t="shared" si="20"/>
        <v>0</v>
      </c>
      <c r="H151" s="126" t="str">
        <f t="array" ref="H151">INDEX('Panduan Gaji'!$Q:$Q,MATCH(D151,'Panduan Gaji'!$C:$C,0))</f>
        <v>Joglo</v>
      </c>
      <c r="I151" s="128" t="s">
        <v>97</v>
      </c>
      <c r="J151" s="177">
        <v>0.3152777777777778</v>
      </c>
      <c r="K151" s="129">
        <v>0.8333333333333334</v>
      </c>
      <c r="L151" s="119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 ht="13.5" hidden="1" customHeight="1">
      <c r="A152" s="116">
        <f t="shared" si="18"/>
        <v>4</v>
      </c>
      <c r="B152" s="118">
        <v>46241.0</v>
      </c>
      <c r="C152" s="119"/>
      <c r="D152" s="120" t="str">
        <f t="shared" si="19"/>
        <v>Teguh</v>
      </c>
      <c r="E152" s="121">
        <f>SUMIFS(SSOD!$C:$C,SSOD!$B:$B,Hitungan!D152,SSOD!$A:$A,Hitungan!C152)</f>
        <v>0</v>
      </c>
      <c r="F152" s="122"/>
      <c r="G152" s="124">
        <f t="shared" si="20"/>
        <v>0</v>
      </c>
      <c r="H152" s="126" t="str">
        <f t="array" ref="H152">INDEX('Panduan Gaji'!$Q:$Q,MATCH(D152,'Panduan Gaji'!$C:$C,0))</f>
        <v>Joglo</v>
      </c>
      <c r="I152" s="128" t="s">
        <v>97</v>
      </c>
      <c r="J152" s="177">
        <v>0.3118055555555556</v>
      </c>
      <c r="K152" s="129">
        <v>0.8333333333333334</v>
      </c>
      <c r="L152" s="187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 ht="13.5" hidden="1" customHeight="1">
      <c r="A153" s="116">
        <f t="shared" si="18"/>
        <v>4</v>
      </c>
      <c r="B153" s="118">
        <v>46242.0</v>
      </c>
      <c r="C153" s="119"/>
      <c r="D153" s="120" t="str">
        <f t="shared" si="19"/>
        <v>Teguh</v>
      </c>
      <c r="E153" s="121">
        <f>SUMIFS(SSOD!$C:$C,SSOD!$B:$B,Hitungan!D153,SSOD!$A:$A,Hitungan!C153)</f>
        <v>0</v>
      </c>
      <c r="F153" s="122"/>
      <c r="G153" s="124">
        <f t="shared" si="20"/>
        <v>0</v>
      </c>
      <c r="H153" s="126" t="str">
        <f t="array" ref="H153">INDEX('Panduan Gaji'!$Q:$Q,MATCH(D153,'Panduan Gaji'!$C:$C,0))</f>
        <v>Joglo</v>
      </c>
      <c r="I153" s="302"/>
      <c r="J153" s="303"/>
      <c r="K153" s="303"/>
      <c r="L153" s="187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ht="13.5" hidden="1" customHeight="1">
      <c r="A154" s="116">
        <f t="shared" si="18"/>
        <v>4</v>
      </c>
      <c r="B154" s="118">
        <v>46243.0</v>
      </c>
      <c r="C154" s="119"/>
      <c r="D154" s="120" t="str">
        <f t="shared" si="19"/>
        <v>Teguh</v>
      </c>
      <c r="E154" s="121">
        <f>SUMIFS(SSOD!$C:$C,SSOD!$B:$B,Hitungan!D154,SSOD!$A:$A,Hitungan!C154)</f>
        <v>0</v>
      </c>
      <c r="F154" s="122"/>
      <c r="G154" s="124">
        <f t="shared" si="20"/>
        <v>0</v>
      </c>
      <c r="H154" s="126" t="str">
        <f t="array" ref="H154">INDEX('Panduan Gaji'!$Q:$Q,MATCH(D154,'Panduan Gaji'!$C:$C,0))</f>
        <v>Joglo</v>
      </c>
      <c r="I154" s="302"/>
      <c r="J154" s="303"/>
      <c r="K154" s="303"/>
      <c r="L154" s="187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 ht="13.5" hidden="1" customHeight="1">
      <c r="A155" s="116">
        <f t="shared" si="18"/>
        <v>4</v>
      </c>
      <c r="B155" s="118">
        <v>46244.0</v>
      </c>
      <c r="C155" s="119"/>
      <c r="D155" s="120" t="str">
        <f t="shared" si="19"/>
        <v>Teguh</v>
      </c>
      <c r="E155" s="121">
        <f>SUMIFS(SSOD!$C:$C,SSOD!$B:$B,Hitungan!D155,SSOD!$A:$A,Hitungan!C155)</f>
        <v>0</v>
      </c>
      <c r="F155" s="122"/>
      <c r="G155" s="124">
        <f t="shared" si="20"/>
        <v>0</v>
      </c>
      <c r="H155" s="126" t="str">
        <f t="array" ref="H155">INDEX('Panduan Gaji'!$Q:$Q,MATCH(D155,'Panduan Gaji'!$C:$C,0))</f>
        <v>Joglo</v>
      </c>
      <c r="I155" s="302"/>
      <c r="J155" s="304"/>
      <c r="K155" s="304"/>
      <c r="L155" s="145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ht="13.5" hidden="1" customHeight="1">
      <c r="A156" s="116">
        <f t="shared" si="18"/>
        <v>4</v>
      </c>
      <c r="B156" s="118">
        <v>46245.0</v>
      </c>
      <c r="C156" s="119"/>
      <c r="D156" s="120" t="str">
        <f t="shared" si="19"/>
        <v>Teguh</v>
      </c>
      <c r="E156" s="121">
        <f>SUMIFS(SSOD!$C:$C,SSOD!$B:$B,Hitungan!D156,SSOD!$A:$A,Hitungan!C156)</f>
        <v>0</v>
      </c>
      <c r="F156" s="122"/>
      <c r="G156" s="124">
        <f t="shared" si="20"/>
        <v>0</v>
      </c>
      <c r="H156" s="126" t="str">
        <f t="array" ref="H156">INDEX('Panduan Gaji'!$Q:$Q,MATCH(D156,'Panduan Gaji'!$C:$C,0))</f>
        <v>Joglo</v>
      </c>
      <c r="I156" s="302"/>
      <c r="J156" s="304"/>
      <c r="K156" s="304"/>
      <c r="L156" s="145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ht="13.5" hidden="1" customHeight="1">
      <c r="A157" s="116">
        <f t="shared" si="18"/>
        <v>4</v>
      </c>
      <c r="B157" s="118">
        <v>46246.0</v>
      </c>
      <c r="C157" s="119"/>
      <c r="D157" s="120" t="str">
        <f t="shared" si="19"/>
        <v>Teguh</v>
      </c>
      <c r="E157" s="121">
        <f>SUMIFS(SSOD!$C:$C,SSOD!$B:$B,Hitungan!D157,SSOD!$A:$A,Hitungan!C157)</f>
        <v>0</v>
      </c>
      <c r="F157" s="122"/>
      <c r="G157" s="124">
        <f t="shared" si="20"/>
        <v>0</v>
      </c>
      <c r="H157" s="126" t="str">
        <f t="array" ref="H157">INDEX('Panduan Gaji'!$Q:$Q,MATCH(D157,'Panduan Gaji'!$C:$C,0))</f>
        <v>Joglo</v>
      </c>
      <c r="I157" s="302"/>
      <c r="J157" s="304"/>
      <c r="K157" s="304"/>
      <c r="L157" s="145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ht="13.5" hidden="1" customHeight="1">
      <c r="A158" s="116">
        <f t="shared" si="18"/>
        <v>4</v>
      </c>
      <c r="B158" s="118">
        <v>46247.0</v>
      </c>
      <c r="C158" s="119"/>
      <c r="D158" s="120" t="str">
        <f t="shared" si="19"/>
        <v>Teguh</v>
      </c>
      <c r="E158" s="121">
        <f>SUMIFS(SSOD!$C:$C,SSOD!$B:$B,Hitungan!D158,SSOD!$A:$A,Hitungan!C158)</f>
        <v>0</v>
      </c>
      <c r="F158" s="122"/>
      <c r="G158" s="124">
        <f t="shared" si="20"/>
        <v>0</v>
      </c>
      <c r="H158" s="126" t="str">
        <f t="array" ref="H158">INDEX('Panduan Gaji'!$Q:$Q,MATCH(D158,'Panduan Gaji'!$C:$C,0))</f>
        <v>Joglo</v>
      </c>
      <c r="I158" s="302"/>
      <c r="J158" s="304"/>
      <c r="K158" s="305"/>
      <c r="L158" s="145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ht="13.5" hidden="1" customHeight="1">
      <c r="A159" s="116">
        <f t="shared" si="18"/>
        <v>4</v>
      </c>
      <c r="B159" s="118">
        <v>46248.0</v>
      </c>
      <c r="C159" s="119"/>
      <c r="D159" s="120" t="str">
        <f t="shared" si="19"/>
        <v>Teguh</v>
      </c>
      <c r="E159" s="121">
        <f>SUMIFS(SSOD!$C:$C,SSOD!$B:$B,Hitungan!D159,SSOD!$A:$A,Hitungan!C159)</f>
        <v>0</v>
      </c>
      <c r="F159" s="122"/>
      <c r="G159" s="124">
        <f t="shared" si="20"/>
        <v>0</v>
      </c>
      <c r="H159" s="126" t="str">
        <f t="array" ref="H159">INDEX('Panduan Gaji'!$Q:$Q,MATCH(D159,'Panduan Gaji'!$C:$C,0))</f>
        <v>Joglo</v>
      </c>
      <c r="I159" s="302"/>
      <c r="J159" s="304"/>
      <c r="K159" s="306"/>
      <c r="L159" s="145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 ht="13.5" hidden="1" customHeight="1">
      <c r="A160" s="116">
        <f t="shared" si="18"/>
        <v>4</v>
      </c>
      <c r="B160" s="118">
        <v>46249.0</v>
      </c>
      <c r="C160" s="119"/>
      <c r="D160" s="120" t="str">
        <f t="shared" si="19"/>
        <v>Teguh</v>
      </c>
      <c r="E160" s="121">
        <f>SUMIFS(SSOD!$C:$C,SSOD!$B:$B,Hitungan!D160,SSOD!$A:$A,Hitungan!C160)</f>
        <v>0</v>
      </c>
      <c r="F160" s="122"/>
      <c r="G160" s="124">
        <f t="shared" si="20"/>
        <v>0</v>
      </c>
      <c r="H160" s="126" t="str">
        <f t="array" ref="H160">INDEX('Panduan Gaji'!$Q:$Q,MATCH(D160,'Panduan Gaji'!$C:$C,0))</f>
        <v>Joglo</v>
      </c>
      <c r="I160" s="302"/>
      <c r="J160" s="304"/>
      <c r="K160" s="304"/>
      <c r="L160" s="145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 ht="13.5" hidden="1" customHeight="1">
      <c r="A161" s="116">
        <f t="shared" si="18"/>
        <v>4</v>
      </c>
      <c r="B161" s="118">
        <v>46250.0</v>
      </c>
      <c r="C161" s="119"/>
      <c r="D161" s="120" t="str">
        <f t="shared" si="19"/>
        <v>Teguh</v>
      </c>
      <c r="E161" s="121">
        <f>SUMIFS(SSOD!$C:$C,SSOD!$B:$B,Hitungan!D161,SSOD!$A:$A,Hitungan!C161)</f>
        <v>0</v>
      </c>
      <c r="F161" s="122"/>
      <c r="G161" s="124">
        <f t="shared" si="20"/>
        <v>0</v>
      </c>
      <c r="H161" s="126" t="str">
        <f t="array" ref="H161">INDEX('Panduan Gaji'!$Q:$Q,MATCH(D161,'Panduan Gaji'!$C:$C,0))</f>
        <v>Joglo</v>
      </c>
      <c r="I161" s="302"/>
      <c r="J161" s="304"/>
      <c r="K161" s="304"/>
      <c r="L161" s="119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 ht="13.5" hidden="1" customHeight="1">
      <c r="A162" s="116">
        <f t="shared" si="18"/>
        <v>4</v>
      </c>
      <c r="B162" s="118">
        <v>46251.0</v>
      </c>
      <c r="C162" s="119"/>
      <c r="D162" s="120" t="str">
        <f t="shared" si="19"/>
        <v>Teguh</v>
      </c>
      <c r="E162" s="121">
        <f>SUMIFS(SSOD!$C:$C,SSOD!$B:$B,Hitungan!D162,SSOD!$A:$A,Hitungan!C162)</f>
        <v>0</v>
      </c>
      <c r="F162" s="122"/>
      <c r="G162" s="124">
        <f t="shared" si="20"/>
        <v>0</v>
      </c>
      <c r="H162" s="126" t="str">
        <f t="array" ref="H162">INDEX('Panduan Gaji'!$Q:$Q,MATCH(D162,'Panduan Gaji'!$C:$C,0))</f>
        <v>Joglo</v>
      </c>
      <c r="I162" s="302"/>
      <c r="J162" s="307"/>
      <c r="K162" s="307"/>
      <c r="L162" s="119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 ht="13.5" hidden="1" customHeight="1">
      <c r="A163" s="116">
        <f t="shared" si="18"/>
        <v>4</v>
      </c>
      <c r="B163" s="118">
        <v>46252.0</v>
      </c>
      <c r="C163" s="119"/>
      <c r="D163" s="120" t="str">
        <f t="shared" si="19"/>
        <v>Teguh</v>
      </c>
      <c r="E163" s="121">
        <f>SUMIFS(SSOD!$C:$C,SSOD!$B:$B,Hitungan!D163,SSOD!$A:$A,Hitungan!C163)</f>
        <v>0</v>
      </c>
      <c r="F163" s="122"/>
      <c r="G163" s="124">
        <f t="shared" si="20"/>
        <v>0</v>
      </c>
      <c r="H163" s="126" t="str">
        <f t="array" ref="H163">INDEX('Panduan Gaji'!$Q:$Q,MATCH(D163,'Panduan Gaji'!$C:$C,0))</f>
        <v>Joglo</v>
      </c>
      <c r="I163" s="302"/>
      <c r="J163" s="304"/>
      <c r="K163" s="304"/>
      <c r="L163" s="119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 ht="13.5" hidden="1" customHeight="1">
      <c r="A164" s="116">
        <f t="shared" si="18"/>
        <v>4</v>
      </c>
      <c r="B164" s="118">
        <v>46253.0</v>
      </c>
      <c r="C164" s="119"/>
      <c r="D164" s="120" t="str">
        <f t="shared" si="19"/>
        <v>Teguh</v>
      </c>
      <c r="E164" s="121">
        <f>SUMIFS(SSOD!$C:$C,SSOD!$B:$B,Hitungan!D164,SSOD!$A:$A,Hitungan!C164)</f>
        <v>0</v>
      </c>
      <c r="F164" s="122"/>
      <c r="G164" s="124">
        <f t="shared" si="20"/>
        <v>0</v>
      </c>
      <c r="H164" s="126" t="str">
        <f t="array" ref="H164">INDEX('Panduan Gaji'!$Q:$Q,MATCH(D164,'Panduan Gaji'!$C:$C,0))</f>
        <v>Joglo</v>
      </c>
      <c r="I164" s="302"/>
      <c r="J164" s="304"/>
      <c r="K164" s="304"/>
      <c r="L164" s="145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 ht="13.5" hidden="1" customHeight="1">
      <c r="A165" s="116">
        <f t="shared" si="18"/>
        <v>4</v>
      </c>
      <c r="B165" s="118">
        <v>46254.0</v>
      </c>
      <c r="C165" s="119"/>
      <c r="D165" s="120" t="str">
        <f t="shared" si="19"/>
        <v>Teguh</v>
      </c>
      <c r="E165" s="121">
        <f>SUMIFS(SSOD!$C:$C,SSOD!$B:$B,Hitungan!D165,SSOD!$A:$A,Hitungan!C165)</f>
        <v>0</v>
      </c>
      <c r="F165" s="122"/>
      <c r="G165" s="124">
        <f t="shared" si="20"/>
        <v>0</v>
      </c>
      <c r="H165" s="126" t="str">
        <f t="array" ref="H165">INDEX('Panduan Gaji'!$Q:$Q,MATCH(D165,'Panduan Gaji'!$C:$C,0))</f>
        <v>Joglo</v>
      </c>
      <c r="I165" s="302"/>
      <c r="J165" s="304"/>
      <c r="K165" s="304"/>
      <c r="L165" s="119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 ht="13.5" hidden="1" customHeight="1">
      <c r="A166" s="116">
        <f t="shared" si="18"/>
        <v>4</v>
      </c>
      <c r="B166" s="118">
        <v>46255.0</v>
      </c>
      <c r="C166" s="119"/>
      <c r="D166" s="120" t="str">
        <f t="shared" si="19"/>
        <v>Teguh</v>
      </c>
      <c r="E166" s="121">
        <f>SUMIFS(SSOD!$C:$C,SSOD!$B:$B,Hitungan!D166,SSOD!$A:$A,Hitungan!C166)</f>
        <v>0</v>
      </c>
      <c r="F166" s="122"/>
      <c r="G166" s="124">
        <f t="shared" si="20"/>
        <v>0</v>
      </c>
      <c r="H166" s="126" t="str">
        <f t="array" ref="H166">INDEX('Panduan Gaji'!$Q:$Q,MATCH(D166,'Panduan Gaji'!$C:$C,0))</f>
        <v>Joglo</v>
      </c>
      <c r="I166" s="302"/>
      <c r="J166" s="304"/>
      <c r="K166" s="304"/>
      <c r="L166" s="119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 ht="13.5" hidden="1" customHeight="1">
      <c r="A167" s="116">
        <f t="shared" si="18"/>
        <v>4</v>
      </c>
      <c r="B167" s="118">
        <v>46256.0</v>
      </c>
      <c r="C167" s="119"/>
      <c r="D167" s="120" t="str">
        <f t="shared" si="19"/>
        <v>Teguh</v>
      </c>
      <c r="E167" s="121">
        <f>SUMIFS(SSOD!$C:$C,SSOD!$B:$B,Hitungan!D167,SSOD!$A:$A,Hitungan!C167)</f>
        <v>0</v>
      </c>
      <c r="F167" s="122"/>
      <c r="G167" s="124">
        <f t="shared" si="20"/>
        <v>0</v>
      </c>
      <c r="H167" s="126" t="str">
        <f t="array" ref="H167">INDEX('Panduan Gaji'!$Q:$Q,MATCH(D167,'Panduan Gaji'!$C:$C,0))</f>
        <v>Joglo</v>
      </c>
      <c r="I167" s="302"/>
      <c r="J167" s="304"/>
      <c r="K167" s="304"/>
      <c r="L167" s="119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 ht="13.5" hidden="1" customHeight="1">
      <c r="A168" s="116">
        <f t="shared" si="18"/>
        <v>4</v>
      </c>
      <c r="B168" s="118">
        <v>46257.0</v>
      </c>
      <c r="C168" s="119"/>
      <c r="D168" s="120" t="str">
        <f t="shared" si="19"/>
        <v>Teguh</v>
      </c>
      <c r="E168" s="121">
        <f>SUMIFS(SSOD!$C:$C,SSOD!$B:$B,Hitungan!D168,SSOD!$A:$A,Hitungan!C168)</f>
        <v>0</v>
      </c>
      <c r="F168" s="122"/>
      <c r="G168" s="124">
        <f t="shared" si="20"/>
        <v>0</v>
      </c>
      <c r="H168" s="126" t="str">
        <f t="array" ref="H168">INDEX('Panduan Gaji'!$Q:$Q,MATCH(D168,'Panduan Gaji'!$C:$C,0))</f>
        <v>Joglo</v>
      </c>
      <c r="I168" s="302"/>
      <c r="J168" s="304"/>
      <c r="K168" s="304"/>
      <c r="L168" s="119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 ht="15.75" hidden="1" customHeight="1">
      <c r="A169" s="116">
        <f t="shared" si="18"/>
        <v>4</v>
      </c>
      <c r="B169" s="118">
        <v>46258.0</v>
      </c>
      <c r="C169" s="119"/>
      <c r="D169" s="120" t="str">
        <f t="shared" si="19"/>
        <v>Teguh</v>
      </c>
      <c r="E169" s="121">
        <f>SUMIFS(SSOD!$C:$C,SSOD!$B:$B,Hitungan!D169,SSOD!$A:$A,Hitungan!C169)</f>
        <v>0</v>
      </c>
      <c r="F169" s="122"/>
      <c r="G169" s="124">
        <f t="shared" si="20"/>
        <v>0</v>
      </c>
      <c r="H169" s="220" t="str">
        <f t="array" ref="H169">INDEX('Panduan Gaji'!$Q:$Q,MATCH(D169,'Panduan Gaji'!$C:$C,0))</f>
        <v>Joglo</v>
      </c>
      <c r="I169" s="302"/>
      <c r="J169" s="304"/>
      <c r="K169" s="304"/>
      <c r="L169" s="119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 ht="15.75" hidden="1" customHeight="1">
      <c r="A170" s="222"/>
      <c r="B170" s="223"/>
      <c r="C170" s="224"/>
      <c r="D170" s="225"/>
      <c r="E170" s="226"/>
      <c r="F170" s="227"/>
      <c r="G170" s="228"/>
      <c r="H170" s="229"/>
      <c r="I170" s="22"/>
      <c r="J170" s="230"/>
      <c r="K170" s="230"/>
      <c r="L170" s="224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 ht="15.75" hidden="1" customHeight="1">
      <c r="A171" s="222"/>
      <c r="B171" s="223"/>
      <c r="C171" s="224"/>
      <c r="D171" s="225"/>
      <c r="E171" s="226"/>
      <c r="F171" s="227"/>
      <c r="G171" s="228"/>
      <c r="H171" s="229"/>
      <c r="I171" s="22"/>
      <c r="J171" s="230"/>
      <c r="K171" s="230"/>
      <c r="L171" s="224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 ht="13.5" hidden="1" customHeight="1">
      <c r="A172" s="26">
        <v>5.0</v>
      </c>
      <c r="B172" s="28"/>
      <c r="C172" s="30" t="s">
        <v>6</v>
      </c>
      <c r="D172" s="33" t="s">
        <v>57</v>
      </c>
      <c r="E172" s="42">
        <f>SUMIFS(SSOD!$C:$C,SSOD!$B:$B,Hitungan!D172,SSOD!$A:$A,Hitungan!C172)</f>
        <v>3220000</v>
      </c>
      <c r="F172" s="44">
        <v>1.0</v>
      </c>
      <c r="G172" s="47">
        <f t="shared" ref="G172:G175" si="21">E172*F172</f>
        <v>3220000</v>
      </c>
      <c r="H172" s="51" t="str">
        <f t="array" ref="H172">INDEX('Panduan Gaji'!$Q:$Q,MATCH(D172,'Panduan Gaji'!$C:$C,0))</f>
        <v>GS</v>
      </c>
      <c r="I172" s="53"/>
      <c r="J172" s="54"/>
      <c r="K172" s="54"/>
      <c r="L172" s="55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 ht="13.5" hidden="1" customHeight="1">
      <c r="A173" s="26">
        <f t="shared" ref="A173:A212" si="22">A172</f>
        <v>5</v>
      </c>
      <c r="B173" s="28"/>
      <c r="C173" s="30" t="s">
        <v>17</v>
      </c>
      <c r="D173" s="33" t="str">
        <f t="shared" ref="D173:D212" si="23">D172</f>
        <v>Sekar</v>
      </c>
      <c r="E173" s="42">
        <f>SUMIFS(SSOD!$C:$C,SSOD!$B:$B,Hitungan!D173,SSOD!$A:$A,Hitungan!C173)</f>
        <v>0</v>
      </c>
      <c r="F173" s="44"/>
      <c r="G173" s="47">
        <f t="shared" si="21"/>
        <v>0</v>
      </c>
      <c r="H173" s="51" t="str">
        <f t="array" ref="H173">INDEX('Panduan Gaji'!$Q:$Q,MATCH(D173,'Panduan Gaji'!$C:$C,0))</f>
        <v>GS</v>
      </c>
      <c r="I173" s="53"/>
      <c r="J173" s="54"/>
      <c r="K173" s="54"/>
      <c r="L173" s="55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 ht="13.5" hidden="1" customHeight="1">
      <c r="A174" s="26">
        <f t="shared" si="22"/>
        <v>5</v>
      </c>
      <c r="B174" s="28"/>
      <c r="C174" s="30" t="s">
        <v>7</v>
      </c>
      <c r="D174" s="33" t="str">
        <f t="shared" si="23"/>
        <v>Sekar</v>
      </c>
      <c r="E174" s="42">
        <f>SUMIFS(SSOD!$C:$C,SSOD!$B:$B,Hitungan!D174,SSOD!$A:$A,Hitungan!C174)</f>
        <v>21000</v>
      </c>
      <c r="F174" s="44">
        <f t="shared" ref="F174:F175" si="24">SUMPRODUCT(--((($J$182:$J$212&lt;&gt;"")+($K$182:$K$212&lt;&gt;""))&gt;0))</f>
        <v>26</v>
      </c>
      <c r="G174" s="47">
        <f t="shared" si="21"/>
        <v>546000</v>
      </c>
      <c r="H174" s="51" t="str">
        <f t="array" ref="H174">INDEX('Panduan Gaji'!$Q:$Q,MATCH(D174,'Panduan Gaji'!$C:$C,0))</f>
        <v>GS</v>
      </c>
      <c r="I174" s="53"/>
      <c r="J174" s="88"/>
      <c r="K174" s="88"/>
      <c r="L174" s="55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ht="13.5" hidden="1" customHeight="1">
      <c r="A175" s="26">
        <f t="shared" si="22"/>
        <v>5</v>
      </c>
      <c r="B175" s="28"/>
      <c r="C175" s="30" t="s">
        <v>9</v>
      </c>
      <c r="D175" s="33" t="str">
        <f t="shared" si="23"/>
        <v>Sekar</v>
      </c>
      <c r="E175" s="42">
        <f>SUMIFS(SSOD!$C:$C,SSOD!$B:$B,Hitungan!D175,SSOD!$A:$A,Hitungan!C175)</f>
        <v>52000</v>
      </c>
      <c r="F175" s="44">
        <f t="shared" si="24"/>
        <v>26</v>
      </c>
      <c r="G175" s="47">
        <f t="shared" si="21"/>
        <v>1352000</v>
      </c>
      <c r="H175" s="51" t="str">
        <f t="array" ref="H175">INDEX('Panduan Gaji'!$Q:$Q,MATCH(D175,'Panduan Gaji'!$C:$C,0))</f>
        <v>GS</v>
      </c>
      <c r="I175" s="53"/>
      <c r="J175" s="88"/>
      <c r="K175" s="88"/>
      <c r="L175" s="9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ht="15.75" hidden="1" customHeight="1">
      <c r="A176" s="26">
        <f t="shared" si="22"/>
        <v>5</v>
      </c>
      <c r="B176" s="28"/>
      <c r="C176" s="30" t="s">
        <v>39</v>
      </c>
      <c r="D176" s="33" t="str">
        <f t="shared" si="23"/>
        <v>Sekar</v>
      </c>
      <c r="E176" s="42">
        <f>36820+682041</f>
        <v>718861</v>
      </c>
      <c r="F176" s="44">
        <v>1.0</v>
      </c>
      <c r="G176" s="47">
        <f>F176*E176</f>
        <v>718861</v>
      </c>
      <c r="H176" s="51" t="str">
        <f t="array" ref="H176">INDEX('Panduan Gaji'!$Q:$Q,MATCH(D176,'Panduan Gaji'!$C:$C,0))</f>
        <v>GS</v>
      </c>
      <c r="I176" s="53"/>
      <c r="J176" s="88"/>
      <c r="K176" s="88"/>
      <c r="L176" s="100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ht="15.75" hidden="1" customHeight="1">
      <c r="A177" s="26">
        <f t="shared" si="22"/>
        <v>5</v>
      </c>
      <c r="B177" s="28"/>
      <c r="C177" s="30" t="s">
        <v>12</v>
      </c>
      <c r="D177" s="33" t="str">
        <f t="shared" si="23"/>
        <v>Sekar</v>
      </c>
      <c r="E177" s="42">
        <f>SUMIFS(SSOD!$C:$C,SSOD!$B:$B,Hitungan!D177,SSOD!$A:$A,Hitungan!C177)</f>
        <v>17333.33333</v>
      </c>
      <c r="F177" s="44">
        <f>SUMIF($C$182:$C$212,C177,$F$182:$F$212)</f>
        <v>0</v>
      </c>
      <c r="G177" s="47">
        <f t="shared" ref="G177:G178" si="25">E177*F177</f>
        <v>0</v>
      </c>
      <c r="H177" s="51" t="str">
        <f t="array" ref="H177">INDEX('Panduan Gaji'!$Q:$Q,MATCH(D177,'Panduan Gaji'!$C:$C,0))</f>
        <v>GS</v>
      </c>
      <c r="I177" s="53"/>
      <c r="J177" s="88"/>
      <c r="K177" s="88"/>
      <c r="L177" s="100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 ht="15.75" hidden="1" customHeight="1">
      <c r="A178" s="26">
        <f t="shared" si="22"/>
        <v>5</v>
      </c>
      <c r="B178" s="28"/>
      <c r="C178" s="102" t="s">
        <v>30</v>
      </c>
      <c r="D178" s="33" t="str">
        <f t="shared" si="23"/>
        <v>Sekar</v>
      </c>
      <c r="E178" s="42">
        <f>SUMIFS(SSOD!$C:$C,SSOD!$B:$B,Hitungan!D178,SSOD!$A:$A,Hitungan!C178)</f>
        <v>17333.33333</v>
      </c>
      <c r="F178" s="44">
        <f t="shared" ref="F178:F179" si="26">COUNTIF($C$182:$C$212,C178)</f>
        <v>2</v>
      </c>
      <c r="G178" s="47">
        <f t="shared" si="25"/>
        <v>34666.66667</v>
      </c>
      <c r="H178" s="51" t="str">
        <f t="array" ref="H178">INDEX('Panduan Gaji'!$Q:$Q,MATCH(D178,'Panduan Gaji'!$C:$C,0))</f>
        <v>GS</v>
      </c>
      <c r="I178" s="53"/>
      <c r="J178" s="105"/>
      <c r="K178" s="105"/>
      <c r="L178" s="10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 ht="15.75" hidden="1" customHeight="1">
      <c r="A179" s="26">
        <f t="shared" si="22"/>
        <v>5</v>
      </c>
      <c r="B179" s="28"/>
      <c r="C179" s="30" t="s">
        <v>33</v>
      </c>
      <c r="D179" s="33" t="str">
        <f t="shared" si="23"/>
        <v>Sekar</v>
      </c>
      <c r="E179" s="42"/>
      <c r="F179" s="44">
        <f t="shared" si="26"/>
        <v>1</v>
      </c>
      <c r="G179" s="47">
        <f>SUMIF($C$182:$C$212,C179,$E$182:$E$212)</f>
        <v>65000</v>
      </c>
      <c r="H179" s="51" t="str">
        <f t="array" ref="H179">INDEX('Panduan Gaji'!$Q:$Q,MATCH(D179,'Panduan Gaji'!$C:$C,0))</f>
        <v>GS</v>
      </c>
      <c r="I179" s="53"/>
      <c r="J179" s="105"/>
      <c r="K179" s="105"/>
      <c r="L179" s="10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22"/>
      <c r="Y179" s="22"/>
      <c r="Z179" s="22"/>
      <c r="AA179" s="22"/>
      <c r="AB179" s="22"/>
      <c r="AC179" s="22"/>
      <c r="AD179" s="22"/>
      <c r="AE179" s="22"/>
      <c r="AF179" s="22"/>
    </row>
    <row r="180" ht="15.75" hidden="1" customHeight="1">
      <c r="A180" s="26">
        <f t="shared" si="22"/>
        <v>5</v>
      </c>
      <c r="B180" s="28"/>
      <c r="C180" s="30" t="s">
        <v>83</v>
      </c>
      <c r="D180" s="33" t="str">
        <f t="shared" si="23"/>
        <v>Sekar</v>
      </c>
      <c r="E180" s="42"/>
      <c r="F180" s="44"/>
      <c r="G180" s="47"/>
      <c r="H180" s="51" t="str">
        <f t="array" ref="H180">INDEX('Panduan Gaji'!$Q:$Q,MATCH(D180,'Panduan Gaji'!$C:$C,0))</f>
        <v>GS</v>
      </c>
      <c r="I180" s="53"/>
      <c r="J180" s="105"/>
      <c r="K180" s="105"/>
      <c r="L180" s="10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 ht="15.75" hidden="1" customHeight="1">
      <c r="A181" s="26">
        <f t="shared" si="22"/>
        <v>5</v>
      </c>
      <c r="B181" s="28"/>
      <c r="C181" s="30" t="s">
        <v>85</v>
      </c>
      <c r="D181" s="33" t="str">
        <f t="shared" si="23"/>
        <v>Sekar</v>
      </c>
      <c r="E181" s="42"/>
      <c r="F181" s="44"/>
      <c r="G181" s="47"/>
      <c r="H181" s="51" t="str">
        <f t="array" ref="H181">INDEX('Panduan Gaji'!$Q:$Q,MATCH(D181,'Panduan Gaji'!$C:$C,0))</f>
        <v>GS</v>
      </c>
      <c r="I181" s="53"/>
      <c r="J181" s="105"/>
      <c r="K181" s="105"/>
      <c r="L181" s="10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ht="13.5" hidden="1" customHeight="1">
      <c r="A182" s="116">
        <f t="shared" si="22"/>
        <v>5</v>
      </c>
      <c r="B182" s="118">
        <v>46229.0</v>
      </c>
      <c r="C182" s="119"/>
      <c r="D182" s="120" t="str">
        <f t="shared" si="23"/>
        <v>Sekar</v>
      </c>
      <c r="E182" s="121">
        <f>SUMIFS(SSOD!$C:$C,SSOD!$B:$B,Hitungan!D182,SSOD!$A:$A,Hitungan!C182)</f>
        <v>0</v>
      </c>
      <c r="F182" s="122"/>
      <c r="G182" s="124">
        <f t="shared" ref="G182:G212" si="27">E182*F182</f>
        <v>0</v>
      </c>
      <c r="H182" s="126" t="str">
        <f t="array" ref="H182">INDEX('Panduan Gaji'!$Q:$Q,MATCH(D182,'Panduan Gaji'!$C:$C,0))</f>
        <v>GS</v>
      </c>
      <c r="I182" s="128" t="s">
        <v>138</v>
      </c>
      <c r="J182" s="308">
        <v>0.4111111111111111</v>
      </c>
      <c r="K182" s="308">
        <v>0.9166666666666666</v>
      </c>
      <c r="L182" s="130"/>
      <c r="M182" s="56"/>
      <c r="N182" s="56"/>
      <c r="O182" s="22"/>
      <c r="P182" s="56"/>
      <c r="Q182" s="56"/>
      <c r="R182" s="56"/>
      <c r="S182" s="56"/>
      <c r="T182" s="56"/>
      <c r="U182" s="56"/>
      <c r="V182" s="56"/>
      <c r="W182" s="56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ht="13.5" hidden="1" customHeight="1">
      <c r="A183" s="116">
        <f t="shared" si="22"/>
        <v>5</v>
      </c>
      <c r="B183" s="118">
        <v>46230.0</v>
      </c>
      <c r="C183" s="119"/>
      <c r="D183" s="120" t="str">
        <f t="shared" si="23"/>
        <v>Sekar</v>
      </c>
      <c r="E183" s="121">
        <f>SUMIFS(SSOD!$C:$C,SSOD!$B:$B,Hitungan!D183,SSOD!$A:$A,Hitungan!C183)</f>
        <v>0</v>
      </c>
      <c r="F183" s="122"/>
      <c r="G183" s="124">
        <f t="shared" si="27"/>
        <v>0</v>
      </c>
      <c r="H183" s="126" t="str">
        <f t="array" ref="H183">INDEX('Panduan Gaji'!$Q:$Q,MATCH(D183,'Panduan Gaji'!$C:$C,0))</f>
        <v>GS</v>
      </c>
      <c r="I183" s="128" t="s">
        <v>138</v>
      </c>
      <c r="J183" s="308">
        <v>0.4180555555555556</v>
      </c>
      <c r="K183" s="308">
        <v>0.9166666666666666</v>
      </c>
      <c r="L183" s="138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 ht="13.5" hidden="1" customHeight="1">
      <c r="A184" s="116">
        <f t="shared" si="22"/>
        <v>5</v>
      </c>
      <c r="B184" s="118">
        <v>46231.0</v>
      </c>
      <c r="C184" s="119"/>
      <c r="D184" s="120" t="str">
        <f t="shared" si="23"/>
        <v>Sekar</v>
      </c>
      <c r="E184" s="121">
        <f>SUMIFS(SSOD!$C:$C,SSOD!$B:$B,Hitungan!D184,SSOD!$A:$A,Hitungan!C184)</f>
        <v>0</v>
      </c>
      <c r="F184" s="122"/>
      <c r="G184" s="124">
        <f t="shared" si="27"/>
        <v>0</v>
      </c>
      <c r="H184" s="126" t="str">
        <f t="array" ref="H184">INDEX('Panduan Gaji'!$Q:$Q,MATCH(D184,'Panduan Gaji'!$C:$C,0))</f>
        <v>GS</v>
      </c>
      <c r="I184" s="128" t="s">
        <v>138</v>
      </c>
      <c r="J184" s="308"/>
      <c r="K184" s="308"/>
      <c r="L184" s="145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 ht="13.5" hidden="1" customHeight="1">
      <c r="A185" s="116">
        <f t="shared" si="22"/>
        <v>5</v>
      </c>
      <c r="B185" s="118">
        <v>46232.0</v>
      </c>
      <c r="C185" s="146"/>
      <c r="D185" s="120" t="str">
        <f t="shared" si="23"/>
        <v>Sekar</v>
      </c>
      <c r="E185" s="147">
        <f>SUMIFS(SSOD!$C:$C,SSOD!$B:$B,Hitungan!D185,SSOD!$A:$A,Hitungan!C185)</f>
        <v>0</v>
      </c>
      <c r="F185" s="148"/>
      <c r="G185" s="124">
        <f t="shared" si="27"/>
        <v>0</v>
      </c>
      <c r="H185" s="126" t="str">
        <f t="array" ref="H185">INDEX('Panduan Gaji'!$Q:$Q,MATCH(D185,'Panduan Gaji'!$C:$C,0))</f>
        <v>GS</v>
      </c>
      <c r="I185" s="128" t="s">
        <v>138</v>
      </c>
      <c r="J185" s="308">
        <v>0.4159722222222222</v>
      </c>
      <c r="K185" s="308">
        <v>0.9166666666666666</v>
      </c>
      <c r="L185" s="153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ht="13.5" hidden="1" customHeight="1">
      <c r="A186" s="116">
        <f t="shared" si="22"/>
        <v>5</v>
      </c>
      <c r="B186" s="118">
        <v>46233.0</v>
      </c>
      <c r="C186" s="119"/>
      <c r="D186" s="120" t="str">
        <f t="shared" si="23"/>
        <v>Sekar</v>
      </c>
      <c r="E186" s="121">
        <f>SUMIFS(SSOD!$C:$C,SSOD!$B:$B,Hitungan!D186,SSOD!$A:$A,Hitungan!C186)</f>
        <v>0</v>
      </c>
      <c r="F186" s="122"/>
      <c r="G186" s="124">
        <f t="shared" si="27"/>
        <v>0</v>
      </c>
      <c r="H186" s="126" t="str">
        <f t="array" ref="H186">INDEX('Panduan Gaji'!$Q:$Q,MATCH(D186,'Panduan Gaji'!$C:$C,0))</f>
        <v>GS</v>
      </c>
      <c r="I186" s="128" t="s">
        <v>138</v>
      </c>
      <c r="J186" s="308">
        <v>0.4159722222222222</v>
      </c>
      <c r="K186" s="308">
        <v>0.9166666666666666</v>
      </c>
      <c r="L186" s="164"/>
      <c r="M186" s="16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ht="13.5" hidden="1" customHeight="1">
      <c r="A187" s="116">
        <f t="shared" si="22"/>
        <v>5</v>
      </c>
      <c r="B187" s="118">
        <v>46234.0</v>
      </c>
      <c r="C187" s="119"/>
      <c r="D187" s="120" t="str">
        <f t="shared" si="23"/>
        <v>Sekar</v>
      </c>
      <c r="E187" s="121">
        <f>SUMIFS(SSOD!$C:$C,SSOD!$B:$B,Hitungan!D187,SSOD!$A:$A,Hitungan!C187)</f>
        <v>0</v>
      </c>
      <c r="F187" s="122"/>
      <c r="G187" s="124">
        <f t="shared" si="27"/>
        <v>0</v>
      </c>
      <c r="H187" s="126" t="str">
        <f t="array" ref="H187">INDEX('Panduan Gaji'!$Q:$Q,MATCH(D187,'Panduan Gaji'!$C:$C,0))</f>
        <v>GS</v>
      </c>
      <c r="I187" s="128" t="s">
        <v>138</v>
      </c>
      <c r="J187" s="308">
        <v>0.4131944444444444</v>
      </c>
      <c r="K187" s="308">
        <v>0.9166666666666666</v>
      </c>
      <c r="L187" s="130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ht="13.5" hidden="1" customHeight="1">
      <c r="A188" s="116">
        <f t="shared" si="22"/>
        <v>5</v>
      </c>
      <c r="B188" s="118">
        <v>46235.0</v>
      </c>
      <c r="C188" s="119"/>
      <c r="D188" s="120" t="str">
        <f t="shared" si="23"/>
        <v>Sekar</v>
      </c>
      <c r="E188" s="121">
        <f>SUMIFS(SSOD!$C:$C,SSOD!$B:$B,Hitungan!D188,SSOD!$A:$A,Hitungan!C188)</f>
        <v>0</v>
      </c>
      <c r="F188" s="122"/>
      <c r="G188" s="124">
        <f t="shared" si="27"/>
        <v>0</v>
      </c>
      <c r="H188" s="126" t="str">
        <f t="array" ref="H188">INDEX('Panduan Gaji'!$Q:$Q,MATCH(D188,'Panduan Gaji'!$C:$C,0))</f>
        <v>GS</v>
      </c>
      <c r="I188" s="128" t="s">
        <v>138</v>
      </c>
      <c r="J188" s="309">
        <v>0.4180555555555556</v>
      </c>
      <c r="K188" s="308">
        <v>0.93125</v>
      </c>
      <c r="L188" s="145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ht="13.5" hidden="1" customHeight="1">
      <c r="A189" s="116">
        <f t="shared" si="22"/>
        <v>5</v>
      </c>
      <c r="B189" s="118">
        <v>46236.0</v>
      </c>
      <c r="C189" s="119"/>
      <c r="D189" s="120" t="str">
        <f t="shared" si="23"/>
        <v>Sekar</v>
      </c>
      <c r="E189" s="121">
        <v>0.0</v>
      </c>
      <c r="F189" s="122"/>
      <c r="G189" s="124">
        <f t="shared" si="27"/>
        <v>0</v>
      </c>
      <c r="H189" s="126" t="str">
        <f t="array" ref="H189">INDEX('Panduan Gaji'!$Q:$Q,MATCH(D189,'Panduan Gaji'!$C:$C,0))</f>
        <v>GS</v>
      </c>
      <c r="I189" s="128" t="s">
        <v>138</v>
      </c>
      <c r="J189" s="309">
        <v>0.4152777777777778</v>
      </c>
      <c r="K189" s="308">
        <v>0.9277777777777778</v>
      </c>
      <c r="L189" s="145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ht="13.5" hidden="1" customHeight="1">
      <c r="A190" s="116">
        <f t="shared" si="22"/>
        <v>5</v>
      </c>
      <c r="B190" s="118">
        <v>46237.0</v>
      </c>
      <c r="C190" s="119"/>
      <c r="D190" s="120" t="str">
        <f t="shared" si="23"/>
        <v>Sekar</v>
      </c>
      <c r="E190" s="121">
        <f>SUMIFS(SSOD!$C:$C,SSOD!$B:$B,Hitungan!D190,SSOD!$A:$A,Hitungan!C190)</f>
        <v>0</v>
      </c>
      <c r="F190" s="122"/>
      <c r="G190" s="124">
        <f t="shared" si="27"/>
        <v>0</v>
      </c>
      <c r="H190" s="126" t="str">
        <f t="array" ref="H190">INDEX('Panduan Gaji'!$Q:$Q,MATCH(D190,'Panduan Gaji'!$C:$C,0))</f>
        <v>GS</v>
      </c>
      <c r="I190" s="128" t="s">
        <v>138</v>
      </c>
      <c r="J190" s="309"/>
      <c r="K190" s="308"/>
      <c r="L190" s="145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 ht="13.5" hidden="1" customHeight="1">
      <c r="A191" s="116">
        <f t="shared" si="22"/>
        <v>5</v>
      </c>
      <c r="B191" s="118">
        <v>46238.0</v>
      </c>
      <c r="C191" s="181"/>
      <c r="D191" s="120" t="str">
        <f t="shared" si="23"/>
        <v>Sekar</v>
      </c>
      <c r="E191" s="121">
        <f>SUMIFS(SSOD!$C:$C,SSOD!$B:$B,Hitungan!D191,SSOD!$A:$A,Hitungan!C191)</f>
        <v>0</v>
      </c>
      <c r="F191" s="182"/>
      <c r="G191" s="52">
        <f t="shared" si="27"/>
        <v>0</v>
      </c>
      <c r="H191" s="126" t="str">
        <f t="array" ref="H191">INDEX('Panduan Gaji'!$Q:$Q,MATCH(D191,'Panduan Gaji'!$C:$C,0))</f>
        <v>GS</v>
      </c>
      <c r="I191" s="128" t="s">
        <v>138</v>
      </c>
      <c r="J191" s="309">
        <v>0.4152777777777778</v>
      </c>
      <c r="K191" s="308">
        <v>0.9166666666666666</v>
      </c>
      <c r="L191" s="119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 ht="13.5" hidden="1" customHeight="1">
      <c r="A192" s="116">
        <f t="shared" si="22"/>
        <v>5</v>
      </c>
      <c r="B192" s="118">
        <v>46239.0</v>
      </c>
      <c r="C192" s="119"/>
      <c r="D192" s="120" t="str">
        <f t="shared" si="23"/>
        <v>Sekar</v>
      </c>
      <c r="E192" s="121">
        <f>SUMIFS(SSOD!$C:$C,SSOD!$B:$B,Hitungan!D192,SSOD!$A:$A,Hitungan!C192)</f>
        <v>0</v>
      </c>
      <c r="F192" s="122"/>
      <c r="G192" s="124">
        <f t="shared" si="27"/>
        <v>0</v>
      </c>
      <c r="H192" s="126" t="str">
        <f t="array" ref="H192">INDEX('Panduan Gaji'!$Q:$Q,MATCH(D192,'Panduan Gaji'!$C:$C,0))</f>
        <v>GS</v>
      </c>
      <c r="I192" s="128" t="s">
        <v>138</v>
      </c>
      <c r="J192" s="309">
        <v>0.4173611111111111</v>
      </c>
      <c r="K192" s="308">
        <v>0.9166666666666666</v>
      </c>
      <c r="L192" s="145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 ht="13.5" hidden="1" customHeight="1">
      <c r="A193" s="116">
        <f t="shared" si="22"/>
        <v>5</v>
      </c>
      <c r="B193" s="118">
        <v>46240.0</v>
      </c>
      <c r="C193" s="119"/>
      <c r="D193" s="120" t="str">
        <f t="shared" si="23"/>
        <v>Sekar</v>
      </c>
      <c r="E193" s="121">
        <f>SUMIFS(SSOD!$C:$C,SSOD!$B:$B,Hitungan!D193,SSOD!$A:$A,Hitungan!C193)</f>
        <v>0</v>
      </c>
      <c r="F193" s="122"/>
      <c r="G193" s="124">
        <f t="shared" si="27"/>
        <v>0</v>
      </c>
      <c r="H193" s="126" t="str">
        <f t="array" ref="H193">INDEX('Panduan Gaji'!$Q:$Q,MATCH(D193,'Panduan Gaji'!$C:$C,0))</f>
        <v>GS</v>
      </c>
      <c r="I193" s="128" t="s">
        <v>138</v>
      </c>
      <c r="J193" s="308">
        <v>0.4194444444444445</v>
      </c>
      <c r="K193" s="308">
        <v>0.9173611111111111</v>
      </c>
      <c r="L193" s="145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 ht="13.5" hidden="1" customHeight="1">
      <c r="A194" s="116">
        <f t="shared" si="22"/>
        <v>5</v>
      </c>
      <c r="B194" s="118">
        <v>46241.0</v>
      </c>
      <c r="C194" s="119"/>
      <c r="D194" s="120" t="str">
        <f t="shared" si="23"/>
        <v>Sekar</v>
      </c>
      <c r="E194" s="121">
        <f>SUMIFS(SSOD!$C:$C,SSOD!$B:$B,Hitungan!D194,SSOD!$A:$A,Hitungan!C194)</f>
        <v>0</v>
      </c>
      <c r="F194" s="122"/>
      <c r="G194" s="124">
        <f t="shared" si="27"/>
        <v>0</v>
      </c>
      <c r="H194" s="126" t="str">
        <f t="array" ref="H194">INDEX('Panduan Gaji'!$Q:$Q,MATCH(D194,'Panduan Gaji'!$C:$C,0))</f>
        <v>GS</v>
      </c>
      <c r="I194" s="128" t="s">
        <v>138</v>
      </c>
      <c r="J194" s="308">
        <v>0.4173611111111111</v>
      </c>
      <c r="K194" s="310">
        <v>0.9194444444444444</v>
      </c>
      <c r="L194" s="119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 ht="13.5" hidden="1" customHeight="1">
      <c r="A195" s="116">
        <f t="shared" si="22"/>
        <v>5</v>
      </c>
      <c r="B195" s="118">
        <v>46242.0</v>
      </c>
      <c r="C195" s="119"/>
      <c r="D195" s="120" t="str">
        <f t="shared" si="23"/>
        <v>Sekar</v>
      </c>
      <c r="E195" s="121">
        <f>SUMIFS(SSOD!$C:$C,SSOD!$B:$B,Hitungan!D195,SSOD!$A:$A,Hitungan!C195)</f>
        <v>0</v>
      </c>
      <c r="F195" s="122"/>
      <c r="G195" s="124">
        <f t="shared" si="27"/>
        <v>0</v>
      </c>
      <c r="H195" s="126" t="str">
        <f t="array" ref="H195">INDEX('Panduan Gaji'!$Q:$Q,MATCH(D195,'Panduan Gaji'!$C:$C,0))</f>
        <v>GS</v>
      </c>
      <c r="I195" s="128" t="s">
        <v>138</v>
      </c>
      <c r="J195" s="309">
        <v>0.4125</v>
      </c>
      <c r="K195" s="309">
        <v>0.9194444444444444</v>
      </c>
      <c r="L195" s="187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 ht="13.5" hidden="1" customHeight="1">
      <c r="A196" s="116">
        <f t="shared" si="22"/>
        <v>5</v>
      </c>
      <c r="B196" s="118">
        <v>46243.0</v>
      </c>
      <c r="C196" s="119"/>
      <c r="D196" s="120" t="str">
        <f t="shared" si="23"/>
        <v>Sekar</v>
      </c>
      <c r="E196" s="121">
        <f>SUMIFS(SSOD!$C:$C,SSOD!$B:$B,Hitungan!D196,SSOD!$A:$A,Hitungan!C196)</f>
        <v>0</v>
      </c>
      <c r="F196" s="122"/>
      <c r="G196" s="124">
        <f t="shared" si="27"/>
        <v>0</v>
      </c>
      <c r="H196" s="126" t="str">
        <f t="array" ref="H196">INDEX('Panduan Gaji'!$Q:$Q,MATCH(D196,'Panduan Gaji'!$C:$C,0))</f>
        <v>GS</v>
      </c>
      <c r="I196" s="128" t="s">
        <v>138</v>
      </c>
      <c r="J196" s="309">
        <v>0.41875</v>
      </c>
      <c r="K196" s="309">
        <v>0.9236111111111112</v>
      </c>
      <c r="L196" s="187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 ht="13.5" hidden="1" customHeight="1">
      <c r="A197" s="116">
        <f t="shared" si="22"/>
        <v>5</v>
      </c>
      <c r="B197" s="118">
        <v>46244.0</v>
      </c>
      <c r="C197" s="119"/>
      <c r="D197" s="120" t="str">
        <f t="shared" si="23"/>
        <v>Sekar</v>
      </c>
      <c r="E197" s="121">
        <f>SUMIFS(SSOD!$C:$C,SSOD!$B:$B,Hitungan!D197,SSOD!$A:$A,Hitungan!C197)</f>
        <v>0</v>
      </c>
      <c r="F197" s="122"/>
      <c r="G197" s="124">
        <f t="shared" si="27"/>
        <v>0</v>
      </c>
      <c r="H197" s="126" t="str">
        <f t="array" ref="H197">INDEX('Panduan Gaji'!$Q:$Q,MATCH(D197,'Panduan Gaji'!$C:$C,0))</f>
        <v>GS</v>
      </c>
      <c r="I197" s="128" t="s">
        <v>138</v>
      </c>
      <c r="J197" s="309">
        <v>0.4125</v>
      </c>
      <c r="K197" s="309">
        <v>0.9166666666666666</v>
      </c>
      <c r="L197" s="187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ht="13.5" hidden="1" customHeight="1">
      <c r="A198" s="116">
        <f t="shared" si="22"/>
        <v>5</v>
      </c>
      <c r="B198" s="118">
        <v>46245.0</v>
      </c>
      <c r="C198" s="119"/>
      <c r="D198" s="120" t="str">
        <f t="shared" si="23"/>
        <v>Sekar</v>
      </c>
      <c r="E198" s="121">
        <f>SUMIFS(SSOD!$C:$C,SSOD!$B:$B,Hitungan!D198,SSOD!$A:$A,Hitungan!C198)</f>
        <v>0</v>
      </c>
      <c r="F198" s="122"/>
      <c r="G198" s="124">
        <f t="shared" si="27"/>
        <v>0</v>
      </c>
      <c r="H198" s="126" t="str">
        <f t="array" ref="H198">INDEX('Panduan Gaji'!$Q:$Q,MATCH(D198,'Panduan Gaji'!$C:$C,0))</f>
        <v>GS</v>
      </c>
      <c r="I198" s="128" t="s">
        <v>138</v>
      </c>
      <c r="J198" s="308"/>
      <c r="K198" s="308"/>
      <c r="L198" s="145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 ht="13.5" hidden="1" customHeight="1">
      <c r="A199" s="116">
        <f t="shared" si="22"/>
        <v>5</v>
      </c>
      <c r="B199" s="118">
        <v>46246.0</v>
      </c>
      <c r="C199" s="119"/>
      <c r="D199" s="120" t="str">
        <f t="shared" si="23"/>
        <v>Sekar</v>
      </c>
      <c r="E199" s="121">
        <f>SUMIFS(SSOD!$C:$C,SSOD!$B:$B,Hitungan!D199,SSOD!$A:$A,Hitungan!C199)</f>
        <v>0</v>
      </c>
      <c r="F199" s="122"/>
      <c r="G199" s="124">
        <f t="shared" si="27"/>
        <v>0</v>
      </c>
      <c r="H199" s="126" t="str">
        <f t="array" ref="H199">INDEX('Panduan Gaji'!$Q:$Q,MATCH(D199,'Panduan Gaji'!$C:$C,0))</f>
        <v>GS</v>
      </c>
      <c r="I199" s="128" t="s">
        <v>138</v>
      </c>
      <c r="J199" s="308">
        <v>0.4152777777777778</v>
      </c>
      <c r="K199" s="308">
        <v>0.9333333333333333</v>
      </c>
      <c r="L199" s="145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 ht="13.5" hidden="1" customHeight="1">
      <c r="A200" s="116">
        <f t="shared" si="22"/>
        <v>5</v>
      </c>
      <c r="B200" s="118">
        <v>46247.0</v>
      </c>
      <c r="C200" s="119" t="s">
        <v>30</v>
      </c>
      <c r="D200" s="120" t="str">
        <f t="shared" si="23"/>
        <v>Sekar</v>
      </c>
      <c r="E200" s="121">
        <f>SUMIFS(SSOD!$C:$C,SSOD!$B:$B,Hitungan!D200,SSOD!$A:$A,Hitungan!C200)</f>
        <v>17333.33333</v>
      </c>
      <c r="F200" s="122">
        <v>1.0</v>
      </c>
      <c r="G200" s="124">
        <f t="shared" si="27"/>
        <v>17333.33333</v>
      </c>
      <c r="H200" s="126" t="str">
        <f t="array" ref="H200">INDEX('Panduan Gaji'!$Q:$Q,MATCH(D200,'Panduan Gaji'!$C:$C,0))</f>
        <v>GS</v>
      </c>
      <c r="I200" s="128" t="s">
        <v>138</v>
      </c>
      <c r="J200" s="312">
        <v>0.4208333333333333</v>
      </c>
      <c r="K200" s="308">
        <v>0.9173611111111111</v>
      </c>
      <c r="L200" s="145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 ht="13.5" hidden="1" customHeight="1">
      <c r="A201" s="116">
        <f t="shared" si="22"/>
        <v>5</v>
      </c>
      <c r="B201" s="118"/>
      <c r="C201" s="119" t="s">
        <v>33</v>
      </c>
      <c r="D201" s="120" t="str">
        <f t="shared" si="23"/>
        <v>Sekar</v>
      </c>
      <c r="E201" s="121">
        <v>65000.0</v>
      </c>
      <c r="F201" s="122">
        <v>1.0</v>
      </c>
      <c r="G201" s="124">
        <f t="shared" si="27"/>
        <v>65000</v>
      </c>
      <c r="H201" s="126" t="str">
        <f t="array" ref="H201">INDEX('Panduan Gaji'!$Q:$Q,MATCH(D201,'Panduan Gaji'!$C:$C,0))</f>
        <v>GS</v>
      </c>
      <c r="I201" s="128"/>
      <c r="J201" s="308"/>
      <c r="K201" s="310"/>
      <c r="L201" s="145" t="s">
        <v>139</v>
      </c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22"/>
      <c r="Y201" s="22"/>
      <c r="Z201" s="22"/>
      <c r="AA201" s="22"/>
      <c r="AB201" s="22"/>
      <c r="AC201" s="22"/>
      <c r="AD201" s="22"/>
      <c r="AE201" s="22"/>
      <c r="AF201" s="22"/>
    </row>
    <row r="202" ht="13.5" hidden="1" customHeight="1">
      <c r="A202" s="116">
        <f t="shared" si="22"/>
        <v>5</v>
      </c>
      <c r="B202" s="118">
        <v>46248.0</v>
      </c>
      <c r="C202" s="119"/>
      <c r="D202" s="120" t="str">
        <f t="shared" si="23"/>
        <v>Sekar</v>
      </c>
      <c r="E202" s="121">
        <f>SUMIFS(SSOD!$C:$C,SSOD!$B:$B,Hitungan!D202,SSOD!$A:$A,Hitungan!C202)</f>
        <v>0</v>
      </c>
      <c r="F202" s="122"/>
      <c r="G202" s="124">
        <f t="shared" si="27"/>
        <v>0</v>
      </c>
      <c r="H202" s="126" t="str">
        <f t="array" ref="H202">INDEX('Panduan Gaji'!$Q:$Q,MATCH(D202,'Panduan Gaji'!$C:$C,0))</f>
        <v>GS</v>
      </c>
      <c r="I202" s="128" t="s">
        <v>138</v>
      </c>
      <c r="J202" s="308">
        <v>0.4166666666666667</v>
      </c>
      <c r="K202" s="310">
        <v>0.9208333333333333</v>
      </c>
      <c r="L202" s="145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ht="13.5" hidden="1" customHeight="1">
      <c r="A203" s="116">
        <f t="shared" si="22"/>
        <v>5</v>
      </c>
      <c r="B203" s="118">
        <v>46249.0</v>
      </c>
      <c r="C203" s="119"/>
      <c r="D203" s="120" t="str">
        <f t="shared" si="23"/>
        <v>Sekar</v>
      </c>
      <c r="E203" s="121">
        <f>SUMIFS(SSOD!$C:$C,SSOD!$B:$B,Hitungan!D203,SSOD!$A:$A,Hitungan!C203)</f>
        <v>0</v>
      </c>
      <c r="F203" s="122"/>
      <c r="G203" s="124">
        <f t="shared" si="27"/>
        <v>0</v>
      </c>
      <c r="H203" s="126" t="str">
        <f t="array" ref="H203">INDEX('Panduan Gaji'!$Q:$Q,MATCH(D203,'Panduan Gaji'!$C:$C,0))</f>
        <v>GS</v>
      </c>
      <c r="I203" s="128" t="s">
        <v>138</v>
      </c>
      <c r="J203" s="308">
        <v>0.4166666666666667</v>
      </c>
      <c r="K203" s="308">
        <v>0.9180555555555555</v>
      </c>
      <c r="L203" s="145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 ht="13.5" hidden="1" customHeight="1">
      <c r="A204" s="116">
        <f t="shared" si="22"/>
        <v>5</v>
      </c>
      <c r="B204" s="118">
        <v>46250.0</v>
      </c>
      <c r="C204" s="119" t="s">
        <v>30</v>
      </c>
      <c r="D204" s="120" t="str">
        <f t="shared" si="23"/>
        <v>Sekar</v>
      </c>
      <c r="E204" s="121">
        <f>SUMIFS(SSOD!$C:$C,SSOD!$B:$B,Hitungan!D204,SSOD!$A:$A,Hitungan!C204)</f>
        <v>17333.33333</v>
      </c>
      <c r="F204" s="122">
        <v>1.0</v>
      </c>
      <c r="G204" s="124">
        <f t="shared" si="27"/>
        <v>17333.33333</v>
      </c>
      <c r="H204" s="126" t="str">
        <f t="array" ref="H204">INDEX('Panduan Gaji'!$Q:$Q,MATCH(D204,'Panduan Gaji'!$C:$C,0))</f>
        <v>GS</v>
      </c>
      <c r="I204" s="128" t="s">
        <v>138</v>
      </c>
      <c r="J204" s="312">
        <v>0.4229166666666667</v>
      </c>
      <c r="K204" s="308">
        <v>0.9166666666666666</v>
      </c>
      <c r="L204" s="145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 ht="13.5" hidden="1" customHeight="1">
      <c r="A205" s="116">
        <f t="shared" si="22"/>
        <v>5</v>
      </c>
      <c r="B205" s="118">
        <v>46251.0</v>
      </c>
      <c r="C205" s="119"/>
      <c r="D205" s="120" t="str">
        <f t="shared" si="23"/>
        <v>Sekar</v>
      </c>
      <c r="E205" s="121">
        <f>SUMIFS(SSOD!$C:$C,SSOD!$B:$B,Hitungan!D205,SSOD!$A:$A,Hitungan!C205)</f>
        <v>0</v>
      </c>
      <c r="F205" s="122"/>
      <c r="G205" s="124">
        <f t="shared" si="27"/>
        <v>0</v>
      </c>
      <c r="H205" s="126" t="str">
        <f t="array" ref="H205">INDEX('Panduan Gaji'!$Q:$Q,MATCH(D205,'Panduan Gaji'!$C:$C,0))</f>
        <v>GS</v>
      </c>
      <c r="I205" s="128" t="s">
        <v>138</v>
      </c>
      <c r="J205" s="308">
        <v>0.4159722222222222</v>
      </c>
      <c r="K205" s="308">
        <v>0.9166666666666666</v>
      </c>
      <c r="L205" s="119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 ht="13.5" hidden="1" customHeight="1">
      <c r="A206" s="116">
        <f t="shared" si="22"/>
        <v>5</v>
      </c>
      <c r="B206" s="118">
        <v>46252.0</v>
      </c>
      <c r="C206" s="119"/>
      <c r="D206" s="120" t="str">
        <f t="shared" si="23"/>
        <v>Sekar</v>
      </c>
      <c r="E206" s="121">
        <f>SUMIFS(SSOD!$C:$C,SSOD!$B:$B,Hitungan!D206,SSOD!$A:$A,Hitungan!C206)</f>
        <v>0</v>
      </c>
      <c r="F206" s="122"/>
      <c r="G206" s="124">
        <f t="shared" si="27"/>
        <v>0</v>
      </c>
      <c r="H206" s="126" t="str">
        <f t="array" ref="H206">INDEX('Panduan Gaji'!$Q:$Q,MATCH(D206,'Panduan Gaji'!$C:$C,0))</f>
        <v>GS</v>
      </c>
      <c r="I206" s="128" t="s">
        <v>138</v>
      </c>
      <c r="J206" s="308">
        <v>0.4152777777777778</v>
      </c>
      <c r="K206" s="308">
        <v>0.9166666666666666</v>
      </c>
      <c r="L206" s="119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 ht="13.5" hidden="1" customHeight="1">
      <c r="A207" s="116">
        <f t="shared" si="22"/>
        <v>5</v>
      </c>
      <c r="B207" s="118">
        <v>46253.0</v>
      </c>
      <c r="C207" s="119"/>
      <c r="D207" s="120" t="str">
        <f t="shared" si="23"/>
        <v>Sekar</v>
      </c>
      <c r="E207" s="121">
        <f>SUMIFS(SSOD!$C:$C,SSOD!$B:$B,Hitungan!D207,SSOD!$A:$A,Hitungan!C207)</f>
        <v>0</v>
      </c>
      <c r="F207" s="122"/>
      <c r="G207" s="124">
        <f t="shared" si="27"/>
        <v>0</v>
      </c>
      <c r="H207" s="126" t="str">
        <f t="array" ref="H207">INDEX('Panduan Gaji'!$Q:$Q,MATCH(D207,'Panduan Gaji'!$C:$C,0))</f>
        <v>GS</v>
      </c>
      <c r="I207" s="128" t="s">
        <v>138</v>
      </c>
      <c r="J207" s="308"/>
      <c r="K207" s="308"/>
      <c r="L207" s="119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 ht="13.5" hidden="1" customHeight="1">
      <c r="A208" s="116">
        <f t="shared" si="22"/>
        <v>5</v>
      </c>
      <c r="B208" s="118">
        <v>46254.0</v>
      </c>
      <c r="C208" s="119"/>
      <c r="D208" s="120" t="str">
        <f t="shared" si="23"/>
        <v>Sekar</v>
      </c>
      <c r="E208" s="121">
        <f>SUMIFS(SSOD!$C:$C,SSOD!$B:$B,Hitungan!D208,SSOD!$A:$A,Hitungan!C208)</f>
        <v>0</v>
      </c>
      <c r="F208" s="122"/>
      <c r="G208" s="124">
        <f t="shared" si="27"/>
        <v>0</v>
      </c>
      <c r="H208" s="126" t="str">
        <f t="array" ref="H208">INDEX('Panduan Gaji'!$Q:$Q,MATCH(D208,'Panduan Gaji'!$C:$C,0))</f>
        <v>GS</v>
      </c>
      <c r="I208" s="128" t="s">
        <v>138</v>
      </c>
      <c r="J208" s="308">
        <v>0.4166666666666667</v>
      </c>
      <c r="K208" s="308">
        <v>0.9173611111111111</v>
      </c>
      <c r="L208" s="145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 ht="13.5" hidden="1" customHeight="1">
      <c r="A209" s="116">
        <f t="shared" si="22"/>
        <v>5</v>
      </c>
      <c r="B209" s="118">
        <v>46255.0</v>
      </c>
      <c r="C209" s="119"/>
      <c r="D209" s="120" t="str">
        <f t="shared" si="23"/>
        <v>Sekar</v>
      </c>
      <c r="E209" s="121">
        <f>SUMIFS(SSOD!$C:$C,SSOD!$B:$B,Hitungan!D209,SSOD!$A:$A,Hitungan!C209)</f>
        <v>0</v>
      </c>
      <c r="F209" s="122"/>
      <c r="G209" s="124">
        <f t="shared" si="27"/>
        <v>0</v>
      </c>
      <c r="H209" s="126" t="str">
        <f t="array" ref="H209">INDEX('Panduan Gaji'!$Q:$Q,MATCH(D209,'Panduan Gaji'!$C:$C,0))</f>
        <v>GS</v>
      </c>
      <c r="I209" s="128" t="s">
        <v>138</v>
      </c>
      <c r="J209" s="308">
        <v>0.4194444444444445</v>
      </c>
      <c r="K209" s="308">
        <v>0.9166666666666666</v>
      </c>
      <c r="L209" s="119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22"/>
      <c r="Y209" s="22"/>
      <c r="Z209" s="22"/>
      <c r="AA209" s="22"/>
      <c r="AB209" s="22"/>
      <c r="AC209" s="22"/>
      <c r="AD209" s="22"/>
      <c r="AE209" s="22"/>
      <c r="AF209" s="22"/>
    </row>
    <row r="210" ht="13.5" hidden="1" customHeight="1">
      <c r="A210" s="116">
        <f t="shared" si="22"/>
        <v>5</v>
      </c>
      <c r="B210" s="118">
        <v>46256.0</v>
      </c>
      <c r="C210" s="119"/>
      <c r="D210" s="120" t="str">
        <f t="shared" si="23"/>
        <v>Sekar</v>
      </c>
      <c r="E210" s="121">
        <f>SUMIFS(SSOD!$C:$C,SSOD!$B:$B,Hitungan!D210,SSOD!$A:$A,Hitungan!C210)</f>
        <v>0</v>
      </c>
      <c r="F210" s="122"/>
      <c r="G210" s="124">
        <f t="shared" si="27"/>
        <v>0</v>
      </c>
      <c r="H210" s="126" t="str">
        <f t="array" ref="H210">INDEX('Panduan Gaji'!$Q:$Q,MATCH(D210,'Panduan Gaji'!$C:$C,0))</f>
        <v>GS</v>
      </c>
      <c r="I210" s="128" t="s">
        <v>138</v>
      </c>
      <c r="J210" s="308">
        <v>0.4145833333333334</v>
      </c>
      <c r="K210" s="308">
        <v>0.9201388888888888</v>
      </c>
      <c r="L210" s="119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 ht="13.5" hidden="1" customHeight="1">
      <c r="A211" s="116">
        <f t="shared" si="22"/>
        <v>5</v>
      </c>
      <c r="B211" s="118">
        <v>46257.0</v>
      </c>
      <c r="C211" s="119"/>
      <c r="D211" s="120" t="str">
        <f t="shared" si="23"/>
        <v>Sekar</v>
      </c>
      <c r="E211" s="121">
        <f>SUMIFS(SSOD!$C:$C,SSOD!$B:$B,Hitungan!D211,SSOD!$A:$A,Hitungan!C211)</f>
        <v>0</v>
      </c>
      <c r="F211" s="122"/>
      <c r="G211" s="124">
        <f t="shared" si="27"/>
        <v>0</v>
      </c>
      <c r="H211" s="126" t="str">
        <f t="array" ref="H211">INDEX('Panduan Gaji'!$Q:$Q,MATCH(D211,'Panduan Gaji'!$C:$C,0))</f>
        <v>GS</v>
      </c>
      <c r="I211" s="128" t="s">
        <v>138</v>
      </c>
      <c r="J211" s="308">
        <v>0.4138888888888889</v>
      </c>
      <c r="K211" s="308">
        <v>0.91875</v>
      </c>
      <c r="L211" s="119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 ht="13.5" hidden="1" customHeight="1">
      <c r="A212" s="116">
        <f t="shared" si="22"/>
        <v>5</v>
      </c>
      <c r="B212" s="118">
        <v>46258.0</v>
      </c>
      <c r="C212" s="119"/>
      <c r="D212" s="120" t="str">
        <f t="shared" si="23"/>
        <v>Sekar</v>
      </c>
      <c r="E212" s="121">
        <f>SUMIFS(SSOD!$C:$C,SSOD!$B:$B,Hitungan!D212,SSOD!$A:$A,Hitungan!C212)</f>
        <v>0</v>
      </c>
      <c r="F212" s="122"/>
      <c r="G212" s="124">
        <f t="shared" si="27"/>
        <v>0</v>
      </c>
      <c r="H212" s="220" t="str">
        <f t="array" ref="H212">INDEX('Panduan Gaji'!$Q:$Q,MATCH(D212,'Panduan Gaji'!$C:$C,0))</f>
        <v>GS</v>
      </c>
      <c r="I212" s="128" t="s">
        <v>138</v>
      </c>
      <c r="J212" s="308">
        <v>0.4180555555555556</v>
      </c>
      <c r="K212" s="308"/>
      <c r="L212" s="119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 ht="15.75" hidden="1" customHeight="1">
      <c r="A213" s="222"/>
      <c r="B213" s="223"/>
      <c r="C213" s="224"/>
      <c r="D213" s="225"/>
      <c r="E213" s="226"/>
      <c r="F213" s="227"/>
      <c r="G213" s="228"/>
      <c r="H213" s="229"/>
      <c r="I213" s="22"/>
      <c r="J213" s="230"/>
      <c r="K213" s="230"/>
      <c r="L213" s="224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</row>
    <row r="214" ht="13.5" hidden="1" customHeight="1">
      <c r="A214" s="26">
        <v>6.0</v>
      </c>
      <c r="B214" s="28"/>
      <c r="C214" s="30" t="s">
        <v>6</v>
      </c>
      <c r="D214" s="33" t="s">
        <v>66</v>
      </c>
      <c r="E214" s="42">
        <f>SUMIFS(SSOD!$C:$C,SSOD!$B:$B,Hitungan!D214,SSOD!$A:$A,Hitungan!C214)</f>
        <v>2250000</v>
      </c>
      <c r="F214" s="44">
        <v>1.0</v>
      </c>
      <c r="G214" s="47">
        <f t="shared" ref="G214:G217" si="28">E214*F214</f>
        <v>2250000</v>
      </c>
      <c r="H214" s="51" t="str">
        <f t="array" ref="H214">INDEX('Panduan Gaji'!$Q:$Q,MATCH(D214,'Panduan Gaji'!$C:$C,0))</f>
        <v>GS</v>
      </c>
      <c r="I214" s="53"/>
      <c r="J214" s="54"/>
      <c r="K214" s="54"/>
      <c r="L214" s="55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ht="13.5" hidden="1" customHeight="1">
      <c r="A215" s="26">
        <f t="shared" ref="A215:A253" si="29">A214</f>
        <v>6</v>
      </c>
      <c r="B215" s="28"/>
      <c r="C215" s="30" t="s">
        <v>17</v>
      </c>
      <c r="D215" s="33" t="str">
        <f t="shared" ref="D215:D253" si="30">D214</f>
        <v>Ahmad</v>
      </c>
      <c r="E215" s="42">
        <f>SUMIFS(SSOD!$C:$C,SSOD!$B:$B,Hitungan!D215,SSOD!$A:$A,Hitungan!C215)</f>
        <v>0</v>
      </c>
      <c r="F215" s="44"/>
      <c r="G215" s="47">
        <f t="shared" si="28"/>
        <v>0</v>
      </c>
      <c r="H215" s="51" t="str">
        <f t="array" ref="H215">INDEX('Panduan Gaji'!$Q:$Q,MATCH(D215,'Panduan Gaji'!$C:$C,0))</f>
        <v>GS</v>
      </c>
      <c r="I215" s="53"/>
      <c r="J215" s="54"/>
      <c r="K215" s="54"/>
      <c r="L215" s="55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22"/>
      <c r="Y215" s="22"/>
      <c r="Z215" s="22"/>
      <c r="AA215" s="22"/>
      <c r="AB215" s="22"/>
      <c r="AC215" s="22"/>
      <c r="AD215" s="22"/>
      <c r="AE215" s="22"/>
      <c r="AF215" s="22"/>
    </row>
    <row r="216" ht="13.5" hidden="1" customHeight="1">
      <c r="A216" s="26">
        <f t="shared" si="29"/>
        <v>6</v>
      </c>
      <c r="B216" s="28"/>
      <c r="C216" s="30" t="s">
        <v>7</v>
      </c>
      <c r="D216" s="33" t="str">
        <f t="shared" si="30"/>
        <v>Ahmad</v>
      </c>
      <c r="E216" s="42">
        <f>SUMIFS(SSOD!$C:$C,SSOD!$B:$B,Hitungan!D216,SSOD!$A:$A,Hitungan!C216)</f>
        <v>21000</v>
      </c>
      <c r="F216" s="44">
        <f t="shared" ref="F216:F217" si="31">SUMPRODUCT(--((($J$224:$J$253&lt;&gt;"")+($K$224:$K$253&lt;&gt;""))&gt;0))</f>
        <v>24</v>
      </c>
      <c r="G216" s="47">
        <f t="shared" si="28"/>
        <v>504000</v>
      </c>
      <c r="H216" s="51" t="str">
        <f t="array" ref="H216">INDEX('Panduan Gaji'!$Q:$Q,MATCH(D216,'Panduan Gaji'!$C:$C,0))</f>
        <v>GS</v>
      </c>
      <c r="I216" s="53"/>
      <c r="J216" s="88"/>
      <c r="K216" s="88"/>
      <c r="L216" s="55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 ht="13.5" hidden="1" customHeight="1">
      <c r="A217" s="26">
        <f t="shared" si="29"/>
        <v>6</v>
      </c>
      <c r="B217" s="28"/>
      <c r="C217" s="30" t="s">
        <v>9</v>
      </c>
      <c r="D217" s="33" t="str">
        <f t="shared" si="30"/>
        <v>Ahmad</v>
      </c>
      <c r="E217" s="42">
        <f>SUMIFS(SSOD!$C:$C,SSOD!$B:$B,Hitungan!D217,SSOD!$A:$A,Hitungan!C217)</f>
        <v>45000</v>
      </c>
      <c r="F217" s="44">
        <f t="shared" si="31"/>
        <v>24</v>
      </c>
      <c r="G217" s="47">
        <f t="shared" si="28"/>
        <v>1080000</v>
      </c>
      <c r="H217" s="51" t="str">
        <f t="array" ref="H217">INDEX('Panduan Gaji'!$Q:$Q,MATCH(D217,'Panduan Gaji'!$C:$C,0))</f>
        <v>GS</v>
      </c>
      <c r="I217" s="53"/>
      <c r="J217" s="88"/>
      <c r="K217" s="88"/>
      <c r="L217" s="9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 ht="15.75" hidden="1" customHeight="1">
      <c r="A218" s="26">
        <f t="shared" si="29"/>
        <v>6</v>
      </c>
      <c r="B218" s="28"/>
      <c r="C218" s="30" t="s">
        <v>39</v>
      </c>
      <c r="D218" s="33" t="str">
        <f t="shared" si="30"/>
        <v>Ahmad</v>
      </c>
      <c r="E218" s="42">
        <f>36820+670420</f>
        <v>707240</v>
      </c>
      <c r="F218" s="44">
        <v>1.0</v>
      </c>
      <c r="G218" s="47">
        <f>F218*E218</f>
        <v>707240</v>
      </c>
      <c r="H218" s="51" t="str">
        <f t="array" ref="H218">INDEX('Panduan Gaji'!$Q:$Q,MATCH(D218,'Panduan Gaji'!$C:$C,0))</f>
        <v>GS</v>
      </c>
      <c r="I218" s="53"/>
      <c r="J218" s="88"/>
      <c r="K218" s="88"/>
      <c r="L218" s="9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 ht="15.75" hidden="1" customHeight="1">
      <c r="A219" s="26">
        <f t="shared" si="29"/>
        <v>6</v>
      </c>
      <c r="B219" s="28"/>
      <c r="C219" s="30" t="s">
        <v>12</v>
      </c>
      <c r="D219" s="33" t="str">
        <f t="shared" si="30"/>
        <v>Ahmad</v>
      </c>
      <c r="E219" s="42">
        <f>SUMIFS(SSOD!$C:$C,SSOD!$B:$B,Hitungan!D219,SSOD!$A:$A,Hitungan!C219)</f>
        <v>15000</v>
      </c>
      <c r="F219" s="44">
        <f>SUMIF($C$224:$C$253,C219,$F$224:$F$253)</f>
        <v>0</v>
      </c>
      <c r="G219" s="47">
        <f t="shared" ref="G219:G220" si="32">E219*F219</f>
        <v>0</v>
      </c>
      <c r="H219" s="51" t="str">
        <f t="array" ref="H219">INDEX('Panduan Gaji'!$Q:$Q,MATCH(D219,'Panduan Gaji'!$C:$C,0))</f>
        <v>GS</v>
      </c>
      <c r="I219" s="53"/>
      <c r="J219" s="88"/>
      <c r="K219" s="88"/>
      <c r="L219" s="100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 ht="15.75" hidden="1" customHeight="1">
      <c r="A220" s="26">
        <f t="shared" si="29"/>
        <v>6</v>
      </c>
      <c r="B220" s="28"/>
      <c r="C220" s="102" t="s">
        <v>30</v>
      </c>
      <c r="D220" s="33" t="str">
        <f t="shared" si="30"/>
        <v>Ahmad</v>
      </c>
      <c r="E220" s="42">
        <f>SUMIFS(SSOD!$C:$C,SSOD!$B:$B,Hitungan!D220,SSOD!$A:$A,Hitungan!C220)</f>
        <v>15000</v>
      </c>
      <c r="F220" s="44">
        <f t="shared" ref="F220:F221" si="33">COUNTIF($C$224:$C$253,C220)</f>
        <v>0</v>
      </c>
      <c r="G220" s="47">
        <f t="shared" si="32"/>
        <v>0</v>
      </c>
      <c r="H220" s="51" t="str">
        <f t="array" ref="H220">INDEX('Panduan Gaji'!$Q:$Q,MATCH(D220,'Panduan Gaji'!$C:$C,0))</f>
        <v>GS</v>
      </c>
      <c r="I220" s="53"/>
      <c r="J220" s="105"/>
      <c r="K220" s="105"/>
      <c r="L220" s="10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 ht="15.75" hidden="1" customHeight="1">
      <c r="A221" s="26">
        <f t="shared" si="29"/>
        <v>6</v>
      </c>
      <c r="B221" s="28"/>
      <c r="C221" s="30" t="s">
        <v>33</v>
      </c>
      <c r="D221" s="33" t="str">
        <f t="shared" si="30"/>
        <v>Ahmad</v>
      </c>
      <c r="E221" s="42"/>
      <c r="F221" s="44">
        <f t="shared" si="33"/>
        <v>1</v>
      </c>
      <c r="G221" s="47">
        <f>SUMIF($C$224:$C$253,C221,$E$224:$E$253)</f>
        <v>72500</v>
      </c>
      <c r="H221" s="51" t="str">
        <f t="array" ref="H221">INDEX('Panduan Gaji'!$Q:$Q,MATCH(D221,'Panduan Gaji'!$C:$C,0))</f>
        <v>GS</v>
      </c>
      <c r="I221" s="53"/>
      <c r="J221" s="105"/>
      <c r="K221" s="105"/>
      <c r="L221" s="10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 ht="15.75" hidden="1" customHeight="1">
      <c r="A222" s="26">
        <f t="shared" si="29"/>
        <v>6</v>
      </c>
      <c r="B222" s="28"/>
      <c r="C222" s="30" t="s">
        <v>83</v>
      </c>
      <c r="D222" s="33" t="str">
        <f t="shared" si="30"/>
        <v>Ahmad</v>
      </c>
      <c r="E222" s="42"/>
      <c r="F222" s="44"/>
      <c r="G222" s="47"/>
      <c r="H222" s="51" t="str">
        <f t="array" ref="H222">INDEX('Panduan Gaji'!$Q:$Q,MATCH(D222,'Panduan Gaji'!$C:$C,0))</f>
        <v>GS</v>
      </c>
      <c r="I222" s="53"/>
      <c r="J222" s="105"/>
      <c r="K222" s="105"/>
      <c r="L222" s="10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 ht="13.5" hidden="1" customHeight="1">
      <c r="A223" s="26">
        <f t="shared" si="29"/>
        <v>6</v>
      </c>
      <c r="B223" s="28"/>
      <c r="C223" s="30" t="s">
        <v>85</v>
      </c>
      <c r="D223" s="33" t="str">
        <f t="shared" si="30"/>
        <v>Ahmad</v>
      </c>
      <c r="E223" s="42"/>
      <c r="F223" s="44"/>
      <c r="G223" s="47"/>
      <c r="H223" s="51" t="str">
        <f t="array" ref="H223">INDEX('Panduan Gaji'!$Q:$Q,MATCH(D223,'Panduan Gaji'!$C:$C,0))</f>
        <v>GS</v>
      </c>
      <c r="I223" s="53"/>
      <c r="J223" s="105"/>
      <c r="K223" s="105"/>
      <c r="L223" s="106"/>
      <c r="M223" s="56"/>
      <c r="N223" s="56"/>
      <c r="O223" s="22"/>
      <c r="P223" s="56"/>
      <c r="Q223" s="56"/>
      <c r="R223" s="56"/>
      <c r="S223" s="56"/>
      <c r="T223" s="56"/>
      <c r="U223" s="56"/>
      <c r="V223" s="56"/>
      <c r="W223" s="56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 ht="13.5" hidden="1" customHeight="1">
      <c r="A224" s="116">
        <f t="shared" si="29"/>
        <v>6</v>
      </c>
      <c r="B224" s="118">
        <v>46229.0</v>
      </c>
      <c r="C224" s="119"/>
      <c r="D224" s="120" t="str">
        <f t="shared" si="30"/>
        <v>Ahmad</v>
      </c>
      <c r="E224" s="121">
        <f>SUMIFS(SSOD!$C:$C,SSOD!$B:$B,Hitungan!D224,SSOD!$A:$A,Hitungan!C224)</f>
        <v>0</v>
      </c>
      <c r="F224" s="122"/>
      <c r="G224" s="124">
        <f t="shared" ref="G224:G253" si="34">E224*F224</f>
        <v>0</v>
      </c>
      <c r="H224" s="126" t="str">
        <f t="array" ref="H224">INDEX('Panduan Gaji'!$Q:$Q,MATCH(D224,'Panduan Gaji'!$C:$C,0))</f>
        <v>GS</v>
      </c>
      <c r="I224" s="128" t="s">
        <v>138</v>
      </c>
      <c r="J224" s="308">
        <v>0.3569444444444445</v>
      </c>
      <c r="K224" s="308">
        <v>0.9166666666666666</v>
      </c>
      <c r="L224" s="130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 ht="13.5" hidden="1" customHeight="1">
      <c r="A225" s="116">
        <f t="shared" si="29"/>
        <v>6</v>
      </c>
      <c r="B225" s="118">
        <v>46230.0</v>
      </c>
      <c r="C225" s="119"/>
      <c r="D225" s="120" t="str">
        <f t="shared" si="30"/>
        <v>Ahmad</v>
      </c>
      <c r="E225" s="121">
        <f>SUMIFS(SSOD!$C:$C,SSOD!$B:$B,Hitungan!D225,SSOD!$A:$A,Hitungan!C225)</f>
        <v>0</v>
      </c>
      <c r="F225" s="122"/>
      <c r="G225" s="124">
        <f t="shared" si="34"/>
        <v>0</v>
      </c>
      <c r="H225" s="126" t="str">
        <f t="array" ref="H225">INDEX('Panduan Gaji'!$Q:$Q,MATCH(D225,'Panduan Gaji'!$C:$C,0))</f>
        <v>GS</v>
      </c>
      <c r="I225" s="128" t="s">
        <v>138</v>
      </c>
      <c r="J225" s="308"/>
      <c r="K225" s="308"/>
      <c r="L225" s="138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 ht="13.5" hidden="1" customHeight="1">
      <c r="A226" s="116">
        <f t="shared" si="29"/>
        <v>6</v>
      </c>
      <c r="B226" s="118">
        <v>46231.0</v>
      </c>
      <c r="C226" s="119"/>
      <c r="D226" s="120" t="str">
        <f t="shared" si="30"/>
        <v>Ahmad</v>
      </c>
      <c r="E226" s="121">
        <f>SUMIFS(SSOD!$C:$C,SSOD!$B:$B,Hitungan!D226,SSOD!$A:$A,Hitungan!C226)</f>
        <v>0</v>
      </c>
      <c r="F226" s="122"/>
      <c r="G226" s="124">
        <f t="shared" si="34"/>
        <v>0</v>
      </c>
      <c r="H226" s="126" t="str">
        <f t="array" ref="H226">INDEX('Panduan Gaji'!$Q:$Q,MATCH(D226,'Panduan Gaji'!$C:$C,0))</f>
        <v>GS</v>
      </c>
      <c r="I226" s="128" t="s">
        <v>138</v>
      </c>
      <c r="J226" s="308">
        <v>0.3555555555555556</v>
      </c>
      <c r="K226" s="308">
        <v>0.9166666666666666</v>
      </c>
      <c r="L226" s="145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 ht="13.5" hidden="1" customHeight="1">
      <c r="A227" s="116">
        <f t="shared" si="29"/>
        <v>6</v>
      </c>
      <c r="B227" s="118">
        <v>46232.0</v>
      </c>
      <c r="C227" s="146"/>
      <c r="D227" s="120" t="str">
        <f t="shared" si="30"/>
        <v>Ahmad</v>
      </c>
      <c r="E227" s="147">
        <f>SUMIFS(SSOD!$C:$C,SSOD!$B:$B,Hitungan!D227,SSOD!$A:$A,Hitungan!C227)</f>
        <v>0</v>
      </c>
      <c r="F227" s="148"/>
      <c r="G227" s="124">
        <f t="shared" si="34"/>
        <v>0</v>
      </c>
      <c r="H227" s="126" t="str">
        <f t="array" ref="H227">INDEX('Panduan Gaji'!$Q:$Q,MATCH(D227,'Panduan Gaji'!$C:$C,0))</f>
        <v>GS</v>
      </c>
      <c r="I227" s="128" t="s">
        <v>138</v>
      </c>
      <c r="J227" s="308">
        <v>0.3361111111111111</v>
      </c>
      <c r="K227" s="308">
        <v>0.9166666666666666</v>
      </c>
      <c r="L227" s="153"/>
      <c r="M227" s="16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 ht="13.5" hidden="1" customHeight="1">
      <c r="A228" s="116">
        <f t="shared" si="29"/>
        <v>6</v>
      </c>
      <c r="B228" s="118">
        <v>46233.0</v>
      </c>
      <c r="C228" s="119"/>
      <c r="D228" s="120" t="str">
        <f t="shared" si="30"/>
        <v>Ahmad</v>
      </c>
      <c r="E228" s="121">
        <f>SUMIFS(SSOD!$C:$C,SSOD!$B:$B,Hitungan!D228,SSOD!$A:$A,Hitungan!C228)</f>
        <v>0</v>
      </c>
      <c r="F228" s="122"/>
      <c r="G228" s="124">
        <f t="shared" si="34"/>
        <v>0</v>
      </c>
      <c r="H228" s="126" t="str">
        <f t="array" ref="H228">INDEX('Panduan Gaji'!$Q:$Q,MATCH(D228,'Panduan Gaji'!$C:$C,0))</f>
        <v>GS</v>
      </c>
      <c r="I228" s="128" t="s">
        <v>138</v>
      </c>
      <c r="J228" s="308">
        <v>0.4173611111111111</v>
      </c>
      <c r="K228" s="308">
        <v>0.9166666666666666</v>
      </c>
      <c r="L228" s="164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 ht="13.5" hidden="1" customHeight="1">
      <c r="A229" s="116">
        <f t="shared" si="29"/>
        <v>6</v>
      </c>
      <c r="B229" s="118">
        <v>46234.0</v>
      </c>
      <c r="C229" s="119"/>
      <c r="D229" s="120" t="str">
        <f t="shared" si="30"/>
        <v>Ahmad</v>
      </c>
      <c r="E229" s="121">
        <f>SUMIFS(SSOD!$C:$C,SSOD!$B:$B,Hitungan!D229,SSOD!$A:$A,Hitungan!C229)</f>
        <v>0</v>
      </c>
      <c r="F229" s="122"/>
      <c r="G229" s="124">
        <f t="shared" si="34"/>
        <v>0</v>
      </c>
      <c r="H229" s="126" t="str">
        <f t="array" ref="H229">INDEX('Panduan Gaji'!$Q:$Q,MATCH(D229,'Panduan Gaji'!$C:$C,0))</f>
        <v>GS</v>
      </c>
      <c r="I229" s="128" t="s">
        <v>138</v>
      </c>
      <c r="J229" s="308">
        <v>0.3548611111111111</v>
      </c>
      <c r="K229" s="308">
        <v>0.9166666666666666</v>
      </c>
      <c r="L229" s="130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 ht="13.5" hidden="1" customHeight="1">
      <c r="A230" s="116">
        <f t="shared" si="29"/>
        <v>6</v>
      </c>
      <c r="B230" s="118">
        <v>46235.0</v>
      </c>
      <c r="C230" s="119"/>
      <c r="D230" s="120" t="str">
        <f t="shared" si="30"/>
        <v>Ahmad</v>
      </c>
      <c r="E230" s="121">
        <f>SUMIFS(SSOD!$C:$C,SSOD!$B:$B,Hitungan!D230,SSOD!$A:$A,Hitungan!C230)</f>
        <v>0</v>
      </c>
      <c r="F230" s="122"/>
      <c r="G230" s="124">
        <f t="shared" si="34"/>
        <v>0</v>
      </c>
      <c r="H230" s="126" t="str">
        <f t="array" ref="H230">INDEX('Panduan Gaji'!$Q:$Q,MATCH(D230,'Panduan Gaji'!$C:$C,0))</f>
        <v>GS</v>
      </c>
      <c r="I230" s="128" t="s">
        <v>138</v>
      </c>
      <c r="J230" s="309">
        <v>0.3472222222222222</v>
      </c>
      <c r="K230" s="308">
        <v>0.9243055555555556</v>
      </c>
      <c r="L230" s="145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 ht="13.5" hidden="1" customHeight="1">
      <c r="A231" s="116">
        <f t="shared" si="29"/>
        <v>6</v>
      </c>
      <c r="B231" s="118">
        <v>46236.0</v>
      </c>
      <c r="C231" s="119"/>
      <c r="D231" s="120" t="str">
        <f t="shared" si="30"/>
        <v>Ahmad</v>
      </c>
      <c r="E231" s="121">
        <v>0.0</v>
      </c>
      <c r="F231" s="122"/>
      <c r="G231" s="124">
        <f t="shared" si="34"/>
        <v>0</v>
      </c>
      <c r="H231" s="126" t="str">
        <f t="array" ref="H231">INDEX('Panduan Gaji'!$Q:$Q,MATCH(D231,'Panduan Gaji'!$C:$C,0))</f>
        <v>GS</v>
      </c>
      <c r="I231" s="128" t="s">
        <v>138</v>
      </c>
      <c r="J231" s="309">
        <v>0.3597222222222222</v>
      </c>
      <c r="K231" s="308">
        <v>0.9270833333333334</v>
      </c>
      <c r="L231" s="145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 ht="13.5" hidden="1" customHeight="1">
      <c r="A232" s="116">
        <f t="shared" si="29"/>
        <v>6</v>
      </c>
      <c r="B232" s="118">
        <v>46237.0</v>
      </c>
      <c r="C232" s="119"/>
      <c r="D232" s="120" t="str">
        <f t="shared" si="30"/>
        <v>Ahmad</v>
      </c>
      <c r="E232" s="121">
        <f>SUMIFS(SSOD!$C:$C,SSOD!$B:$B,Hitungan!D232,SSOD!$A:$A,Hitungan!C232)</f>
        <v>0</v>
      </c>
      <c r="F232" s="122"/>
      <c r="G232" s="124">
        <f t="shared" si="34"/>
        <v>0</v>
      </c>
      <c r="H232" s="126" t="str">
        <f t="array" ref="H232">INDEX('Panduan Gaji'!$Q:$Q,MATCH(D232,'Panduan Gaji'!$C:$C,0))</f>
        <v>GS</v>
      </c>
      <c r="I232" s="128" t="s">
        <v>138</v>
      </c>
      <c r="J232" s="309">
        <v>0.3520833333333334</v>
      </c>
      <c r="K232" s="308">
        <v>0.9166666666666666</v>
      </c>
      <c r="L232" s="145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 ht="13.5" hidden="1" customHeight="1">
      <c r="A233" s="116">
        <f t="shared" si="29"/>
        <v>6</v>
      </c>
      <c r="B233" s="118">
        <v>46238.0</v>
      </c>
      <c r="C233" s="181"/>
      <c r="D233" s="120" t="str">
        <f t="shared" si="30"/>
        <v>Ahmad</v>
      </c>
      <c r="E233" s="121">
        <f>SUMIFS(SSOD!$C:$C,SSOD!$B:$B,Hitungan!D233,SSOD!$A:$A,Hitungan!C233)</f>
        <v>0</v>
      </c>
      <c r="F233" s="182"/>
      <c r="G233" s="52">
        <f t="shared" si="34"/>
        <v>0</v>
      </c>
      <c r="H233" s="126" t="str">
        <f t="array" ref="H233">INDEX('Panduan Gaji'!$Q:$Q,MATCH(D233,'Panduan Gaji'!$C:$C,0))</f>
        <v>GS</v>
      </c>
      <c r="I233" s="128" t="s">
        <v>138</v>
      </c>
      <c r="J233" s="309">
        <v>0.4173611111111111</v>
      </c>
      <c r="K233" s="308">
        <v>0.9166666666666666</v>
      </c>
      <c r="L233" s="119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 ht="13.5" hidden="1" customHeight="1">
      <c r="A234" s="116">
        <f t="shared" si="29"/>
        <v>6</v>
      </c>
      <c r="B234" s="118">
        <v>46239.0</v>
      </c>
      <c r="C234" s="119"/>
      <c r="D234" s="120" t="str">
        <f t="shared" si="30"/>
        <v>Ahmad</v>
      </c>
      <c r="E234" s="121">
        <f>SUMIFS(SSOD!$C:$C,SSOD!$B:$B,Hitungan!D234,SSOD!$A:$A,Hitungan!C234)</f>
        <v>0</v>
      </c>
      <c r="F234" s="122"/>
      <c r="G234" s="124">
        <f t="shared" si="34"/>
        <v>0</v>
      </c>
      <c r="H234" s="126" t="str">
        <f t="array" ref="H234">INDEX('Panduan Gaji'!$Q:$Q,MATCH(D234,'Panduan Gaji'!$C:$C,0))</f>
        <v>GS</v>
      </c>
      <c r="I234" s="128" t="s">
        <v>138</v>
      </c>
      <c r="J234" s="309"/>
      <c r="K234" s="308"/>
      <c r="L234" s="145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 ht="13.5" hidden="1" customHeight="1">
      <c r="A235" s="116">
        <f t="shared" si="29"/>
        <v>6</v>
      </c>
      <c r="B235" s="118">
        <v>46240.0</v>
      </c>
      <c r="C235" s="119"/>
      <c r="D235" s="120" t="str">
        <f t="shared" si="30"/>
        <v>Ahmad</v>
      </c>
      <c r="E235" s="121">
        <f>SUMIFS(SSOD!$C:$C,SSOD!$B:$B,Hitungan!D235,SSOD!$A:$A,Hitungan!C235)</f>
        <v>0</v>
      </c>
      <c r="F235" s="122"/>
      <c r="G235" s="124">
        <f t="shared" si="34"/>
        <v>0</v>
      </c>
      <c r="H235" s="126" t="str">
        <f t="array" ref="H235">INDEX('Panduan Gaji'!$Q:$Q,MATCH(D235,'Panduan Gaji'!$C:$C,0))</f>
        <v>GS</v>
      </c>
      <c r="I235" s="128" t="s">
        <v>138</v>
      </c>
      <c r="J235" s="308"/>
      <c r="K235" s="308"/>
      <c r="L235" s="145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 ht="13.5" hidden="1" customHeight="1">
      <c r="A236" s="116">
        <f t="shared" si="29"/>
        <v>6</v>
      </c>
      <c r="B236" s="118">
        <v>46241.0</v>
      </c>
      <c r="C236" s="119"/>
      <c r="D236" s="120" t="str">
        <f t="shared" si="30"/>
        <v>Ahmad</v>
      </c>
      <c r="E236" s="121">
        <f>SUMIFS(SSOD!$C:$C,SSOD!$B:$B,Hitungan!D236,SSOD!$A:$A,Hitungan!C236)</f>
        <v>0</v>
      </c>
      <c r="F236" s="122"/>
      <c r="G236" s="124">
        <f t="shared" si="34"/>
        <v>0</v>
      </c>
      <c r="H236" s="126" t="str">
        <f t="array" ref="H236">INDEX('Panduan Gaji'!$Q:$Q,MATCH(D236,'Panduan Gaji'!$C:$C,0))</f>
        <v>GS</v>
      </c>
      <c r="I236" s="128" t="s">
        <v>138</v>
      </c>
      <c r="J236" s="308">
        <v>0.3472222222222222</v>
      </c>
      <c r="K236" s="310">
        <v>0.9166666666666666</v>
      </c>
      <c r="L236" s="119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 ht="13.5" hidden="1" customHeight="1">
      <c r="A237" s="116">
        <f t="shared" si="29"/>
        <v>6</v>
      </c>
      <c r="B237" s="118">
        <v>46242.0</v>
      </c>
      <c r="C237" s="119"/>
      <c r="D237" s="120" t="str">
        <f t="shared" si="30"/>
        <v>Ahmad</v>
      </c>
      <c r="E237" s="121">
        <f>SUMIFS(SSOD!$C:$C,SSOD!$B:$B,Hitungan!D237,SSOD!$A:$A,Hitungan!C237)</f>
        <v>0</v>
      </c>
      <c r="F237" s="122"/>
      <c r="G237" s="124">
        <f t="shared" si="34"/>
        <v>0</v>
      </c>
      <c r="H237" s="126" t="str">
        <f t="array" ref="H237">INDEX('Panduan Gaji'!$Q:$Q,MATCH(D237,'Panduan Gaji'!$C:$C,0))</f>
        <v>GS</v>
      </c>
      <c r="I237" s="128" t="s">
        <v>138</v>
      </c>
      <c r="J237" s="309">
        <v>0.4159722222222222</v>
      </c>
      <c r="K237" s="309">
        <v>0.9166666666666666</v>
      </c>
      <c r="L237" s="187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 ht="13.5" hidden="1" customHeight="1">
      <c r="A238" s="116">
        <f t="shared" si="29"/>
        <v>6</v>
      </c>
      <c r="B238" s="118">
        <v>46243.0</v>
      </c>
      <c r="C238" s="119" t="s">
        <v>33</v>
      </c>
      <c r="D238" s="120" t="str">
        <f t="shared" si="30"/>
        <v>Ahmad</v>
      </c>
      <c r="E238" s="121">
        <v>72500.0</v>
      </c>
      <c r="F238" s="122">
        <v>1.0</v>
      </c>
      <c r="G238" s="124">
        <f t="shared" si="34"/>
        <v>72500</v>
      </c>
      <c r="H238" s="126" t="str">
        <f t="array" ref="H238">INDEX('Panduan Gaji'!$Q:$Q,MATCH(D238,'Panduan Gaji'!$C:$C,0))</f>
        <v>GS</v>
      </c>
      <c r="I238" s="128" t="s">
        <v>138</v>
      </c>
      <c r="J238" s="309">
        <v>0.4145833333333334</v>
      </c>
      <c r="K238" s="309">
        <v>0.9180555555555555</v>
      </c>
      <c r="L238" s="187" t="s">
        <v>140</v>
      </c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 ht="13.5" hidden="1" customHeight="1">
      <c r="A239" s="116">
        <f t="shared" si="29"/>
        <v>6</v>
      </c>
      <c r="B239" s="118">
        <v>46244.0</v>
      </c>
      <c r="C239" s="119"/>
      <c r="D239" s="120" t="str">
        <f t="shared" si="30"/>
        <v>Ahmad</v>
      </c>
      <c r="E239" s="121">
        <f>SUMIFS(SSOD!$C:$C,SSOD!$B:$B,Hitungan!D239,SSOD!$A:$A,Hitungan!C239)</f>
        <v>0</v>
      </c>
      <c r="F239" s="122"/>
      <c r="G239" s="124">
        <f t="shared" si="34"/>
        <v>0</v>
      </c>
      <c r="H239" s="126" t="str">
        <f t="array" ref="H239">INDEX('Panduan Gaji'!$Q:$Q,MATCH(D239,'Panduan Gaji'!$C:$C,0))</f>
        <v>GS</v>
      </c>
      <c r="I239" s="128" t="s">
        <v>138</v>
      </c>
      <c r="J239" s="309"/>
      <c r="K239" s="309"/>
      <c r="L239" s="187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 ht="13.5" hidden="1" customHeight="1">
      <c r="A240" s="116">
        <f t="shared" si="29"/>
        <v>6</v>
      </c>
      <c r="B240" s="118">
        <v>46245.0</v>
      </c>
      <c r="C240" s="119"/>
      <c r="D240" s="120" t="str">
        <f t="shared" si="30"/>
        <v>Ahmad</v>
      </c>
      <c r="E240" s="121">
        <f>SUMIFS(SSOD!$C:$C,SSOD!$B:$B,Hitungan!D240,SSOD!$A:$A,Hitungan!C240)</f>
        <v>0</v>
      </c>
      <c r="F240" s="122"/>
      <c r="G240" s="124">
        <f t="shared" si="34"/>
        <v>0</v>
      </c>
      <c r="H240" s="126" t="str">
        <f t="array" ref="H240">INDEX('Panduan Gaji'!$Q:$Q,MATCH(D240,'Panduan Gaji'!$C:$C,0))</f>
        <v>GS</v>
      </c>
      <c r="I240" s="128" t="s">
        <v>138</v>
      </c>
      <c r="J240" s="308">
        <v>0.4159722222222222</v>
      </c>
      <c r="K240" s="308"/>
      <c r="L240" s="145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 ht="13.5" hidden="1" customHeight="1">
      <c r="A241" s="116">
        <f t="shared" si="29"/>
        <v>6</v>
      </c>
      <c r="B241" s="118">
        <v>46246.0</v>
      </c>
      <c r="C241" s="119"/>
      <c r="D241" s="120" t="str">
        <f t="shared" si="30"/>
        <v>Ahmad</v>
      </c>
      <c r="E241" s="121">
        <f>SUMIFS(SSOD!$C:$C,SSOD!$B:$B,Hitungan!D241,SSOD!$A:$A,Hitungan!C241)</f>
        <v>0</v>
      </c>
      <c r="F241" s="122"/>
      <c r="G241" s="124">
        <f t="shared" si="34"/>
        <v>0</v>
      </c>
      <c r="H241" s="126" t="str">
        <f t="array" ref="H241">INDEX('Panduan Gaji'!$Q:$Q,MATCH(D241,'Panduan Gaji'!$C:$C,0))</f>
        <v>GS</v>
      </c>
      <c r="I241" s="128" t="s">
        <v>138</v>
      </c>
      <c r="J241" s="308"/>
      <c r="K241" s="308"/>
      <c r="L241" s="145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 ht="13.5" hidden="1" customHeight="1">
      <c r="A242" s="116">
        <f t="shared" si="29"/>
        <v>6</v>
      </c>
      <c r="B242" s="118">
        <v>46247.0</v>
      </c>
      <c r="C242" s="119"/>
      <c r="D242" s="120" t="str">
        <f t="shared" si="30"/>
        <v>Ahmad</v>
      </c>
      <c r="E242" s="121">
        <f>SUMIFS(SSOD!$C:$C,SSOD!$B:$B,Hitungan!D242,SSOD!$A:$A,Hitungan!C242)</f>
        <v>0</v>
      </c>
      <c r="F242" s="122"/>
      <c r="G242" s="124">
        <f t="shared" si="34"/>
        <v>0</v>
      </c>
      <c r="H242" s="126" t="str">
        <f t="array" ref="H242">INDEX('Panduan Gaji'!$Q:$Q,MATCH(D242,'Panduan Gaji'!$C:$C,0))</f>
        <v>GS</v>
      </c>
      <c r="I242" s="128" t="s">
        <v>138</v>
      </c>
      <c r="J242" s="308">
        <v>0.4159722222222222</v>
      </c>
      <c r="K242" s="308">
        <v>0.9166666666666666</v>
      </c>
      <c r="L242" s="145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 ht="13.5" hidden="1" customHeight="1">
      <c r="A243" s="116">
        <f t="shared" si="29"/>
        <v>6</v>
      </c>
      <c r="B243" s="118">
        <v>46248.0</v>
      </c>
      <c r="C243" s="119"/>
      <c r="D243" s="120" t="str">
        <f t="shared" si="30"/>
        <v>Ahmad</v>
      </c>
      <c r="E243" s="121">
        <f>SUMIFS(SSOD!$C:$C,SSOD!$B:$B,Hitungan!D243,SSOD!$A:$A,Hitungan!C243)</f>
        <v>0</v>
      </c>
      <c r="F243" s="122"/>
      <c r="G243" s="124">
        <f t="shared" si="34"/>
        <v>0</v>
      </c>
      <c r="H243" s="126" t="str">
        <f t="array" ref="H243">INDEX('Panduan Gaji'!$Q:$Q,MATCH(D243,'Panduan Gaji'!$C:$C,0))</f>
        <v>GS</v>
      </c>
      <c r="I243" s="128" t="s">
        <v>138</v>
      </c>
      <c r="J243" s="308">
        <v>0.4111111111111111</v>
      </c>
      <c r="K243" s="310">
        <v>0.9166666666666666</v>
      </c>
      <c r="L243" s="145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 ht="13.5" hidden="1" customHeight="1">
      <c r="A244" s="116">
        <f t="shared" si="29"/>
        <v>6</v>
      </c>
      <c r="B244" s="118">
        <v>46249.0</v>
      </c>
      <c r="C244" s="119"/>
      <c r="D244" s="120" t="str">
        <f t="shared" si="30"/>
        <v>Ahmad</v>
      </c>
      <c r="E244" s="121">
        <f>SUMIFS(SSOD!$C:$C,SSOD!$B:$B,Hitungan!D244,SSOD!$A:$A,Hitungan!C244)</f>
        <v>0</v>
      </c>
      <c r="F244" s="122"/>
      <c r="G244" s="124">
        <f t="shared" si="34"/>
        <v>0</v>
      </c>
      <c r="H244" s="126" t="str">
        <f t="array" ref="H244">INDEX('Panduan Gaji'!$Q:$Q,MATCH(D244,'Panduan Gaji'!$C:$C,0))</f>
        <v>GS</v>
      </c>
      <c r="I244" s="128" t="s">
        <v>138</v>
      </c>
      <c r="J244" s="308">
        <v>0.3458333333333333</v>
      </c>
      <c r="K244" s="308">
        <v>0.9166666666666666</v>
      </c>
      <c r="L244" s="145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 ht="13.5" hidden="1" customHeight="1">
      <c r="A245" s="116">
        <f t="shared" si="29"/>
        <v>6</v>
      </c>
      <c r="B245" s="118">
        <v>46250.0</v>
      </c>
      <c r="C245" s="119"/>
      <c r="D245" s="120" t="str">
        <f t="shared" si="30"/>
        <v>Ahmad</v>
      </c>
      <c r="E245" s="121">
        <f>SUMIFS(SSOD!$C:$C,SSOD!$B:$B,Hitungan!D245,SSOD!$A:$A,Hitungan!C245)</f>
        <v>0</v>
      </c>
      <c r="F245" s="122"/>
      <c r="G245" s="124">
        <f t="shared" si="34"/>
        <v>0</v>
      </c>
      <c r="H245" s="126" t="str">
        <f t="array" ref="H245">INDEX('Panduan Gaji'!$Q:$Q,MATCH(D245,'Panduan Gaji'!$C:$C,0))</f>
        <v>GS</v>
      </c>
      <c r="I245" s="128" t="s">
        <v>138</v>
      </c>
      <c r="J245" s="308">
        <v>0.41875</v>
      </c>
      <c r="K245" s="308">
        <v>0.9166666666666666</v>
      </c>
      <c r="L245" s="145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 ht="13.5" hidden="1" customHeight="1">
      <c r="A246" s="116">
        <f t="shared" si="29"/>
        <v>6</v>
      </c>
      <c r="B246" s="118">
        <v>46251.0</v>
      </c>
      <c r="C246" s="119"/>
      <c r="D246" s="120" t="str">
        <f t="shared" si="30"/>
        <v>Ahmad</v>
      </c>
      <c r="E246" s="121">
        <f>SUMIFS(SSOD!$C:$C,SSOD!$B:$B,Hitungan!D246,SSOD!$A:$A,Hitungan!C246)</f>
        <v>0</v>
      </c>
      <c r="F246" s="122"/>
      <c r="G246" s="124">
        <f t="shared" si="34"/>
        <v>0</v>
      </c>
      <c r="H246" s="126" t="str">
        <f t="array" ref="H246">INDEX('Panduan Gaji'!$Q:$Q,MATCH(D246,'Panduan Gaji'!$C:$C,0))</f>
        <v>GS</v>
      </c>
      <c r="I246" s="128" t="s">
        <v>138</v>
      </c>
      <c r="J246" s="308">
        <v>0.3458333333333333</v>
      </c>
      <c r="K246" s="308">
        <v>0.9166666666666666</v>
      </c>
      <c r="L246" s="119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 ht="13.5" hidden="1" customHeight="1">
      <c r="A247" s="116">
        <f t="shared" si="29"/>
        <v>6</v>
      </c>
      <c r="B247" s="118">
        <v>46252.0</v>
      </c>
      <c r="C247" s="119"/>
      <c r="D247" s="120" t="str">
        <f t="shared" si="30"/>
        <v>Ahmad</v>
      </c>
      <c r="E247" s="121">
        <f>SUMIFS(SSOD!$C:$C,SSOD!$B:$B,Hitungan!D247,SSOD!$A:$A,Hitungan!C247)</f>
        <v>0</v>
      </c>
      <c r="F247" s="122"/>
      <c r="G247" s="124">
        <f t="shared" si="34"/>
        <v>0</v>
      </c>
      <c r="H247" s="126" t="str">
        <f t="array" ref="H247">INDEX('Panduan Gaji'!$Q:$Q,MATCH(D247,'Panduan Gaji'!$C:$C,0))</f>
        <v>GS</v>
      </c>
      <c r="I247" s="128" t="s">
        <v>138</v>
      </c>
      <c r="J247" s="308"/>
      <c r="K247" s="308"/>
      <c r="L247" s="119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 ht="13.5" hidden="1" customHeight="1">
      <c r="A248" s="116">
        <f t="shared" si="29"/>
        <v>6</v>
      </c>
      <c r="B248" s="118">
        <v>46253.0</v>
      </c>
      <c r="C248" s="119"/>
      <c r="D248" s="120" t="str">
        <f t="shared" si="30"/>
        <v>Ahmad</v>
      </c>
      <c r="E248" s="121">
        <f>SUMIFS(SSOD!$C:$C,SSOD!$B:$B,Hitungan!D248,SSOD!$A:$A,Hitungan!C248)</f>
        <v>0</v>
      </c>
      <c r="F248" s="122"/>
      <c r="G248" s="124">
        <f t="shared" si="34"/>
        <v>0</v>
      </c>
      <c r="H248" s="126" t="str">
        <f t="array" ref="H248">INDEX('Panduan Gaji'!$Q:$Q,MATCH(D248,'Panduan Gaji'!$C:$C,0))</f>
        <v>GS</v>
      </c>
      <c r="I248" s="128" t="s">
        <v>138</v>
      </c>
      <c r="J248" s="308">
        <v>0.4159722222222222</v>
      </c>
      <c r="K248" s="308">
        <v>0.9166666666666666</v>
      </c>
      <c r="L248" s="119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 ht="13.5" hidden="1" customHeight="1">
      <c r="A249" s="116">
        <f t="shared" si="29"/>
        <v>6</v>
      </c>
      <c r="B249" s="118">
        <v>46254.0</v>
      </c>
      <c r="C249" s="119"/>
      <c r="D249" s="120" t="str">
        <f t="shared" si="30"/>
        <v>Ahmad</v>
      </c>
      <c r="E249" s="121">
        <f>SUMIFS(SSOD!$C:$C,SSOD!$B:$B,Hitungan!D249,SSOD!$A:$A,Hitungan!C249)</f>
        <v>0</v>
      </c>
      <c r="F249" s="122"/>
      <c r="G249" s="124">
        <f t="shared" si="34"/>
        <v>0</v>
      </c>
      <c r="H249" s="126" t="str">
        <f t="array" ref="H249">INDEX('Panduan Gaji'!$Q:$Q,MATCH(D249,'Panduan Gaji'!$C:$C,0))</f>
        <v>GS</v>
      </c>
      <c r="I249" s="128" t="s">
        <v>138</v>
      </c>
      <c r="J249" s="308"/>
      <c r="K249" s="308">
        <v>0.9166666666666666</v>
      </c>
      <c r="L249" s="145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 ht="13.5" hidden="1" customHeight="1">
      <c r="A250" s="116">
        <f t="shared" si="29"/>
        <v>6</v>
      </c>
      <c r="B250" s="118">
        <v>46255.0</v>
      </c>
      <c r="C250" s="119"/>
      <c r="D250" s="120" t="str">
        <f t="shared" si="30"/>
        <v>Ahmad</v>
      </c>
      <c r="E250" s="121">
        <f>SUMIFS(SSOD!$C:$C,SSOD!$B:$B,Hitungan!D250,SSOD!$A:$A,Hitungan!C250)</f>
        <v>0</v>
      </c>
      <c r="F250" s="122"/>
      <c r="G250" s="124">
        <f t="shared" si="34"/>
        <v>0</v>
      </c>
      <c r="H250" s="126" t="str">
        <f t="array" ref="H250">INDEX('Panduan Gaji'!$Q:$Q,MATCH(D250,'Panduan Gaji'!$C:$C,0))</f>
        <v>GS</v>
      </c>
      <c r="I250" s="128" t="s">
        <v>138</v>
      </c>
      <c r="J250" s="308">
        <v>0.325</v>
      </c>
      <c r="K250" s="308">
        <v>0.9166666666666666</v>
      </c>
      <c r="L250" s="119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 ht="13.5" hidden="1" customHeight="1">
      <c r="A251" s="116">
        <f t="shared" si="29"/>
        <v>6</v>
      </c>
      <c r="B251" s="118">
        <v>46256.0</v>
      </c>
      <c r="C251" s="119"/>
      <c r="D251" s="120" t="str">
        <f t="shared" si="30"/>
        <v>Ahmad</v>
      </c>
      <c r="E251" s="121">
        <f>SUMIFS(SSOD!$C:$C,SSOD!$B:$B,Hitungan!D251,SSOD!$A:$A,Hitungan!C251)</f>
        <v>0</v>
      </c>
      <c r="F251" s="122"/>
      <c r="G251" s="124">
        <f t="shared" si="34"/>
        <v>0</v>
      </c>
      <c r="H251" s="126" t="str">
        <f t="array" ref="H251">INDEX('Panduan Gaji'!$Q:$Q,MATCH(D251,'Panduan Gaji'!$C:$C,0))</f>
        <v>GS</v>
      </c>
      <c r="I251" s="128" t="s">
        <v>138</v>
      </c>
      <c r="J251" s="308">
        <v>0.4152777777777778</v>
      </c>
      <c r="K251" s="308">
        <v>0.9166666666666666</v>
      </c>
      <c r="L251" s="119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 ht="13.5" hidden="1" customHeight="1">
      <c r="A252" s="116">
        <f t="shared" si="29"/>
        <v>6</v>
      </c>
      <c r="B252" s="118">
        <v>46257.0</v>
      </c>
      <c r="C252" s="119"/>
      <c r="D252" s="120" t="str">
        <f t="shared" si="30"/>
        <v>Ahmad</v>
      </c>
      <c r="E252" s="121">
        <f>SUMIFS(SSOD!$C:$C,SSOD!$B:$B,Hitungan!D252,SSOD!$A:$A,Hitungan!C252)</f>
        <v>0</v>
      </c>
      <c r="F252" s="122"/>
      <c r="G252" s="124">
        <f t="shared" si="34"/>
        <v>0</v>
      </c>
      <c r="H252" s="126" t="str">
        <f t="array" ref="H252">INDEX('Panduan Gaji'!$Q:$Q,MATCH(D252,'Panduan Gaji'!$C:$C,0))</f>
        <v>GS</v>
      </c>
      <c r="I252" s="128" t="s">
        <v>138</v>
      </c>
      <c r="J252" s="308">
        <v>0.3590277777777778</v>
      </c>
      <c r="K252" s="308">
        <v>0.9180555555555555</v>
      </c>
      <c r="L252" s="119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 ht="15.75" hidden="1" customHeight="1">
      <c r="A253" s="116">
        <f t="shared" si="29"/>
        <v>6</v>
      </c>
      <c r="B253" s="118">
        <v>46258.0</v>
      </c>
      <c r="C253" s="119"/>
      <c r="D253" s="120" t="str">
        <f t="shared" si="30"/>
        <v>Ahmad</v>
      </c>
      <c r="E253" s="121">
        <f>SUMIFS(SSOD!$C:$C,SSOD!$B:$B,Hitungan!D253,SSOD!$A:$A,Hitungan!C253)</f>
        <v>0</v>
      </c>
      <c r="F253" s="122"/>
      <c r="G253" s="124">
        <f t="shared" si="34"/>
        <v>0</v>
      </c>
      <c r="H253" s="220" t="str">
        <f t="array" ref="H253">INDEX('Panduan Gaji'!$Q:$Q,MATCH(D253,'Panduan Gaji'!$C:$C,0))</f>
        <v>GS</v>
      </c>
      <c r="I253" s="128" t="s">
        <v>138</v>
      </c>
      <c r="J253" s="308">
        <v>0.3465277777777778</v>
      </c>
      <c r="K253" s="308"/>
      <c r="L253" s="119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 ht="15.75" hidden="1" customHeight="1">
      <c r="A254" s="222"/>
      <c r="B254" s="223"/>
      <c r="C254" s="224"/>
      <c r="D254" s="225"/>
      <c r="E254" s="226"/>
      <c r="F254" s="227"/>
      <c r="G254" s="228"/>
      <c r="H254" s="229"/>
      <c r="I254" s="22"/>
      <c r="J254" s="230"/>
      <c r="K254" s="230"/>
      <c r="L254" s="224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 ht="13.5" hidden="1" customHeight="1">
      <c r="A255" s="26">
        <v>7.0</v>
      </c>
      <c r="B255" s="28"/>
      <c r="C255" s="30" t="s">
        <v>6</v>
      </c>
      <c r="D255" s="33" t="s">
        <v>74</v>
      </c>
      <c r="E255" s="42">
        <f>SUMIFS(SSOD!$C:$C,SSOD!$B:$B,Hitungan!D255,SSOD!$A:$A,Hitungan!C255)</f>
        <v>1740000</v>
      </c>
      <c r="F255" s="44">
        <v>1.0</v>
      </c>
      <c r="G255" s="47">
        <f t="shared" ref="G255:G258" si="35">E255*F255</f>
        <v>1740000</v>
      </c>
      <c r="H255" s="51" t="str">
        <f t="array" ref="H255">INDEX('Panduan Gaji'!$Q:$Q,MATCH(D255,'Panduan Gaji'!$C:$C,0))</f>
        <v>GS</v>
      </c>
      <c r="I255" s="53"/>
      <c r="J255" s="54"/>
      <c r="K255" s="54"/>
      <c r="L255" s="55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 ht="13.5" hidden="1" customHeight="1">
      <c r="A256" s="26">
        <f t="shared" ref="A256:A294" si="36">A255</f>
        <v>7</v>
      </c>
      <c r="B256" s="28"/>
      <c r="C256" s="30" t="s">
        <v>17</v>
      </c>
      <c r="D256" s="33" t="str">
        <f t="shared" ref="D256:D294" si="37">D255</f>
        <v>Audy</v>
      </c>
      <c r="E256" s="42">
        <f>SUMIFS(SSOD!$C:$C,SSOD!$B:$B,Hitungan!D256,SSOD!$A:$A,Hitungan!C256)</f>
        <v>0</v>
      </c>
      <c r="F256" s="44"/>
      <c r="G256" s="47">
        <f t="shared" si="35"/>
        <v>0</v>
      </c>
      <c r="H256" s="51" t="str">
        <f t="array" ref="H256">INDEX('Panduan Gaji'!$Q:$Q,MATCH(D256,'Panduan Gaji'!$C:$C,0))</f>
        <v>GS</v>
      </c>
      <c r="I256" s="53"/>
      <c r="J256" s="54"/>
      <c r="K256" s="54"/>
      <c r="L256" s="55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 ht="13.5" hidden="1" customHeight="1">
      <c r="A257" s="26">
        <f t="shared" si="36"/>
        <v>7</v>
      </c>
      <c r="B257" s="28"/>
      <c r="C257" s="30" t="s">
        <v>7</v>
      </c>
      <c r="D257" s="33" t="str">
        <f t="shared" si="37"/>
        <v>Audy</v>
      </c>
      <c r="E257" s="42">
        <f>SUMIFS(SSOD!$C:$C,SSOD!$B:$B,Hitungan!D257,SSOD!$A:$A,Hitungan!C257)</f>
        <v>21000</v>
      </c>
      <c r="F257" s="44">
        <f t="shared" ref="F257:F258" si="38">SUMPRODUCT(--((($J$265:$J$294&lt;&gt;"")+($K$265:$K$294&lt;&gt;""))&gt;0))</f>
        <v>22</v>
      </c>
      <c r="G257" s="47">
        <f t="shared" si="35"/>
        <v>462000</v>
      </c>
      <c r="H257" s="51" t="str">
        <f t="array" ref="H257">INDEX('Panduan Gaji'!$Q:$Q,MATCH(D257,'Panduan Gaji'!$C:$C,0))</f>
        <v>GS</v>
      </c>
      <c r="I257" s="53"/>
      <c r="J257" s="88"/>
      <c r="K257" s="88"/>
      <c r="L257" s="55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 ht="13.5" hidden="1" customHeight="1">
      <c r="A258" s="26">
        <f t="shared" si="36"/>
        <v>7</v>
      </c>
      <c r="B258" s="28"/>
      <c r="C258" s="30" t="s">
        <v>9</v>
      </c>
      <c r="D258" s="33" t="str">
        <f t="shared" si="37"/>
        <v>Audy</v>
      </c>
      <c r="E258" s="42">
        <f>SUMIFS(SSOD!$C:$C,SSOD!$B:$B,Hitungan!D258,SSOD!$A:$A,Hitungan!C258)</f>
        <v>39150</v>
      </c>
      <c r="F258" s="44">
        <f t="shared" si="38"/>
        <v>22</v>
      </c>
      <c r="G258" s="47">
        <f t="shared" si="35"/>
        <v>861300</v>
      </c>
      <c r="H258" s="51" t="str">
        <f t="array" ref="H258">INDEX('Panduan Gaji'!$Q:$Q,MATCH(D258,'Panduan Gaji'!$C:$C,0))</f>
        <v>GS</v>
      </c>
      <c r="I258" s="53"/>
      <c r="J258" s="88"/>
      <c r="K258" s="88"/>
      <c r="L258" s="9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 ht="15.75" hidden="1" customHeight="1">
      <c r="A259" s="26">
        <f t="shared" si="36"/>
        <v>7</v>
      </c>
      <c r="B259" s="28"/>
      <c r="C259" s="30" t="s">
        <v>39</v>
      </c>
      <c r="D259" s="33" t="str">
        <f t="shared" si="37"/>
        <v>Audy</v>
      </c>
      <c r="E259" s="42">
        <v>408247.0</v>
      </c>
      <c r="F259" s="44">
        <v>1.0</v>
      </c>
      <c r="G259" s="47">
        <f>F259*E259</f>
        <v>408247</v>
      </c>
      <c r="H259" s="51" t="str">
        <f t="array" ref="H259">INDEX('Panduan Gaji'!$Q:$Q,MATCH(D259,'Panduan Gaji'!$C:$C,0))</f>
        <v>GS</v>
      </c>
      <c r="I259" s="53"/>
      <c r="J259" s="88"/>
      <c r="K259" s="88"/>
      <c r="L259" s="9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 ht="15.75" hidden="1" customHeight="1">
      <c r="A260" s="26">
        <f t="shared" si="36"/>
        <v>7</v>
      </c>
      <c r="B260" s="28"/>
      <c r="C260" s="30" t="s">
        <v>12</v>
      </c>
      <c r="D260" s="33" t="str">
        <f t="shared" si="37"/>
        <v>Audy</v>
      </c>
      <c r="E260" s="42">
        <f>SUMIFS(SSOD!$C:$C,SSOD!$B:$B,Hitungan!D260,SSOD!$A:$A,Hitungan!C260)</f>
        <v>13050</v>
      </c>
      <c r="F260" s="44">
        <f>SUMIF($C$265:$C$294,C260,$F$265:$F$294)</f>
        <v>0</v>
      </c>
      <c r="G260" s="47">
        <f t="shared" ref="G260:G261" si="39">E260*F260</f>
        <v>0</v>
      </c>
      <c r="H260" s="51" t="str">
        <f t="array" ref="H260">INDEX('Panduan Gaji'!$Q:$Q,MATCH(D260,'Panduan Gaji'!$C:$C,0))</f>
        <v>GS</v>
      </c>
      <c r="I260" s="53"/>
      <c r="J260" s="88"/>
      <c r="K260" s="88"/>
      <c r="L260" s="100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 ht="15.75" hidden="1" customHeight="1">
      <c r="A261" s="26">
        <f t="shared" si="36"/>
        <v>7</v>
      </c>
      <c r="B261" s="28"/>
      <c r="C261" s="102" t="s">
        <v>30</v>
      </c>
      <c r="D261" s="33" t="str">
        <f t="shared" si="37"/>
        <v>Audy</v>
      </c>
      <c r="E261" s="42">
        <f>SUMIFS(SSOD!$C:$C,SSOD!$B:$B,Hitungan!D261,SSOD!$A:$A,Hitungan!C261)</f>
        <v>13050</v>
      </c>
      <c r="F261" s="44">
        <f t="shared" ref="F261:F262" si="40">COUNTIF($C$265:$C$294,C261)</f>
        <v>1</v>
      </c>
      <c r="G261" s="47">
        <f t="shared" si="39"/>
        <v>13050</v>
      </c>
      <c r="H261" s="51" t="str">
        <f t="array" ref="H261">INDEX('Panduan Gaji'!$Q:$Q,MATCH(D261,'Panduan Gaji'!$C:$C,0))</f>
        <v>GS</v>
      </c>
      <c r="I261" s="53"/>
      <c r="J261" s="105"/>
      <c r="K261" s="105"/>
      <c r="L261" s="10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 ht="15.75" hidden="1" customHeight="1">
      <c r="A262" s="26">
        <f t="shared" si="36"/>
        <v>7</v>
      </c>
      <c r="B262" s="28"/>
      <c r="C262" s="30" t="s">
        <v>33</v>
      </c>
      <c r="D262" s="33" t="str">
        <f t="shared" si="37"/>
        <v>Audy</v>
      </c>
      <c r="E262" s="42"/>
      <c r="F262" s="44">
        <f t="shared" si="40"/>
        <v>3</v>
      </c>
      <c r="G262" s="47">
        <f>SUMIF($C$265:$C$294,C262,$E$265:$E$294)</f>
        <v>198650</v>
      </c>
      <c r="H262" s="51" t="str">
        <f t="array" ref="H262">INDEX('Panduan Gaji'!$Q:$Q,MATCH(D262,'Panduan Gaji'!$C:$C,0))</f>
        <v>GS</v>
      </c>
      <c r="I262" s="53"/>
      <c r="J262" s="105"/>
      <c r="K262" s="105"/>
      <c r="L262" s="10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 ht="15.75" hidden="1" customHeight="1">
      <c r="A263" s="26">
        <f t="shared" si="36"/>
        <v>7</v>
      </c>
      <c r="B263" s="28"/>
      <c r="C263" s="30" t="s">
        <v>83</v>
      </c>
      <c r="D263" s="33" t="str">
        <f t="shared" si="37"/>
        <v>Audy</v>
      </c>
      <c r="E263" s="42"/>
      <c r="F263" s="44"/>
      <c r="G263" s="47"/>
      <c r="H263" s="51" t="str">
        <f t="array" ref="H263">INDEX('Panduan Gaji'!$Q:$Q,MATCH(D263,'Panduan Gaji'!$C:$C,0))</f>
        <v>GS</v>
      </c>
      <c r="I263" s="53"/>
      <c r="J263" s="105"/>
      <c r="K263" s="105"/>
      <c r="L263" s="10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 ht="13.5" hidden="1" customHeight="1">
      <c r="A264" s="26">
        <f t="shared" si="36"/>
        <v>7</v>
      </c>
      <c r="B264" s="28"/>
      <c r="C264" s="30" t="s">
        <v>85</v>
      </c>
      <c r="D264" s="33" t="str">
        <f t="shared" si="37"/>
        <v>Audy</v>
      </c>
      <c r="E264" s="42"/>
      <c r="F264" s="44"/>
      <c r="G264" s="47"/>
      <c r="H264" s="51" t="str">
        <f t="array" ref="H264">INDEX('Panduan Gaji'!$Q:$Q,MATCH(D264,'Panduan Gaji'!$C:$C,0))</f>
        <v>GS</v>
      </c>
      <c r="I264" s="53"/>
      <c r="J264" s="105"/>
      <c r="K264" s="105"/>
      <c r="L264" s="106"/>
      <c r="M264" s="56"/>
      <c r="N264" s="56"/>
      <c r="O264" s="22"/>
      <c r="P264" s="56"/>
      <c r="Q264" s="56"/>
      <c r="R264" s="56"/>
      <c r="S264" s="56"/>
      <c r="T264" s="56"/>
      <c r="U264" s="56"/>
      <c r="V264" s="56"/>
      <c r="W264" s="56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 ht="13.5" hidden="1" customHeight="1">
      <c r="A265" s="116">
        <f t="shared" si="36"/>
        <v>7</v>
      </c>
      <c r="B265" s="118">
        <v>46229.0</v>
      </c>
      <c r="C265" s="119"/>
      <c r="D265" s="120" t="str">
        <f t="shared" si="37"/>
        <v>Audy</v>
      </c>
      <c r="E265" s="121">
        <f>SUMIFS(SSOD!$C:$C,SSOD!$B:$B,Hitungan!D265,SSOD!$A:$A,Hitungan!C265)</f>
        <v>0</v>
      </c>
      <c r="F265" s="122"/>
      <c r="G265" s="124">
        <f t="shared" ref="G265:G294" si="41">E265*F265</f>
        <v>0</v>
      </c>
      <c r="H265" s="126" t="str">
        <f t="array" ref="H265">INDEX('Panduan Gaji'!$Q:$Q,MATCH(D265,'Panduan Gaji'!$C:$C,0))</f>
        <v>GS</v>
      </c>
      <c r="I265" s="128" t="s">
        <v>138</v>
      </c>
      <c r="J265" s="308">
        <v>0.4118055555555555</v>
      </c>
      <c r="K265" s="308">
        <v>0.9166666666666666</v>
      </c>
      <c r="L265" s="130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 ht="13.5" hidden="1" customHeight="1">
      <c r="A266" s="116">
        <f t="shared" si="36"/>
        <v>7</v>
      </c>
      <c r="B266" s="118">
        <v>46230.0</v>
      </c>
      <c r="C266" s="119"/>
      <c r="D266" s="120" t="str">
        <f t="shared" si="37"/>
        <v>Audy</v>
      </c>
      <c r="E266" s="121">
        <f>SUMIFS(SSOD!$C:$C,SSOD!$B:$B,Hitungan!D266,SSOD!$A:$A,Hitungan!C266)</f>
        <v>0</v>
      </c>
      <c r="F266" s="122"/>
      <c r="G266" s="124">
        <f t="shared" si="41"/>
        <v>0</v>
      </c>
      <c r="H266" s="126" t="str">
        <f t="array" ref="H266">INDEX('Panduan Gaji'!$Q:$Q,MATCH(D266,'Panduan Gaji'!$C:$C,0))</f>
        <v>GS</v>
      </c>
      <c r="I266" s="128" t="s">
        <v>138</v>
      </c>
      <c r="J266" s="308">
        <v>0.41875</v>
      </c>
      <c r="K266" s="308">
        <v>0.9166666666666666</v>
      </c>
      <c r="L266" s="138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 ht="13.5" hidden="1" customHeight="1">
      <c r="A267" s="116">
        <f t="shared" si="36"/>
        <v>7</v>
      </c>
      <c r="B267" s="118">
        <v>46231.0</v>
      </c>
      <c r="C267" s="119"/>
      <c r="D267" s="120" t="str">
        <f t="shared" si="37"/>
        <v>Audy</v>
      </c>
      <c r="E267" s="121">
        <f>SUMIFS(SSOD!$C:$C,SSOD!$B:$B,Hitungan!D267,SSOD!$A:$A,Hitungan!C267)</f>
        <v>0</v>
      </c>
      <c r="F267" s="122"/>
      <c r="G267" s="124">
        <f t="shared" si="41"/>
        <v>0</v>
      </c>
      <c r="H267" s="126" t="str">
        <f t="array" ref="H267">INDEX('Panduan Gaji'!$Q:$Q,MATCH(D267,'Panduan Gaji'!$C:$C,0))</f>
        <v>GS</v>
      </c>
      <c r="I267" s="128" t="s">
        <v>138</v>
      </c>
      <c r="J267" s="308">
        <v>0.4166666666666667</v>
      </c>
      <c r="K267" s="308">
        <v>0.9166666666666666</v>
      </c>
      <c r="L267" s="145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 ht="13.5" hidden="1" customHeight="1">
      <c r="A268" s="116">
        <f t="shared" si="36"/>
        <v>7</v>
      </c>
      <c r="B268" s="118">
        <v>46232.0</v>
      </c>
      <c r="C268" s="146"/>
      <c r="D268" s="120" t="str">
        <f t="shared" si="37"/>
        <v>Audy</v>
      </c>
      <c r="E268" s="147">
        <f>SUMIFS(SSOD!$C:$C,SSOD!$B:$B,Hitungan!D268,SSOD!$A:$A,Hitungan!C268)</f>
        <v>0</v>
      </c>
      <c r="F268" s="148"/>
      <c r="G268" s="124">
        <f t="shared" si="41"/>
        <v>0</v>
      </c>
      <c r="H268" s="126" t="str">
        <f t="array" ref="H268">INDEX('Panduan Gaji'!$Q:$Q,MATCH(D268,'Panduan Gaji'!$C:$C,0))</f>
        <v>GS</v>
      </c>
      <c r="I268" s="128" t="s">
        <v>138</v>
      </c>
      <c r="J268" s="308">
        <v>0.4159722222222222</v>
      </c>
      <c r="K268" s="308">
        <v>0.9166666666666666</v>
      </c>
      <c r="L268" s="153"/>
      <c r="M268" s="16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 ht="13.5" hidden="1" customHeight="1">
      <c r="A269" s="116">
        <f t="shared" si="36"/>
        <v>7</v>
      </c>
      <c r="B269" s="118">
        <v>46233.0</v>
      </c>
      <c r="C269" s="119"/>
      <c r="D269" s="120" t="str">
        <f t="shared" si="37"/>
        <v>Audy</v>
      </c>
      <c r="E269" s="121">
        <f>SUMIFS(SSOD!$C:$C,SSOD!$B:$B,Hitungan!D269,SSOD!$A:$A,Hitungan!C269)</f>
        <v>0</v>
      </c>
      <c r="F269" s="122"/>
      <c r="G269" s="124">
        <f t="shared" si="41"/>
        <v>0</v>
      </c>
      <c r="H269" s="126" t="str">
        <f t="array" ref="H269">INDEX('Panduan Gaji'!$Q:$Q,MATCH(D269,'Panduan Gaji'!$C:$C,0))</f>
        <v>GS</v>
      </c>
      <c r="I269" s="128" t="s">
        <v>138</v>
      </c>
      <c r="J269" s="308"/>
      <c r="K269" s="308"/>
      <c r="L269" s="164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 ht="13.5" hidden="1" customHeight="1">
      <c r="A270" s="116">
        <f t="shared" si="36"/>
        <v>7</v>
      </c>
      <c r="B270" s="118">
        <v>46234.0</v>
      </c>
      <c r="C270" s="119"/>
      <c r="D270" s="120" t="str">
        <f t="shared" si="37"/>
        <v>Audy</v>
      </c>
      <c r="E270" s="121">
        <f>SUMIFS(SSOD!$C:$C,SSOD!$B:$B,Hitungan!D270,SSOD!$A:$A,Hitungan!C270)</f>
        <v>0</v>
      </c>
      <c r="F270" s="122"/>
      <c r="G270" s="124">
        <f t="shared" si="41"/>
        <v>0</v>
      </c>
      <c r="H270" s="126" t="str">
        <f t="array" ref="H270">INDEX('Panduan Gaji'!$Q:$Q,MATCH(D270,'Panduan Gaji'!$C:$C,0))</f>
        <v>GS</v>
      </c>
      <c r="I270" s="128" t="s">
        <v>138</v>
      </c>
      <c r="J270" s="308">
        <v>0.4194444444444445</v>
      </c>
      <c r="K270" s="308">
        <v>0.9166666666666666</v>
      </c>
      <c r="L270" s="130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 ht="13.5" hidden="1" customHeight="1">
      <c r="A271" s="116">
        <f t="shared" si="36"/>
        <v>7</v>
      </c>
      <c r="B271" s="118">
        <v>46235.0</v>
      </c>
      <c r="C271" s="119"/>
      <c r="D271" s="120" t="str">
        <f t="shared" si="37"/>
        <v>Audy</v>
      </c>
      <c r="E271" s="121">
        <f>SUMIFS(SSOD!$C:$C,SSOD!$B:$B,Hitungan!D271,SSOD!$A:$A,Hitungan!C271)</f>
        <v>0</v>
      </c>
      <c r="F271" s="122"/>
      <c r="G271" s="124">
        <f t="shared" si="41"/>
        <v>0</v>
      </c>
      <c r="H271" s="126" t="str">
        <f t="array" ref="H271">INDEX('Panduan Gaji'!$Q:$Q,MATCH(D271,'Panduan Gaji'!$C:$C,0))</f>
        <v>GS</v>
      </c>
      <c r="I271" s="128" t="s">
        <v>138</v>
      </c>
      <c r="J271" s="309">
        <v>0.4104166666666667</v>
      </c>
      <c r="K271" s="308">
        <v>0.9236111111111112</v>
      </c>
      <c r="L271" s="145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 ht="13.5" hidden="1" customHeight="1">
      <c r="A272" s="116">
        <f t="shared" si="36"/>
        <v>7</v>
      </c>
      <c r="B272" s="118">
        <v>46236.0</v>
      </c>
      <c r="C272" s="119"/>
      <c r="D272" s="120" t="str">
        <f t="shared" si="37"/>
        <v>Audy</v>
      </c>
      <c r="E272" s="121">
        <v>0.0</v>
      </c>
      <c r="F272" s="122"/>
      <c r="G272" s="124">
        <f t="shared" si="41"/>
        <v>0</v>
      </c>
      <c r="H272" s="126" t="str">
        <f t="array" ref="H272">INDEX('Panduan Gaji'!$Q:$Q,MATCH(D272,'Panduan Gaji'!$C:$C,0))</f>
        <v>GS</v>
      </c>
      <c r="I272" s="128" t="s">
        <v>138</v>
      </c>
      <c r="J272" s="309">
        <v>0.41875</v>
      </c>
      <c r="K272" s="308">
        <v>0.9270833333333334</v>
      </c>
      <c r="L272" s="145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 ht="13.5" hidden="1" customHeight="1">
      <c r="A273" s="116">
        <f t="shared" si="36"/>
        <v>7</v>
      </c>
      <c r="B273" s="118">
        <v>46237.0</v>
      </c>
      <c r="C273" s="119"/>
      <c r="D273" s="120" t="str">
        <f t="shared" si="37"/>
        <v>Audy</v>
      </c>
      <c r="E273" s="121">
        <f>SUMIFS(SSOD!$C:$C,SSOD!$B:$B,Hitungan!D273,SSOD!$A:$A,Hitungan!C273)</f>
        <v>0</v>
      </c>
      <c r="F273" s="122"/>
      <c r="G273" s="124">
        <f t="shared" si="41"/>
        <v>0</v>
      </c>
      <c r="H273" s="126" t="str">
        <f t="array" ref="H273">INDEX('Panduan Gaji'!$Q:$Q,MATCH(D273,'Panduan Gaji'!$C:$C,0))</f>
        <v>GS</v>
      </c>
      <c r="I273" s="128" t="s">
        <v>138</v>
      </c>
      <c r="J273" s="309">
        <v>0.4166666666666667</v>
      </c>
      <c r="K273" s="308">
        <v>0.9166666666666666</v>
      </c>
      <c r="L273" s="145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 ht="13.5" hidden="1" customHeight="1">
      <c r="A274" s="116">
        <f t="shared" si="36"/>
        <v>7</v>
      </c>
      <c r="B274" s="118">
        <v>46238.0</v>
      </c>
      <c r="C274" s="181"/>
      <c r="D274" s="120" t="str">
        <f t="shared" si="37"/>
        <v>Audy</v>
      </c>
      <c r="E274" s="121">
        <f>SUMIFS(SSOD!$C:$C,SSOD!$B:$B,Hitungan!D274,SSOD!$A:$A,Hitungan!C274)</f>
        <v>0</v>
      </c>
      <c r="F274" s="182"/>
      <c r="G274" s="52">
        <f t="shared" si="41"/>
        <v>0</v>
      </c>
      <c r="H274" s="126" t="str">
        <f t="array" ref="H274">INDEX('Panduan Gaji'!$Q:$Q,MATCH(D274,'Panduan Gaji'!$C:$C,0))</f>
        <v>GS</v>
      </c>
      <c r="I274" s="128" t="s">
        <v>138</v>
      </c>
      <c r="J274" s="309"/>
      <c r="K274" s="308"/>
      <c r="L274" s="119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 ht="13.5" hidden="1" customHeight="1">
      <c r="A275" s="116">
        <f t="shared" si="36"/>
        <v>7</v>
      </c>
      <c r="B275" s="118">
        <v>46239.0</v>
      </c>
      <c r="C275" s="119"/>
      <c r="D275" s="120" t="str">
        <f t="shared" si="37"/>
        <v>Audy</v>
      </c>
      <c r="E275" s="121">
        <f>SUMIFS(SSOD!$C:$C,SSOD!$B:$B,Hitungan!D275,SSOD!$A:$A,Hitungan!C275)</f>
        <v>0</v>
      </c>
      <c r="F275" s="122"/>
      <c r="G275" s="124">
        <f t="shared" si="41"/>
        <v>0</v>
      </c>
      <c r="H275" s="126" t="str">
        <f t="array" ref="H275">INDEX('Panduan Gaji'!$Q:$Q,MATCH(D275,'Panduan Gaji'!$C:$C,0))</f>
        <v>GS</v>
      </c>
      <c r="I275" s="128" t="s">
        <v>138</v>
      </c>
      <c r="J275" s="309">
        <v>0.4173611111111111</v>
      </c>
      <c r="K275" s="308">
        <v>0.9166666666666666</v>
      </c>
      <c r="L275" s="145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 ht="13.5" hidden="1" customHeight="1">
      <c r="A276" s="116">
        <f t="shared" si="36"/>
        <v>7</v>
      </c>
      <c r="B276" s="118">
        <v>46240.0</v>
      </c>
      <c r="C276" s="119"/>
      <c r="D276" s="120" t="str">
        <f t="shared" si="37"/>
        <v>Audy</v>
      </c>
      <c r="E276" s="121">
        <f>SUMIFS(SSOD!$C:$C,SSOD!$B:$B,Hitungan!D276,SSOD!$A:$A,Hitungan!C276)</f>
        <v>0</v>
      </c>
      <c r="F276" s="122"/>
      <c r="G276" s="124">
        <f t="shared" si="41"/>
        <v>0</v>
      </c>
      <c r="H276" s="126" t="str">
        <f t="array" ref="H276">INDEX('Panduan Gaji'!$Q:$Q,MATCH(D276,'Panduan Gaji'!$C:$C,0))</f>
        <v>GS</v>
      </c>
      <c r="I276" s="128" t="s">
        <v>138</v>
      </c>
      <c r="J276" s="308">
        <v>0.4194444444444445</v>
      </c>
      <c r="K276" s="308">
        <v>0.9166666666666666</v>
      </c>
      <c r="L276" s="145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 ht="13.5" hidden="1" customHeight="1">
      <c r="A277" s="116">
        <f t="shared" si="36"/>
        <v>7</v>
      </c>
      <c r="B277" s="118">
        <v>46241.0</v>
      </c>
      <c r="C277" s="119"/>
      <c r="D277" s="120" t="str">
        <f t="shared" si="37"/>
        <v>Audy</v>
      </c>
      <c r="E277" s="121">
        <f>SUMIFS(SSOD!$C:$C,SSOD!$B:$B,Hitungan!D277,SSOD!$A:$A,Hitungan!C277)</f>
        <v>0</v>
      </c>
      <c r="F277" s="122"/>
      <c r="G277" s="124">
        <f t="shared" si="41"/>
        <v>0</v>
      </c>
      <c r="H277" s="126" t="str">
        <f t="array" ref="H277">INDEX('Panduan Gaji'!$Q:$Q,MATCH(D277,'Panduan Gaji'!$C:$C,0))</f>
        <v>GS</v>
      </c>
      <c r="I277" s="128" t="s">
        <v>138</v>
      </c>
      <c r="J277" s="308"/>
      <c r="K277" s="310"/>
      <c r="L277" s="119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 ht="13.5" hidden="1" customHeight="1">
      <c r="A278" s="116">
        <f t="shared" si="36"/>
        <v>7</v>
      </c>
      <c r="B278" s="118">
        <v>46242.0</v>
      </c>
      <c r="C278" s="119" t="s">
        <v>33</v>
      </c>
      <c r="D278" s="120" t="str">
        <f t="shared" si="37"/>
        <v>Audy</v>
      </c>
      <c r="E278" s="121">
        <v>59000.0</v>
      </c>
      <c r="F278" s="122">
        <v>1.0</v>
      </c>
      <c r="G278" s="124">
        <f t="shared" si="41"/>
        <v>59000</v>
      </c>
      <c r="H278" s="126" t="str">
        <f t="array" ref="H278">INDEX('Panduan Gaji'!$Q:$Q,MATCH(D278,'Panduan Gaji'!$C:$C,0))</f>
        <v>GS</v>
      </c>
      <c r="I278" s="128" t="s">
        <v>138</v>
      </c>
      <c r="J278" s="309">
        <v>0.4173611111111111</v>
      </c>
      <c r="K278" s="309">
        <v>0.9166666666666666</v>
      </c>
      <c r="L278" s="187" t="s">
        <v>164</v>
      </c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 ht="13.5" hidden="1" customHeight="1">
      <c r="A279" s="116">
        <f t="shared" si="36"/>
        <v>7</v>
      </c>
      <c r="B279" s="118">
        <v>46243.0</v>
      </c>
      <c r="C279" s="119"/>
      <c r="D279" s="120" t="str">
        <f t="shared" si="37"/>
        <v>Audy</v>
      </c>
      <c r="E279" s="121">
        <f>SUMIFS(SSOD!$C:$C,SSOD!$B:$B,Hitungan!D279,SSOD!$A:$A,Hitungan!C279)</f>
        <v>0</v>
      </c>
      <c r="F279" s="122"/>
      <c r="G279" s="124">
        <f t="shared" si="41"/>
        <v>0</v>
      </c>
      <c r="H279" s="126" t="str">
        <f t="array" ref="H279">INDEX('Panduan Gaji'!$Q:$Q,MATCH(D279,'Panduan Gaji'!$C:$C,0))</f>
        <v>GS</v>
      </c>
      <c r="I279" s="128" t="s">
        <v>138</v>
      </c>
      <c r="J279" s="309">
        <v>0.41875</v>
      </c>
      <c r="K279" s="309">
        <v>0.9208333333333333</v>
      </c>
      <c r="L279" s="187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 ht="13.5" hidden="1" customHeight="1">
      <c r="A280" s="116">
        <f t="shared" si="36"/>
        <v>7</v>
      </c>
      <c r="B280" s="118">
        <v>46244.0</v>
      </c>
      <c r="C280" s="119"/>
      <c r="D280" s="120" t="str">
        <f t="shared" si="37"/>
        <v>Audy</v>
      </c>
      <c r="E280" s="121">
        <f>SUMIFS(SSOD!$C:$C,SSOD!$B:$B,Hitungan!D280,SSOD!$A:$A,Hitungan!C280)</f>
        <v>0</v>
      </c>
      <c r="F280" s="122"/>
      <c r="G280" s="124">
        <f t="shared" si="41"/>
        <v>0</v>
      </c>
      <c r="H280" s="126" t="str">
        <f t="array" ref="H280">INDEX('Panduan Gaji'!$Q:$Q,MATCH(D280,'Panduan Gaji'!$C:$C,0))</f>
        <v>GS</v>
      </c>
      <c r="I280" s="128" t="s">
        <v>138</v>
      </c>
      <c r="J280" s="309">
        <v>0.4159722222222222</v>
      </c>
      <c r="K280" s="309">
        <v>0.9166666666666666</v>
      </c>
      <c r="L280" s="187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 ht="13.5" hidden="1" customHeight="1">
      <c r="A281" s="116">
        <f t="shared" si="36"/>
        <v>7</v>
      </c>
      <c r="B281" s="118">
        <v>46245.0</v>
      </c>
      <c r="C281" s="119"/>
      <c r="D281" s="120" t="str">
        <f t="shared" si="37"/>
        <v>Audy</v>
      </c>
      <c r="E281" s="121">
        <f>SUMIFS(SSOD!$C:$C,SSOD!$B:$B,Hitungan!D281,SSOD!$A:$A,Hitungan!C281)</f>
        <v>0</v>
      </c>
      <c r="F281" s="122"/>
      <c r="G281" s="124">
        <f t="shared" si="41"/>
        <v>0</v>
      </c>
      <c r="H281" s="126" t="str">
        <f t="array" ref="H281">INDEX('Panduan Gaji'!$Q:$Q,MATCH(D281,'Panduan Gaji'!$C:$C,0))</f>
        <v>GS</v>
      </c>
      <c r="I281" s="128" t="s">
        <v>138</v>
      </c>
      <c r="J281" s="308">
        <v>0.4180555555555556</v>
      </c>
      <c r="K281" s="308">
        <v>0.9166666666666666</v>
      </c>
      <c r="L281" s="145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 ht="13.5" hidden="1" customHeight="1">
      <c r="A282" s="116">
        <f t="shared" si="36"/>
        <v>7</v>
      </c>
      <c r="B282" s="118">
        <v>46246.0</v>
      </c>
      <c r="C282" s="119"/>
      <c r="D282" s="120" t="str">
        <f t="shared" si="37"/>
        <v>Audy</v>
      </c>
      <c r="E282" s="121">
        <f>SUMIFS(SSOD!$C:$C,SSOD!$B:$B,Hitungan!D282,SSOD!$A:$A,Hitungan!C282)</f>
        <v>0</v>
      </c>
      <c r="F282" s="122"/>
      <c r="G282" s="124">
        <f t="shared" si="41"/>
        <v>0</v>
      </c>
      <c r="H282" s="126" t="str">
        <f t="array" ref="H282">INDEX('Panduan Gaji'!$Q:$Q,MATCH(D282,'Panduan Gaji'!$C:$C,0))</f>
        <v>GS</v>
      </c>
      <c r="I282" s="128" t="s">
        <v>138</v>
      </c>
      <c r="J282" s="308">
        <v>0.4180555555555556</v>
      </c>
      <c r="K282" s="308">
        <v>0.9166666666666666</v>
      </c>
      <c r="L282" s="145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 ht="13.5" hidden="1" customHeight="1">
      <c r="A283" s="116">
        <f t="shared" si="36"/>
        <v>7</v>
      </c>
      <c r="B283" s="118">
        <v>46247.0</v>
      </c>
      <c r="C283" s="119"/>
      <c r="D283" s="120" t="str">
        <f t="shared" si="37"/>
        <v>Audy</v>
      </c>
      <c r="E283" s="121">
        <f>SUMIFS(SSOD!$C:$C,SSOD!$B:$B,Hitungan!D283,SSOD!$A:$A,Hitungan!C283)</f>
        <v>0</v>
      </c>
      <c r="F283" s="122"/>
      <c r="G283" s="124">
        <f t="shared" si="41"/>
        <v>0</v>
      </c>
      <c r="H283" s="126" t="str">
        <f t="array" ref="H283">INDEX('Panduan Gaji'!$Q:$Q,MATCH(D283,'Panduan Gaji'!$C:$C,0))</f>
        <v>GS</v>
      </c>
      <c r="I283" s="128" t="s">
        <v>138</v>
      </c>
      <c r="J283" s="308"/>
      <c r="K283" s="308"/>
      <c r="L283" s="145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 ht="13.5" hidden="1" customHeight="1">
      <c r="A284" s="116">
        <f t="shared" si="36"/>
        <v>7</v>
      </c>
      <c r="B284" s="118">
        <v>46248.0</v>
      </c>
      <c r="C284" s="119"/>
      <c r="D284" s="120" t="str">
        <f t="shared" si="37"/>
        <v>Audy</v>
      </c>
      <c r="E284" s="121">
        <f>SUMIFS(SSOD!$C:$C,SSOD!$B:$B,Hitungan!D284,SSOD!$A:$A,Hitungan!C284)</f>
        <v>0</v>
      </c>
      <c r="F284" s="122"/>
      <c r="G284" s="124">
        <f t="shared" si="41"/>
        <v>0</v>
      </c>
      <c r="H284" s="126" t="str">
        <f t="array" ref="H284">INDEX('Panduan Gaji'!$Q:$Q,MATCH(D284,'Panduan Gaji'!$C:$C,0))</f>
        <v>GS</v>
      </c>
      <c r="I284" s="128" t="s">
        <v>138</v>
      </c>
      <c r="J284" s="308"/>
      <c r="K284" s="310"/>
      <c r="L284" s="145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 ht="13.5" hidden="1" customHeight="1">
      <c r="A285" s="116">
        <f t="shared" si="36"/>
        <v>7</v>
      </c>
      <c r="B285" s="118">
        <v>46249.0</v>
      </c>
      <c r="C285" s="119"/>
      <c r="D285" s="120" t="str">
        <f t="shared" si="37"/>
        <v>Audy</v>
      </c>
      <c r="E285" s="121">
        <f>SUMIFS(SSOD!$C:$C,SSOD!$B:$B,Hitungan!D285,SSOD!$A:$A,Hitungan!C285)</f>
        <v>0</v>
      </c>
      <c r="F285" s="122"/>
      <c r="G285" s="124">
        <f t="shared" si="41"/>
        <v>0</v>
      </c>
      <c r="H285" s="126" t="str">
        <f t="array" ref="H285">INDEX('Panduan Gaji'!$Q:$Q,MATCH(D285,'Panduan Gaji'!$C:$C,0))</f>
        <v>GS</v>
      </c>
      <c r="I285" s="128" t="s">
        <v>138</v>
      </c>
      <c r="J285" s="308">
        <v>0.4152777777777778</v>
      </c>
      <c r="K285" s="308">
        <v>0.9166666666666666</v>
      </c>
      <c r="L285" s="145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 ht="13.5" hidden="1" customHeight="1">
      <c r="A286" s="116">
        <f t="shared" si="36"/>
        <v>7</v>
      </c>
      <c r="B286" s="118">
        <v>46250.0</v>
      </c>
      <c r="C286" s="119" t="s">
        <v>30</v>
      </c>
      <c r="D286" s="120" t="str">
        <f t="shared" si="37"/>
        <v>Audy</v>
      </c>
      <c r="E286" s="121">
        <f>SUMIFS(SSOD!$C:$C,SSOD!$B:$B,Hitungan!D286,SSOD!$A:$A,Hitungan!C286)</f>
        <v>13050</v>
      </c>
      <c r="F286" s="122">
        <v>1.0</v>
      </c>
      <c r="G286" s="124">
        <f t="shared" si="41"/>
        <v>13050</v>
      </c>
      <c r="H286" s="126" t="str">
        <f t="array" ref="H286">INDEX('Panduan Gaji'!$Q:$Q,MATCH(D286,'Panduan Gaji'!$C:$C,0))</f>
        <v>GS</v>
      </c>
      <c r="I286" s="128" t="s">
        <v>138</v>
      </c>
      <c r="J286" s="312">
        <v>0.4208333333333333</v>
      </c>
      <c r="K286" s="308">
        <v>0.9166666666666666</v>
      </c>
      <c r="L286" s="145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 ht="13.5" hidden="1" customHeight="1">
      <c r="A287" s="116">
        <f t="shared" si="36"/>
        <v>7</v>
      </c>
      <c r="B287" s="118">
        <v>46251.0</v>
      </c>
      <c r="C287" s="119"/>
      <c r="D287" s="120" t="str">
        <f t="shared" si="37"/>
        <v>Audy</v>
      </c>
      <c r="E287" s="121">
        <f>SUMIFS(SSOD!$C:$C,SSOD!$B:$B,Hitungan!D287,SSOD!$A:$A,Hitungan!C287)</f>
        <v>0</v>
      </c>
      <c r="F287" s="122"/>
      <c r="G287" s="124">
        <f t="shared" si="41"/>
        <v>0</v>
      </c>
      <c r="H287" s="126" t="str">
        <f t="array" ref="H287">INDEX('Panduan Gaji'!$Q:$Q,MATCH(D287,'Panduan Gaji'!$C:$C,0))</f>
        <v>GS</v>
      </c>
      <c r="I287" s="128" t="s">
        <v>138</v>
      </c>
      <c r="J287" s="308">
        <v>0.4097222222222222</v>
      </c>
      <c r="K287" s="308">
        <v>0.9166666666666666</v>
      </c>
      <c r="L287" s="119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 ht="13.5" hidden="1" customHeight="1">
      <c r="A288" s="116">
        <f t="shared" si="36"/>
        <v>7</v>
      </c>
      <c r="B288" s="118">
        <v>46252.0</v>
      </c>
      <c r="C288" s="119" t="s">
        <v>33</v>
      </c>
      <c r="D288" s="120" t="str">
        <f t="shared" si="37"/>
        <v>Audy</v>
      </c>
      <c r="E288" s="121">
        <v>71400.0</v>
      </c>
      <c r="F288" s="122">
        <v>1.0</v>
      </c>
      <c r="G288" s="124">
        <f t="shared" si="41"/>
        <v>71400</v>
      </c>
      <c r="H288" s="126" t="str">
        <f t="array" ref="H288">INDEX('Panduan Gaji'!$Q:$Q,MATCH(D288,'Panduan Gaji'!$C:$C,0))</f>
        <v>GS</v>
      </c>
      <c r="I288" s="128" t="s">
        <v>138</v>
      </c>
      <c r="J288" s="308">
        <v>0.4152777777777778</v>
      </c>
      <c r="K288" s="308">
        <v>0.9166666666666666</v>
      </c>
      <c r="L288" s="119" t="s">
        <v>165</v>
      </c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 ht="13.5" hidden="1" customHeight="1">
      <c r="A289" s="116">
        <f t="shared" si="36"/>
        <v>7</v>
      </c>
      <c r="B289" s="118">
        <v>46253.0</v>
      </c>
      <c r="C289" s="119"/>
      <c r="D289" s="120" t="str">
        <f t="shared" si="37"/>
        <v>Audy</v>
      </c>
      <c r="E289" s="121">
        <f>SUMIFS(SSOD!$C:$C,SSOD!$B:$B,Hitungan!D289,SSOD!$A:$A,Hitungan!C289)</f>
        <v>0</v>
      </c>
      <c r="F289" s="122"/>
      <c r="G289" s="124">
        <f t="shared" si="41"/>
        <v>0</v>
      </c>
      <c r="H289" s="126" t="str">
        <f t="array" ref="H289">INDEX('Panduan Gaji'!$Q:$Q,MATCH(D289,'Panduan Gaji'!$C:$C,0))</f>
        <v>GS</v>
      </c>
      <c r="I289" s="128" t="s">
        <v>138</v>
      </c>
      <c r="J289" s="308">
        <v>0.41875</v>
      </c>
      <c r="K289" s="308">
        <v>0.9166666666666666</v>
      </c>
      <c r="L289" s="119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 ht="13.5" hidden="1" customHeight="1">
      <c r="A290" s="116">
        <f t="shared" si="36"/>
        <v>7</v>
      </c>
      <c r="B290" s="118">
        <v>46254.0</v>
      </c>
      <c r="C290" s="119"/>
      <c r="D290" s="120" t="str">
        <f t="shared" si="37"/>
        <v>Audy</v>
      </c>
      <c r="E290" s="121">
        <f>SUMIFS(SSOD!$C:$C,SSOD!$B:$B,Hitungan!D290,SSOD!$A:$A,Hitungan!C290)</f>
        <v>0</v>
      </c>
      <c r="F290" s="122"/>
      <c r="G290" s="124">
        <f t="shared" si="41"/>
        <v>0</v>
      </c>
      <c r="H290" s="126" t="str">
        <f t="array" ref="H290">INDEX('Panduan Gaji'!$Q:$Q,MATCH(D290,'Panduan Gaji'!$C:$C,0))</f>
        <v>GS</v>
      </c>
      <c r="I290" s="128" t="s">
        <v>138</v>
      </c>
      <c r="J290" s="308"/>
      <c r="K290" s="308"/>
      <c r="L290" s="145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 ht="13.5" hidden="1" customHeight="1">
      <c r="A291" s="116">
        <f t="shared" si="36"/>
        <v>7</v>
      </c>
      <c r="B291" s="118">
        <v>46255.0</v>
      </c>
      <c r="C291" s="119"/>
      <c r="D291" s="120" t="str">
        <f t="shared" si="37"/>
        <v>Audy</v>
      </c>
      <c r="E291" s="121">
        <f>SUMIFS(SSOD!$C:$C,SSOD!$B:$B,Hitungan!D291,SSOD!$A:$A,Hitungan!C291)</f>
        <v>0</v>
      </c>
      <c r="F291" s="122"/>
      <c r="G291" s="124">
        <f t="shared" si="41"/>
        <v>0</v>
      </c>
      <c r="H291" s="126" t="str">
        <f t="array" ref="H291">INDEX('Panduan Gaji'!$Q:$Q,MATCH(D291,'Panduan Gaji'!$C:$C,0))</f>
        <v>GS</v>
      </c>
      <c r="I291" s="128" t="s">
        <v>138</v>
      </c>
      <c r="J291" s="308"/>
      <c r="K291" s="308"/>
      <c r="L291" s="119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 ht="13.5" hidden="1" customHeight="1">
      <c r="A292" s="116">
        <f t="shared" si="36"/>
        <v>7</v>
      </c>
      <c r="B292" s="118">
        <v>46256.0</v>
      </c>
      <c r="C292" s="119" t="s">
        <v>33</v>
      </c>
      <c r="D292" s="120" t="str">
        <f t="shared" si="37"/>
        <v>Audy</v>
      </c>
      <c r="E292" s="121">
        <v>68250.0</v>
      </c>
      <c r="F292" s="122">
        <v>1.0</v>
      </c>
      <c r="G292" s="124">
        <f t="shared" si="41"/>
        <v>68250</v>
      </c>
      <c r="H292" s="126" t="str">
        <f t="array" ref="H292">INDEX('Panduan Gaji'!$Q:$Q,MATCH(D292,'Panduan Gaji'!$C:$C,0))</f>
        <v>GS</v>
      </c>
      <c r="I292" s="128" t="s">
        <v>138</v>
      </c>
      <c r="J292" s="308">
        <v>0.4152777777777778</v>
      </c>
      <c r="K292" s="308">
        <v>0.9166666666666666</v>
      </c>
      <c r="L292" s="119" t="s">
        <v>166</v>
      </c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 ht="13.5" hidden="1" customHeight="1">
      <c r="A293" s="116">
        <f t="shared" si="36"/>
        <v>7</v>
      </c>
      <c r="B293" s="118">
        <v>46257.0</v>
      </c>
      <c r="C293" s="119"/>
      <c r="D293" s="120" t="str">
        <f t="shared" si="37"/>
        <v>Audy</v>
      </c>
      <c r="E293" s="121">
        <f>SUMIFS(SSOD!$C:$C,SSOD!$B:$B,Hitungan!D293,SSOD!$A:$A,Hitungan!C293)</f>
        <v>0</v>
      </c>
      <c r="F293" s="122"/>
      <c r="G293" s="124">
        <f t="shared" si="41"/>
        <v>0</v>
      </c>
      <c r="H293" s="126" t="str">
        <f t="array" ref="H293">INDEX('Panduan Gaji'!$Q:$Q,MATCH(D293,'Panduan Gaji'!$C:$C,0))</f>
        <v>GS</v>
      </c>
      <c r="I293" s="128" t="s">
        <v>138</v>
      </c>
      <c r="J293" s="308">
        <v>0.4138888888888889</v>
      </c>
      <c r="K293" s="308">
        <v>0.9180555555555555</v>
      </c>
      <c r="L293" s="119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 ht="15.75" hidden="1" customHeight="1">
      <c r="A294" s="116">
        <f t="shared" si="36"/>
        <v>7</v>
      </c>
      <c r="B294" s="118">
        <v>46258.0</v>
      </c>
      <c r="C294" s="119"/>
      <c r="D294" s="120" t="str">
        <f t="shared" si="37"/>
        <v>Audy</v>
      </c>
      <c r="E294" s="121">
        <f>SUMIFS(SSOD!$C:$C,SSOD!$B:$B,Hitungan!D294,SSOD!$A:$A,Hitungan!C294)</f>
        <v>0</v>
      </c>
      <c r="F294" s="122"/>
      <c r="G294" s="124">
        <f t="shared" si="41"/>
        <v>0</v>
      </c>
      <c r="H294" s="220" t="str">
        <f t="array" ref="H294">INDEX('Panduan Gaji'!$Q:$Q,MATCH(D294,'Panduan Gaji'!$C:$C,0))</f>
        <v>GS</v>
      </c>
      <c r="I294" s="128" t="s">
        <v>138</v>
      </c>
      <c r="J294" s="308"/>
      <c r="K294" s="308"/>
      <c r="L294" s="119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 ht="15.75" hidden="1" customHeight="1">
      <c r="A295" s="222"/>
      <c r="B295" s="223"/>
      <c r="C295" s="224"/>
      <c r="D295" s="225"/>
      <c r="E295" s="226"/>
      <c r="F295" s="227"/>
      <c r="G295" s="228"/>
      <c r="H295" s="229"/>
      <c r="I295" s="22"/>
      <c r="J295" s="230"/>
      <c r="K295" s="230"/>
      <c r="L295" s="224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 ht="13.5" hidden="1" customHeight="1">
      <c r="A296" s="26">
        <v>9.0</v>
      </c>
      <c r="B296" s="28"/>
      <c r="C296" s="30" t="s">
        <v>6</v>
      </c>
      <c r="D296" s="33" t="s">
        <v>76</v>
      </c>
      <c r="E296" s="42">
        <f>SUMIFS(SSOD!$C:$C,SSOD!$B:$B,Hitungan!D296,SSOD!$A:$A,Hitungan!C296)</f>
        <v>0</v>
      </c>
      <c r="F296" s="44">
        <v>1.0</v>
      </c>
      <c r="G296" s="47">
        <f t="shared" ref="G296:G299" si="42">E296*F296</f>
        <v>0</v>
      </c>
      <c r="H296" s="51" t="str">
        <f t="array" ref="H296">INDEX('Panduan Gaji'!$Q:$Q,MATCH(D296,'Panduan Gaji'!$C:$C,0))</f>
        <v>GS</v>
      </c>
      <c r="I296" s="53"/>
      <c r="J296" s="54"/>
      <c r="K296" s="54"/>
      <c r="L296" s="55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 ht="13.5" hidden="1" customHeight="1">
      <c r="A297" s="26">
        <f t="shared" ref="A297:A335" si="43">A296</f>
        <v>9</v>
      </c>
      <c r="B297" s="28"/>
      <c r="C297" s="30" t="s">
        <v>17</v>
      </c>
      <c r="D297" s="33" t="str">
        <f t="shared" ref="D297:D335" si="44">D296</f>
        <v>Wise</v>
      </c>
      <c r="E297" s="42">
        <f>SUMIFS(SSOD!$C:$C,SSOD!$B:$B,Hitungan!D297,SSOD!$A:$A,Hitungan!C297)</f>
        <v>150000</v>
      </c>
      <c r="F297" s="44">
        <f>COUNT(J306:J335)</f>
        <v>6</v>
      </c>
      <c r="G297" s="47">
        <f t="shared" si="42"/>
        <v>900000</v>
      </c>
      <c r="H297" s="51" t="str">
        <f t="array" ref="H297">INDEX('Panduan Gaji'!$Q:$Q,MATCH(D297,'Panduan Gaji'!$C:$C,0))</f>
        <v>GS</v>
      </c>
      <c r="I297" s="53"/>
      <c r="J297" s="54"/>
      <c r="K297" s="54"/>
      <c r="L297" s="55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 ht="13.5" hidden="1" customHeight="1">
      <c r="A298" s="26">
        <f t="shared" si="43"/>
        <v>9</v>
      </c>
      <c r="B298" s="28"/>
      <c r="C298" s="30" t="s">
        <v>7</v>
      </c>
      <c r="D298" s="33" t="str">
        <f t="shared" si="44"/>
        <v>Wise</v>
      </c>
      <c r="E298" s="42">
        <f>SUMIFS(SSOD!$C:$C,SSOD!$B:$B,Hitungan!D298,SSOD!$A:$A,Hitungan!C298)</f>
        <v>0</v>
      </c>
      <c r="F298" s="44">
        <f t="shared" ref="F298:F299" si="45">SUMPRODUCT(--((($J$306:$J$335&lt;&gt;"")+($K$306:$K$335&lt;&gt;""))&gt;0))</f>
        <v>6</v>
      </c>
      <c r="G298" s="47">
        <f t="shared" si="42"/>
        <v>0</v>
      </c>
      <c r="H298" s="51" t="str">
        <f t="array" ref="H298">INDEX('Panduan Gaji'!$Q:$Q,MATCH(D298,'Panduan Gaji'!$C:$C,0))</f>
        <v>GS</v>
      </c>
      <c r="I298" s="53"/>
      <c r="J298" s="88"/>
      <c r="K298" s="88"/>
      <c r="L298" s="55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 ht="13.5" hidden="1" customHeight="1">
      <c r="A299" s="26">
        <f t="shared" si="43"/>
        <v>9</v>
      </c>
      <c r="B299" s="28"/>
      <c r="C299" s="30" t="s">
        <v>9</v>
      </c>
      <c r="D299" s="33" t="str">
        <f t="shared" si="44"/>
        <v>Wise</v>
      </c>
      <c r="E299" s="42">
        <f>SUMIFS(SSOD!$C:$C,SSOD!$B:$B,Hitungan!D299,SSOD!$A:$A,Hitungan!C299)</f>
        <v>0</v>
      </c>
      <c r="F299" s="44">
        <f t="shared" si="45"/>
        <v>6</v>
      </c>
      <c r="G299" s="47">
        <f t="shared" si="42"/>
        <v>0</v>
      </c>
      <c r="H299" s="51" t="str">
        <f t="array" ref="H299">INDEX('Panduan Gaji'!$Q:$Q,MATCH(D299,'Panduan Gaji'!$C:$C,0))</f>
        <v>GS</v>
      </c>
      <c r="I299" s="53"/>
      <c r="J299" s="88"/>
      <c r="K299" s="88"/>
      <c r="L299" s="9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 ht="15.75" hidden="1" customHeight="1">
      <c r="A300" s="26">
        <f t="shared" si="43"/>
        <v>9</v>
      </c>
      <c r="B300" s="28"/>
      <c r="C300" s="30" t="s">
        <v>39</v>
      </c>
      <c r="D300" s="33" t="str">
        <f t="shared" si="44"/>
        <v>Wise</v>
      </c>
      <c r="E300" s="42"/>
      <c r="F300" s="44">
        <v>1.0</v>
      </c>
      <c r="G300" s="47">
        <f>F300*E300</f>
        <v>0</v>
      </c>
      <c r="H300" s="51" t="str">
        <f t="array" ref="H300">INDEX('Panduan Gaji'!$Q:$Q,MATCH(D300,'Panduan Gaji'!$C:$C,0))</f>
        <v>GS</v>
      </c>
      <c r="I300" s="53"/>
      <c r="J300" s="88"/>
      <c r="K300" s="88"/>
      <c r="L300" s="9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 ht="15.75" hidden="1" customHeight="1">
      <c r="A301" s="26">
        <f t="shared" si="43"/>
        <v>9</v>
      </c>
      <c r="B301" s="28"/>
      <c r="C301" s="30" t="s">
        <v>12</v>
      </c>
      <c r="D301" s="33" t="str">
        <f t="shared" si="44"/>
        <v>Wise</v>
      </c>
      <c r="E301" s="42">
        <f>SUMIFS(SSOD!$C:$C,SSOD!$B:$B,Hitungan!D301,SSOD!$A:$A,Hitungan!C301)</f>
        <v>15000</v>
      </c>
      <c r="F301" s="44">
        <f>SUMIF($C$306:$C$335,C301,$F$306:$F$335)</f>
        <v>0</v>
      </c>
      <c r="G301" s="47">
        <f t="shared" ref="G301:G302" si="46">E301*F301</f>
        <v>0</v>
      </c>
      <c r="H301" s="51" t="str">
        <f t="array" ref="H301">INDEX('Panduan Gaji'!$Q:$Q,MATCH(D301,'Panduan Gaji'!$C:$C,0))</f>
        <v>GS</v>
      </c>
      <c r="I301" s="53"/>
      <c r="J301" s="88"/>
      <c r="K301" s="88"/>
      <c r="L301" s="100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 ht="15.75" hidden="1" customHeight="1">
      <c r="A302" s="26">
        <f t="shared" si="43"/>
        <v>9</v>
      </c>
      <c r="B302" s="28"/>
      <c r="C302" s="102" t="s">
        <v>30</v>
      </c>
      <c r="D302" s="33" t="str">
        <f t="shared" si="44"/>
        <v>Wise</v>
      </c>
      <c r="E302" s="42">
        <f>SUMIFS(SSOD!$C:$C,SSOD!$B:$B,Hitungan!D302,SSOD!$A:$A,Hitungan!C302)</f>
        <v>12500</v>
      </c>
      <c r="F302" s="44">
        <f t="shared" ref="F302:F303" si="47">COUNTIF($C$306:$C$335,C302)</f>
        <v>0</v>
      </c>
      <c r="G302" s="47">
        <f t="shared" si="46"/>
        <v>0</v>
      </c>
      <c r="H302" s="51" t="str">
        <f t="array" ref="H302">INDEX('Panduan Gaji'!$Q:$Q,MATCH(D302,'Panduan Gaji'!$C:$C,0))</f>
        <v>GS</v>
      </c>
      <c r="I302" s="53"/>
      <c r="J302" s="105"/>
      <c r="K302" s="105"/>
      <c r="L302" s="10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 ht="15.75" hidden="1" customHeight="1">
      <c r="A303" s="26">
        <f t="shared" si="43"/>
        <v>9</v>
      </c>
      <c r="B303" s="28"/>
      <c r="C303" s="30" t="s">
        <v>33</v>
      </c>
      <c r="D303" s="33" t="str">
        <f t="shared" si="44"/>
        <v>Wise</v>
      </c>
      <c r="E303" s="42"/>
      <c r="F303" s="44">
        <f t="shared" si="47"/>
        <v>0</v>
      </c>
      <c r="G303" s="47">
        <f>SUMIF($C$306:$C$335,C303,$E$306:$E$335)</f>
        <v>0</v>
      </c>
      <c r="H303" s="51" t="str">
        <f t="array" ref="H303">INDEX('Panduan Gaji'!$Q:$Q,MATCH(D303,'Panduan Gaji'!$C:$C,0))</f>
        <v>GS</v>
      </c>
      <c r="I303" s="53"/>
      <c r="J303" s="105"/>
      <c r="K303" s="105"/>
      <c r="L303" s="10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 ht="15.75" hidden="1" customHeight="1">
      <c r="A304" s="26">
        <f t="shared" si="43"/>
        <v>9</v>
      </c>
      <c r="B304" s="28"/>
      <c r="C304" s="30" t="s">
        <v>83</v>
      </c>
      <c r="D304" s="33" t="str">
        <f t="shared" si="44"/>
        <v>Wise</v>
      </c>
      <c r="E304" s="42"/>
      <c r="F304" s="44"/>
      <c r="G304" s="47"/>
      <c r="H304" s="51" t="str">
        <f t="array" ref="H304">INDEX('Panduan Gaji'!$Q:$Q,MATCH(D304,'Panduan Gaji'!$C:$C,0))</f>
        <v>GS</v>
      </c>
      <c r="I304" s="53"/>
      <c r="J304" s="105"/>
      <c r="K304" s="105"/>
      <c r="L304" s="10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 ht="13.5" hidden="1" customHeight="1">
      <c r="A305" s="26">
        <f t="shared" si="43"/>
        <v>9</v>
      </c>
      <c r="B305" s="28"/>
      <c r="C305" s="30" t="s">
        <v>85</v>
      </c>
      <c r="D305" s="33" t="str">
        <f t="shared" si="44"/>
        <v>Wise</v>
      </c>
      <c r="E305" s="42"/>
      <c r="F305" s="44"/>
      <c r="G305" s="47"/>
      <c r="H305" s="51" t="str">
        <f t="array" ref="H305">INDEX('Panduan Gaji'!$Q:$Q,MATCH(D305,'Panduan Gaji'!$C:$C,0))</f>
        <v>GS</v>
      </c>
      <c r="I305" s="53"/>
      <c r="J305" s="105"/>
      <c r="K305" s="105"/>
      <c r="L305" s="106"/>
      <c r="M305" s="56"/>
      <c r="N305" s="56"/>
      <c r="O305" s="22"/>
      <c r="P305" s="56"/>
      <c r="Q305" s="56"/>
      <c r="R305" s="56"/>
      <c r="S305" s="56"/>
      <c r="T305" s="56"/>
      <c r="U305" s="56"/>
      <c r="V305" s="56"/>
      <c r="W305" s="56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 ht="13.5" hidden="1" customHeight="1">
      <c r="A306" s="116">
        <f t="shared" si="43"/>
        <v>9</v>
      </c>
      <c r="B306" s="118">
        <v>46229.0</v>
      </c>
      <c r="C306" s="119"/>
      <c r="D306" s="120" t="str">
        <f t="shared" si="44"/>
        <v>Wise</v>
      </c>
      <c r="E306" s="121">
        <f>SUMIFS(SSOD!$C:$C,SSOD!$B:$B,Hitungan!D306,SSOD!$A:$A,Hitungan!C306)</f>
        <v>0</v>
      </c>
      <c r="F306" s="122"/>
      <c r="G306" s="124">
        <f t="shared" ref="G306:G335" si="48">E306*F306</f>
        <v>0</v>
      </c>
      <c r="H306" s="126" t="str">
        <f t="array" ref="H306">INDEX('Panduan Gaji'!$Q:$Q,MATCH(D306,'Panduan Gaji'!$C:$C,0))</f>
        <v>GS</v>
      </c>
      <c r="I306" s="128" t="s">
        <v>138</v>
      </c>
      <c r="J306" s="308">
        <v>0.4152777777777778</v>
      </c>
      <c r="K306" s="308">
        <v>0.9166666666666666</v>
      </c>
      <c r="L306" s="130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 ht="13.5" hidden="1" customHeight="1">
      <c r="A307" s="116">
        <f t="shared" si="43"/>
        <v>9</v>
      </c>
      <c r="B307" s="118">
        <v>46230.0</v>
      </c>
      <c r="C307" s="119"/>
      <c r="D307" s="120" t="str">
        <f t="shared" si="44"/>
        <v>Wise</v>
      </c>
      <c r="E307" s="121">
        <f>SUMIFS(SSOD!$C:$C,SSOD!$B:$B,Hitungan!D307,SSOD!$A:$A,Hitungan!C307)</f>
        <v>0</v>
      </c>
      <c r="F307" s="122"/>
      <c r="G307" s="124">
        <f t="shared" si="48"/>
        <v>0</v>
      </c>
      <c r="H307" s="126" t="str">
        <f t="array" ref="H307">INDEX('Panduan Gaji'!$Q:$Q,MATCH(D307,'Panduan Gaji'!$C:$C,0))</f>
        <v>GS</v>
      </c>
      <c r="I307" s="128" t="s">
        <v>138</v>
      </c>
      <c r="J307" s="308"/>
      <c r="K307" s="308"/>
      <c r="L307" s="138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 ht="13.5" hidden="1" customHeight="1">
      <c r="A308" s="116">
        <f t="shared" si="43"/>
        <v>9</v>
      </c>
      <c r="B308" s="118">
        <v>46231.0</v>
      </c>
      <c r="C308" s="119"/>
      <c r="D308" s="120" t="str">
        <f t="shared" si="44"/>
        <v>Wise</v>
      </c>
      <c r="E308" s="121">
        <f>SUMIFS(SSOD!$C:$C,SSOD!$B:$B,Hitungan!D308,SSOD!$A:$A,Hitungan!C308)</f>
        <v>0</v>
      </c>
      <c r="F308" s="122"/>
      <c r="G308" s="124">
        <f t="shared" si="48"/>
        <v>0</v>
      </c>
      <c r="H308" s="126" t="str">
        <f t="array" ref="H308">INDEX('Panduan Gaji'!$Q:$Q,MATCH(D308,'Panduan Gaji'!$C:$C,0))</f>
        <v>GS</v>
      </c>
      <c r="I308" s="128" t="s">
        <v>138</v>
      </c>
      <c r="J308" s="308"/>
      <c r="K308" s="308"/>
      <c r="L308" s="145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 ht="13.5" hidden="1" customHeight="1">
      <c r="A309" s="116">
        <f t="shared" si="43"/>
        <v>9</v>
      </c>
      <c r="B309" s="118">
        <v>46232.0</v>
      </c>
      <c r="C309" s="146"/>
      <c r="D309" s="120" t="str">
        <f t="shared" si="44"/>
        <v>Wise</v>
      </c>
      <c r="E309" s="147">
        <f>SUMIFS(SSOD!$C:$C,SSOD!$B:$B,Hitungan!D309,SSOD!$A:$A,Hitungan!C309)</f>
        <v>0</v>
      </c>
      <c r="F309" s="148"/>
      <c r="G309" s="124">
        <f t="shared" si="48"/>
        <v>0</v>
      </c>
      <c r="H309" s="126" t="str">
        <f t="array" ref="H309">INDEX('Panduan Gaji'!$Q:$Q,MATCH(D309,'Panduan Gaji'!$C:$C,0))</f>
        <v>GS</v>
      </c>
      <c r="I309" s="128" t="s">
        <v>138</v>
      </c>
      <c r="J309" s="308"/>
      <c r="K309" s="308"/>
      <c r="L309" s="153"/>
      <c r="M309" s="16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 ht="13.5" hidden="1" customHeight="1">
      <c r="A310" s="116">
        <f t="shared" si="43"/>
        <v>9</v>
      </c>
      <c r="B310" s="118">
        <v>46233.0</v>
      </c>
      <c r="C310" s="119"/>
      <c r="D310" s="120" t="str">
        <f t="shared" si="44"/>
        <v>Wise</v>
      </c>
      <c r="E310" s="121">
        <f>SUMIFS(SSOD!$C:$C,SSOD!$B:$B,Hitungan!D310,SSOD!$A:$A,Hitungan!C310)</f>
        <v>0</v>
      </c>
      <c r="F310" s="122"/>
      <c r="G310" s="124">
        <f t="shared" si="48"/>
        <v>0</v>
      </c>
      <c r="H310" s="126" t="str">
        <f t="array" ref="H310">INDEX('Panduan Gaji'!$Q:$Q,MATCH(D310,'Panduan Gaji'!$C:$C,0))</f>
        <v>GS</v>
      </c>
      <c r="I310" s="128" t="s">
        <v>138</v>
      </c>
      <c r="J310" s="308"/>
      <c r="K310" s="308"/>
      <c r="L310" s="164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 ht="13.5" hidden="1" customHeight="1">
      <c r="A311" s="116">
        <f t="shared" si="43"/>
        <v>9</v>
      </c>
      <c r="B311" s="118">
        <v>46234.0</v>
      </c>
      <c r="C311" s="119"/>
      <c r="D311" s="120" t="str">
        <f t="shared" si="44"/>
        <v>Wise</v>
      </c>
      <c r="E311" s="121">
        <f>SUMIFS(SSOD!$C:$C,SSOD!$B:$B,Hitungan!D311,SSOD!$A:$A,Hitungan!C311)</f>
        <v>0</v>
      </c>
      <c r="F311" s="122"/>
      <c r="G311" s="124">
        <f t="shared" si="48"/>
        <v>0</v>
      </c>
      <c r="H311" s="126" t="str">
        <f t="array" ref="H311">INDEX('Panduan Gaji'!$Q:$Q,MATCH(D311,'Panduan Gaji'!$C:$C,0))</f>
        <v>GS</v>
      </c>
      <c r="I311" s="128" t="s">
        <v>138</v>
      </c>
      <c r="J311" s="308"/>
      <c r="K311" s="310"/>
      <c r="L311" s="130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 ht="13.5" hidden="1" customHeight="1">
      <c r="A312" s="116">
        <f t="shared" si="43"/>
        <v>9</v>
      </c>
      <c r="B312" s="118">
        <v>46235.0</v>
      </c>
      <c r="C312" s="119"/>
      <c r="D312" s="120" t="str">
        <f t="shared" si="44"/>
        <v>Wise</v>
      </c>
      <c r="E312" s="121">
        <f>SUMIFS(SSOD!$C:$C,SSOD!$B:$B,Hitungan!D312,SSOD!$A:$A,Hitungan!C312)</f>
        <v>0</v>
      </c>
      <c r="F312" s="122"/>
      <c r="G312" s="124">
        <f t="shared" si="48"/>
        <v>0</v>
      </c>
      <c r="H312" s="126" t="str">
        <f t="array" ref="H312">INDEX('Panduan Gaji'!$Q:$Q,MATCH(D312,'Panduan Gaji'!$C:$C,0))</f>
        <v>GS</v>
      </c>
      <c r="I312" s="128" t="s">
        <v>138</v>
      </c>
      <c r="J312" s="309">
        <v>0.41875</v>
      </c>
      <c r="K312" s="308">
        <v>0.9256944444444445</v>
      </c>
      <c r="L312" s="145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 ht="13.5" hidden="1" customHeight="1">
      <c r="A313" s="116">
        <f t="shared" si="43"/>
        <v>9</v>
      </c>
      <c r="B313" s="118">
        <v>46236.0</v>
      </c>
      <c r="C313" s="119"/>
      <c r="D313" s="120" t="str">
        <f t="shared" si="44"/>
        <v>Wise</v>
      </c>
      <c r="E313" s="121">
        <v>0.0</v>
      </c>
      <c r="F313" s="122"/>
      <c r="G313" s="124">
        <f t="shared" si="48"/>
        <v>0</v>
      </c>
      <c r="H313" s="126" t="str">
        <f t="array" ref="H313">INDEX('Panduan Gaji'!$Q:$Q,MATCH(D313,'Panduan Gaji'!$C:$C,0))</f>
        <v>GS</v>
      </c>
      <c r="I313" s="128" t="s">
        <v>138</v>
      </c>
      <c r="J313" s="309">
        <v>0.4152777777777778</v>
      </c>
      <c r="K313" s="308">
        <v>0.91875</v>
      </c>
      <c r="L313" s="145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 ht="13.5" hidden="1" customHeight="1">
      <c r="A314" s="116">
        <f t="shared" si="43"/>
        <v>9</v>
      </c>
      <c r="B314" s="118">
        <v>46237.0</v>
      </c>
      <c r="C314" s="119"/>
      <c r="D314" s="120" t="str">
        <f t="shared" si="44"/>
        <v>Wise</v>
      </c>
      <c r="E314" s="121">
        <f>SUMIFS(SSOD!$C:$C,SSOD!$B:$B,Hitungan!D314,SSOD!$A:$A,Hitungan!C314)</f>
        <v>0</v>
      </c>
      <c r="F314" s="122"/>
      <c r="G314" s="124">
        <f t="shared" si="48"/>
        <v>0</v>
      </c>
      <c r="H314" s="126" t="str">
        <f t="array" ref="H314">INDEX('Panduan Gaji'!$Q:$Q,MATCH(D314,'Panduan Gaji'!$C:$C,0))</f>
        <v>GS</v>
      </c>
      <c r="I314" s="128" t="s">
        <v>138</v>
      </c>
      <c r="J314" s="309"/>
      <c r="K314" s="308"/>
      <c r="L314" s="145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 ht="13.5" hidden="1" customHeight="1">
      <c r="A315" s="116">
        <f t="shared" si="43"/>
        <v>9</v>
      </c>
      <c r="B315" s="118">
        <v>46238.0</v>
      </c>
      <c r="C315" s="181"/>
      <c r="D315" s="120" t="str">
        <f t="shared" si="44"/>
        <v>Wise</v>
      </c>
      <c r="E315" s="121">
        <f>SUMIFS(SSOD!$C:$C,SSOD!$B:$B,Hitungan!D315,SSOD!$A:$A,Hitungan!C315)</f>
        <v>0</v>
      </c>
      <c r="F315" s="182"/>
      <c r="G315" s="52">
        <f t="shared" si="48"/>
        <v>0</v>
      </c>
      <c r="H315" s="126" t="str">
        <f t="array" ref="H315">INDEX('Panduan Gaji'!$Q:$Q,MATCH(D315,'Panduan Gaji'!$C:$C,0))</f>
        <v>GS</v>
      </c>
      <c r="I315" s="128" t="s">
        <v>138</v>
      </c>
      <c r="J315" s="309"/>
      <c r="K315" s="308"/>
      <c r="L315" s="119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 ht="13.5" hidden="1" customHeight="1">
      <c r="A316" s="116">
        <f t="shared" si="43"/>
        <v>9</v>
      </c>
      <c r="B316" s="118">
        <v>46239.0</v>
      </c>
      <c r="C316" s="119"/>
      <c r="D316" s="120" t="str">
        <f t="shared" si="44"/>
        <v>Wise</v>
      </c>
      <c r="E316" s="121">
        <f>SUMIFS(SSOD!$C:$C,SSOD!$B:$B,Hitungan!D316,SSOD!$A:$A,Hitungan!C316)</f>
        <v>0</v>
      </c>
      <c r="F316" s="122"/>
      <c r="G316" s="124">
        <f t="shared" si="48"/>
        <v>0</v>
      </c>
      <c r="H316" s="126" t="str">
        <f t="array" ref="H316">INDEX('Panduan Gaji'!$Q:$Q,MATCH(D316,'Panduan Gaji'!$C:$C,0))</f>
        <v>GS</v>
      </c>
      <c r="I316" s="128" t="s">
        <v>138</v>
      </c>
      <c r="J316" s="309"/>
      <c r="K316" s="308"/>
      <c r="L316" s="145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 ht="13.5" hidden="1" customHeight="1">
      <c r="A317" s="116">
        <f t="shared" si="43"/>
        <v>9</v>
      </c>
      <c r="B317" s="118">
        <v>46240.0</v>
      </c>
      <c r="C317" s="119"/>
      <c r="D317" s="120" t="str">
        <f t="shared" si="44"/>
        <v>Wise</v>
      </c>
      <c r="E317" s="121">
        <f>SUMIFS(SSOD!$C:$C,SSOD!$B:$B,Hitungan!D317,SSOD!$A:$A,Hitungan!C317)</f>
        <v>0</v>
      </c>
      <c r="F317" s="122"/>
      <c r="G317" s="124">
        <f t="shared" si="48"/>
        <v>0</v>
      </c>
      <c r="H317" s="126" t="str">
        <f t="array" ref="H317">INDEX('Panduan Gaji'!$Q:$Q,MATCH(D317,'Panduan Gaji'!$C:$C,0))</f>
        <v>GS</v>
      </c>
      <c r="I317" s="128" t="s">
        <v>138</v>
      </c>
      <c r="J317" s="308"/>
      <c r="K317" s="308"/>
      <c r="L317" s="145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 ht="13.5" hidden="1" customHeight="1">
      <c r="A318" s="116">
        <f t="shared" si="43"/>
        <v>9</v>
      </c>
      <c r="B318" s="118">
        <v>46241.0</v>
      </c>
      <c r="C318" s="119"/>
      <c r="D318" s="120" t="str">
        <f t="shared" si="44"/>
        <v>Wise</v>
      </c>
      <c r="E318" s="121">
        <f>SUMIFS(SSOD!$C:$C,SSOD!$B:$B,Hitungan!D318,SSOD!$A:$A,Hitungan!C318)</f>
        <v>0</v>
      </c>
      <c r="F318" s="122"/>
      <c r="G318" s="124">
        <f t="shared" si="48"/>
        <v>0</v>
      </c>
      <c r="H318" s="126" t="str">
        <f t="array" ref="H318">INDEX('Panduan Gaji'!$Q:$Q,MATCH(D318,'Panduan Gaji'!$C:$C,0))</f>
        <v>GS</v>
      </c>
      <c r="I318" s="128" t="s">
        <v>138</v>
      </c>
      <c r="J318" s="308"/>
      <c r="K318" s="310"/>
      <c r="L318" s="119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 ht="13.5" hidden="1" customHeight="1">
      <c r="A319" s="116">
        <f t="shared" si="43"/>
        <v>9</v>
      </c>
      <c r="B319" s="118">
        <v>46242.0</v>
      </c>
      <c r="C319" s="119"/>
      <c r="D319" s="120" t="str">
        <f t="shared" si="44"/>
        <v>Wise</v>
      </c>
      <c r="E319" s="121">
        <f>SUMIFS(SSOD!$C:$C,SSOD!$B:$B,Hitungan!D319,SSOD!$A:$A,Hitungan!C319)</f>
        <v>0</v>
      </c>
      <c r="F319" s="122"/>
      <c r="G319" s="124">
        <f t="shared" si="48"/>
        <v>0</v>
      </c>
      <c r="H319" s="126" t="str">
        <f t="array" ref="H319">INDEX('Panduan Gaji'!$Q:$Q,MATCH(D319,'Panduan Gaji'!$C:$C,0))</f>
        <v>GS</v>
      </c>
      <c r="I319" s="128" t="s">
        <v>138</v>
      </c>
      <c r="J319" s="309">
        <v>0.4152777777777778</v>
      </c>
      <c r="K319" s="309">
        <v>0.9166666666666666</v>
      </c>
      <c r="L319" s="187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 ht="13.5" hidden="1" customHeight="1">
      <c r="A320" s="116">
        <f t="shared" si="43"/>
        <v>9</v>
      </c>
      <c r="B320" s="118">
        <v>46243.0</v>
      </c>
      <c r="C320" s="119"/>
      <c r="D320" s="120" t="str">
        <f t="shared" si="44"/>
        <v>Wise</v>
      </c>
      <c r="E320" s="121">
        <f>SUMIFS(SSOD!$C:$C,SSOD!$B:$B,Hitungan!D320,SSOD!$A:$A,Hitungan!C320)</f>
        <v>0</v>
      </c>
      <c r="F320" s="122"/>
      <c r="G320" s="124">
        <f t="shared" si="48"/>
        <v>0</v>
      </c>
      <c r="H320" s="126" t="str">
        <f t="array" ref="H320">INDEX('Panduan Gaji'!$Q:$Q,MATCH(D320,'Panduan Gaji'!$C:$C,0))</f>
        <v>GS</v>
      </c>
      <c r="I320" s="128" t="s">
        <v>138</v>
      </c>
      <c r="J320" s="309">
        <v>0.4138888888888889</v>
      </c>
      <c r="K320" s="309">
        <v>0.91875</v>
      </c>
      <c r="L320" s="187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 ht="13.5" hidden="1" customHeight="1">
      <c r="A321" s="116">
        <f t="shared" si="43"/>
        <v>9</v>
      </c>
      <c r="B321" s="118">
        <v>46244.0</v>
      </c>
      <c r="C321" s="119"/>
      <c r="D321" s="120" t="str">
        <f t="shared" si="44"/>
        <v>Wise</v>
      </c>
      <c r="E321" s="121">
        <f>SUMIFS(SSOD!$C:$C,SSOD!$B:$B,Hitungan!D321,SSOD!$A:$A,Hitungan!C321)</f>
        <v>0</v>
      </c>
      <c r="F321" s="122"/>
      <c r="G321" s="124">
        <f t="shared" si="48"/>
        <v>0</v>
      </c>
      <c r="H321" s="126" t="str">
        <f t="array" ref="H321">INDEX('Panduan Gaji'!$Q:$Q,MATCH(D321,'Panduan Gaji'!$C:$C,0))</f>
        <v>GS</v>
      </c>
      <c r="I321" s="128" t="s">
        <v>138</v>
      </c>
      <c r="J321" s="309"/>
      <c r="K321" s="309"/>
      <c r="L321" s="187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 ht="13.5" hidden="1" customHeight="1">
      <c r="A322" s="116">
        <f t="shared" si="43"/>
        <v>9</v>
      </c>
      <c r="B322" s="118">
        <v>46245.0</v>
      </c>
      <c r="C322" s="119"/>
      <c r="D322" s="120" t="str">
        <f t="shared" si="44"/>
        <v>Wise</v>
      </c>
      <c r="E322" s="121">
        <f>SUMIFS(SSOD!$C:$C,SSOD!$B:$B,Hitungan!D322,SSOD!$A:$A,Hitungan!C322)</f>
        <v>0</v>
      </c>
      <c r="F322" s="122"/>
      <c r="G322" s="124">
        <f t="shared" si="48"/>
        <v>0</v>
      </c>
      <c r="H322" s="126" t="str">
        <f t="array" ref="H322">INDEX('Panduan Gaji'!$Q:$Q,MATCH(D322,'Panduan Gaji'!$C:$C,0))</f>
        <v>GS</v>
      </c>
      <c r="I322" s="128" t="s">
        <v>138</v>
      </c>
      <c r="J322" s="308"/>
      <c r="K322" s="308"/>
      <c r="L322" s="145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 ht="13.5" hidden="1" customHeight="1">
      <c r="A323" s="116">
        <f t="shared" si="43"/>
        <v>9</v>
      </c>
      <c r="B323" s="118">
        <v>46246.0</v>
      </c>
      <c r="C323" s="119"/>
      <c r="D323" s="120" t="str">
        <f t="shared" si="44"/>
        <v>Wise</v>
      </c>
      <c r="E323" s="121">
        <f>SUMIFS(SSOD!$C:$C,SSOD!$B:$B,Hitungan!D323,SSOD!$A:$A,Hitungan!C323)</f>
        <v>0</v>
      </c>
      <c r="F323" s="122"/>
      <c r="G323" s="124">
        <f t="shared" si="48"/>
        <v>0</v>
      </c>
      <c r="H323" s="126" t="str">
        <f t="array" ref="H323">INDEX('Panduan Gaji'!$Q:$Q,MATCH(D323,'Panduan Gaji'!$C:$C,0))</f>
        <v>GS</v>
      </c>
      <c r="I323" s="128" t="s">
        <v>138</v>
      </c>
      <c r="J323" s="308"/>
      <c r="K323" s="308"/>
      <c r="L323" s="145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 ht="13.5" hidden="1" customHeight="1">
      <c r="A324" s="116">
        <f t="shared" si="43"/>
        <v>9</v>
      </c>
      <c r="B324" s="118">
        <v>46247.0</v>
      </c>
      <c r="C324" s="119"/>
      <c r="D324" s="120" t="str">
        <f t="shared" si="44"/>
        <v>Wise</v>
      </c>
      <c r="E324" s="121">
        <f>SUMIFS(SSOD!$C:$C,SSOD!$B:$B,Hitungan!D324,SSOD!$A:$A,Hitungan!C324)</f>
        <v>0</v>
      </c>
      <c r="F324" s="122"/>
      <c r="G324" s="124">
        <f t="shared" si="48"/>
        <v>0</v>
      </c>
      <c r="H324" s="126" t="str">
        <f t="array" ref="H324">INDEX('Panduan Gaji'!$Q:$Q,MATCH(D324,'Panduan Gaji'!$C:$C,0))</f>
        <v>GS</v>
      </c>
      <c r="I324" s="128" t="s">
        <v>138</v>
      </c>
      <c r="J324" s="308"/>
      <c r="K324" s="308"/>
      <c r="L324" s="145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 ht="13.5" hidden="1" customHeight="1">
      <c r="A325" s="116">
        <f t="shared" si="43"/>
        <v>9</v>
      </c>
      <c r="B325" s="118">
        <v>46248.0</v>
      </c>
      <c r="C325" s="119"/>
      <c r="D325" s="120" t="str">
        <f t="shared" si="44"/>
        <v>Wise</v>
      </c>
      <c r="E325" s="121">
        <f>SUMIFS(SSOD!$C:$C,SSOD!$B:$B,Hitungan!D325,SSOD!$A:$A,Hitungan!C325)</f>
        <v>0</v>
      </c>
      <c r="F325" s="122"/>
      <c r="G325" s="124">
        <f t="shared" si="48"/>
        <v>0</v>
      </c>
      <c r="H325" s="126" t="str">
        <f t="array" ref="H325">INDEX('Panduan Gaji'!$Q:$Q,MATCH(D325,'Panduan Gaji'!$C:$C,0))</f>
        <v>GS</v>
      </c>
      <c r="I325" s="128" t="s">
        <v>138</v>
      </c>
      <c r="J325" s="308"/>
      <c r="K325" s="310"/>
      <c r="L325" s="145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 ht="13.5" hidden="1" customHeight="1">
      <c r="A326" s="116">
        <f t="shared" si="43"/>
        <v>9</v>
      </c>
      <c r="B326" s="118">
        <v>46249.0</v>
      </c>
      <c r="C326" s="119"/>
      <c r="D326" s="120" t="str">
        <f t="shared" si="44"/>
        <v>Wise</v>
      </c>
      <c r="E326" s="121">
        <f>SUMIFS(SSOD!$C:$C,SSOD!$B:$B,Hitungan!D326,SSOD!$A:$A,Hitungan!C326)</f>
        <v>0</v>
      </c>
      <c r="F326" s="122"/>
      <c r="G326" s="124">
        <f t="shared" si="48"/>
        <v>0</v>
      </c>
      <c r="H326" s="126" t="str">
        <f t="array" ref="H326">INDEX('Panduan Gaji'!$Q:$Q,MATCH(D326,'Panduan Gaji'!$C:$C,0))</f>
        <v>GS</v>
      </c>
      <c r="I326" s="128" t="s">
        <v>138</v>
      </c>
      <c r="J326" s="308"/>
      <c r="K326" s="308"/>
      <c r="L326" s="145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 ht="13.5" hidden="1" customHeight="1">
      <c r="A327" s="116">
        <f t="shared" si="43"/>
        <v>9</v>
      </c>
      <c r="B327" s="118">
        <v>46250.0</v>
      </c>
      <c r="C327" s="119"/>
      <c r="D327" s="120" t="str">
        <f t="shared" si="44"/>
        <v>Wise</v>
      </c>
      <c r="E327" s="121">
        <f>SUMIFS(SSOD!$C:$C,SSOD!$B:$B,Hitungan!D327,SSOD!$A:$A,Hitungan!C327)</f>
        <v>0</v>
      </c>
      <c r="F327" s="122"/>
      <c r="G327" s="124">
        <f t="shared" si="48"/>
        <v>0</v>
      </c>
      <c r="H327" s="126" t="str">
        <f t="array" ref="H327">INDEX('Panduan Gaji'!$Q:$Q,MATCH(D327,'Panduan Gaji'!$C:$C,0))</f>
        <v>GS</v>
      </c>
      <c r="I327" s="128" t="s">
        <v>138</v>
      </c>
      <c r="J327" s="308">
        <v>0.4159722222222222</v>
      </c>
      <c r="K327" s="308">
        <v>0.9166666666666666</v>
      </c>
      <c r="L327" s="145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 ht="13.5" hidden="1" customHeight="1">
      <c r="A328" s="116">
        <f t="shared" si="43"/>
        <v>9</v>
      </c>
      <c r="B328" s="118">
        <v>46251.0</v>
      </c>
      <c r="C328" s="119"/>
      <c r="D328" s="120" t="str">
        <f t="shared" si="44"/>
        <v>Wise</v>
      </c>
      <c r="E328" s="121">
        <f>SUMIFS(SSOD!$C:$C,SSOD!$B:$B,Hitungan!D328,SSOD!$A:$A,Hitungan!C328)</f>
        <v>0</v>
      </c>
      <c r="F328" s="122"/>
      <c r="G328" s="124">
        <f t="shared" si="48"/>
        <v>0</v>
      </c>
      <c r="H328" s="126" t="str">
        <f t="array" ref="H328">INDEX('Panduan Gaji'!$Q:$Q,MATCH(D328,'Panduan Gaji'!$C:$C,0))</f>
        <v>GS</v>
      </c>
      <c r="I328" s="128" t="s">
        <v>138</v>
      </c>
      <c r="J328" s="308"/>
      <c r="K328" s="308"/>
      <c r="L328" s="119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 ht="13.5" hidden="1" customHeight="1">
      <c r="A329" s="116">
        <f t="shared" si="43"/>
        <v>9</v>
      </c>
      <c r="B329" s="118">
        <v>46252.0</v>
      </c>
      <c r="C329" s="119"/>
      <c r="D329" s="120" t="str">
        <f t="shared" si="44"/>
        <v>Wise</v>
      </c>
      <c r="E329" s="121">
        <f>SUMIFS(SSOD!$C:$C,SSOD!$B:$B,Hitungan!D329,SSOD!$A:$A,Hitungan!C329)</f>
        <v>0</v>
      </c>
      <c r="F329" s="122"/>
      <c r="G329" s="124">
        <f t="shared" si="48"/>
        <v>0</v>
      </c>
      <c r="H329" s="126" t="str">
        <f t="array" ref="H329">INDEX('Panduan Gaji'!$Q:$Q,MATCH(D329,'Panduan Gaji'!$C:$C,0))</f>
        <v>GS</v>
      </c>
      <c r="I329" s="128" t="s">
        <v>138</v>
      </c>
      <c r="J329" s="308"/>
      <c r="K329" s="308"/>
      <c r="L329" s="119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 ht="13.5" hidden="1" customHeight="1">
      <c r="A330" s="116">
        <f t="shared" si="43"/>
        <v>9</v>
      </c>
      <c r="B330" s="118">
        <v>46253.0</v>
      </c>
      <c r="C330" s="119"/>
      <c r="D330" s="120" t="str">
        <f t="shared" si="44"/>
        <v>Wise</v>
      </c>
      <c r="E330" s="121">
        <f>SUMIFS(SSOD!$C:$C,SSOD!$B:$B,Hitungan!D330,SSOD!$A:$A,Hitungan!C330)</f>
        <v>0</v>
      </c>
      <c r="F330" s="122"/>
      <c r="G330" s="124">
        <f t="shared" si="48"/>
        <v>0</v>
      </c>
      <c r="H330" s="126" t="str">
        <f t="array" ref="H330">INDEX('Panduan Gaji'!$Q:$Q,MATCH(D330,'Panduan Gaji'!$C:$C,0))</f>
        <v>GS</v>
      </c>
      <c r="I330" s="128" t="s">
        <v>138</v>
      </c>
      <c r="J330" s="308"/>
      <c r="K330" s="308"/>
      <c r="L330" s="119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 ht="13.5" hidden="1" customHeight="1">
      <c r="A331" s="116">
        <f t="shared" si="43"/>
        <v>9</v>
      </c>
      <c r="B331" s="118">
        <v>46254.0</v>
      </c>
      <c r="C331" s="119"/>
      <c r="D331" s="120" t="str">
        <f t="shared" si="44"/>
        <v>Wise</v>
      </c>
      <c r="E331" s="121">
        <f>SUMIFS(SSOD!$C:$C,SSOD!$B:$B,Hitungan!D331,SSOD!$A:$A,Hitungan!C331)</f>
        <v>0</v>
      </c>
      <c r="F331" s="122"/>
      <c r="G331" s="124">
        <f t="shared" si="48"/>
        <v>0</v>
      </c>
      <c r="H331" s="126" t="str">
        <f t="array" ref="H331">INDEX('Panduan Gaji'!$Q:$Q,MATCH(D331,'Panduan Gaji'!$C:$C,0))</f>
        <v>GS</v>
      </c>
      <c r="I331" s="128" t="s">
        <v>138</v>
      </c>
      <c r="J331" s="308"/>
      <c r="K331" s="308"/>
      <c r="L331" s="145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 ht="13.5" hidden="1" customHeight="1">
      <c r="A332" s="116">
        <f t="shared" si="43"/>
        <v>9</v>
      </c>
      <c r="B332" s="118">
        <v>46255.0</v>
      </c>
      <c r="C332" s="119"/>
      <c r="D332" s="120" t="str">
        <f t="shared" si="44"/>
        <v>Wise</v>
      </c>
      <c r="E332" s="121">
        <f>SUMIFS(SSOD!$C:$C,SSOD!$B:$B,Hitungan!D332,SSOD!$A:$A,Hitungan!C332)</f>
        <v>0</v>
      </c>
      <c r="F332" s="122"/>
      <c r="G332" s="124">
        <f t="shared" si="48"/>
        <v>0</v>
      </c>
      <c r="H332" s="126" t="str">
        <f t="array" ref="H332">INDEX('Panduan Gaji'!$Q:$Q,MATCH(D332,'Panduan Gaji'!$C:$C,0))</f>
        <v>GS</v>
      </c>
      <c r="I332" s="128" t="s">
        <v>138</v>
      </c>
      <c r="J332" s="308"/>
      <c r="K332" s="308"/>
      <c r="L332" s="119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 ht="13.5" hidden="1" customHeight="1">
      <c r="A333" s="116">
        <f t="shared" si="43"/>
        <v>9</v>
      </c>
      <c r="B333" s="118">
        <v>46256.0</v>
      </c>
      <c r="C333" s="119"/>
      <c r="D333" s="120" t="str">
        <f t="shared" si="44"/>
        <v>Wise</v>
      </c>
      <c r="E333" s="121">
        <f>SUMIFS(SSOD!$C:$C,SSOD!$B:$B,Hitungan!D333,SSOD!$A:$A,Hitungan!C333)</f>
        <v>0</v>
      </c>
      <c r="F333" s="122"/>
      <c r="G333" s="124">
        <f t="shared" si="48"/>
        <v>0</v>
      </c>
      <c r="H333" s="126" t="str">
        <f t="array" ref="H333">INDEX('Panduan Gaji'!$Q:$Q,MATCH(D333,'Panduan Gaji'!$C:$C,0))</f>
        <v>GS</v>
      </c>
      <c r="I333" s="128" t="s">
        <v>138</v>
      </c>
      <c r="J333" s="308"/>
      <c r="K333" s="308"/>
      <c r="L333" s="119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 ht="13.5" hidden="1" customHeight="1">
      <c r="A334" s="116">
        <f t="shared" si="43"/>
        <v>9</v>
      </c>
      <c r="B334" s="118">
        <v>46257.0</v>
      </c>
      <c r="C334" s="119"/>
      <c r="D334" s="120" t="str">
        <f t="shared" si="44"/>
        <v>Wise</v>
      </c>
      <c r="E334" s="121">
        <f>SUMIFS(SSOD!$C:$C,SSOD!$B:$B,Hitungan!D334,SSOD!$A:$A,Hitungan!C334)</f>
        <v>0</v>
      </c>
      <c r="F334" s="122"/>
      <c r="G334" s="124">
        <f t="shared" si="48"/>
        <v>0</v>
      </c>
      <c r="H334" s="126" t="str">
        <f t="array" ref="H334">INDEX('Panduan Gaji'!$Q:$Q,MATCH(D334,'Panduan Gaji'!$C:$C,0))</f>
        <v>GS</v>
      </c>
      <c r="I334" s="128" t="s">
        <v>138</v>
      </c>
      <c r="J334" s="308"/>
      <c r="K334" s="308"/>
      <c r="L334" s="119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 ht="15.75" hidden="1" customHeight="1">
      <c r="A335" s="116">
        <f t="shared" si="43"/>
        <v>9</v>
      </c>
      <c r="B335" s="118">
        <v>46258.0</v>
      </c>
      <c r="C335" s="119"/>
      <c r="D335" s="120" t="str">
        <f t="shared" si="44"/>
        <v>Wise</v>
      </c>
      <c r="E335" s="121">
        <f>SUMIFS(SSOD!$C:$C,SSOD!$B:$B,Hitungan!D335,SSOD!$A:$A,Hitungan!C335)</f>
        <v>0</v>
      </c>
      <c r="F335" s="122"/>
      <c r="G335" s="124">
        <f t="shared" si="48"/>
        <v>0</v>
      </c>
      <c r="H335" s="220" t="str">
        <f t="array" ref="H335">INDEX('Panduan Gaji'!$Q:$Q,MATCH(D335,'Panduan Gaji'!$C:$C,0))</f>
        <v>GS</v>
      </c>
      <c r="I335" s="128" t="s">
        <v>138</v>
      </c>
      <c r="J335" s="308"/>
      <c r="K335" s="308"/>
      <c r="L335" s="119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 ht="15.75" hidden="1" customHeight="1">
      <c r="A336" s="222"/>
      <c r="B336" s="223"/>
      <c r="C336" s="224"/>
      <c r="D336" s="225"/>
      <c r="E336" s="226"/>
      <c r="F336" s="227"/>
      <c r="G336" s="228"/>
      <c r="H336" s="229"/>
      <c r="I336" s="22"/>
      <c r="J336" s="230"/>
      <c r="K336" s="230"/>
      <c r="L336" s="224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 ht="13.5" hidden="1" customHeight="1">
      <c r="A337" s="26">
        <v>10.0</v>
      </c>
      <c r="B337" s="28"/>
      <c r="C337" s="30" t="s">
        <v>6</v>
      </c>
      <c r="D337" s="33" t="s">
        <v>52</v>
      </c>
      <c r="E337" s="42">
        <f>SUMIFS(SSOD!$C:$C,SSOD!$B:$B,Hitungan!D337,SSOD!$A:$A,Hitungan!C337)</f>
        <v>3190000</v>
      </c>
      <c r="F337" s="44">
        <v>1.0</v>
      </c>
      <c r="G337" s="47">
        <f t="shared" ref="G337:G340" si="49">E337*F337</f>
        <v>3190000</v>
      </c>
      <c r="H337" s="51" t="str">
        <f t="array" ref="H337">INDEX('Panduan Gaji'!$Q:$Q,MATCH(D337,'Panduan Gaji'!$C:$C,0))</f>
        <v>GS</v>
      </c>
      <c r="I337" s="53"/>
      <c r="J337" s="54"/>
      <c r="K337" s="54"/>
      <c r="L337" s="55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 ht="13.5" hidden="1" customHeight="1">
      <c r="A338" s="26">
        <f t="shared" ref="A338:A377" si="50">A337</f>
        <v>10</v>
      </c>
      <c r="B338" s="28"/>
      <c r="C338" s="30" t="s">
        <v>17</v>
      </c>
      <c r="D338" s="33" t="str">
        <f t="shared" ref="D338:D377" si="51">D337</f>
        <v>Titus</v>
      </c>
      <c r="E338" s="42">
        <f>SUMIFS(SSOD!$C:$C,SSOD!$B:$B,Hitungan!D338,SSOD!$A:$A,Hitungan!C338)</f>
        <v>0</v>
      </c>
      <c r="F338" s="44"/>
      <c r="G338" s="47">
        <f t="shared" si="49"/>
        <v>0</v>
      </c>
      <c r="H338" s="51" t="str">
        <f t="array" ref="H338">INDEX('Panduan Gaji'!$Q:$Q,MATCH(D338,'Panduan Gaji'!$C:$C,0))</f>
        <v>GS</v>
      </c>
      <c r="I338" s="53"/>
      <c r="J338" s="54"/>
      <c r="K338" s="54"/>
      <c r="L338" s="55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 ht="13.5" hidden="1" customHeight="1">
      <c r="A339" s="26">
        <f t="shared" si="50"/>
        <v>10</v>
      </c>
      <c r="B339" s="28"/>
      <c r="C339" s="30" t="s">
        <v>7</v>
      </c>
      <c r="D339" s="33" t="str">
        <f t="shared" si="51"/>
        <v>Titus</v>
      </c>
      <c r="E339" s="42">
        <f>SUMIFS(SSOD!$C:$C,SSOD!$B:$B,Hitungan!D339,SSOD!$A:$A,Hitungan!C339)</f>
        <v>21000</v>
      </c>
      <c r="F339" s="44">
        <f t="shared" ref="F339:F340" si="52">SUMPRODUCT(--((($J$347:$J$377&lt;&gt;"")+($K$347:$K$377&lt;&gt;""))&gt;0))</f>
        <v>26</v>
      </c>
      <c r="G339" s="47">
        <f t="shared" si="49"/>
        <v>546000</v>
      </c>
      <c r="H339" s="51" t="str">
        <f t="array" ref="H339">INDEX('Panduan Gaji'!$Q:$Q,MATCH(D339,'Panduan Gaji'!$C:$C,0))</f>
        <v>GS</v>
      </c>
      <c r="I339" s="53"/>
      <c r="J339" s="88"/>
      <c r="K339" s="88"/>
      <c r="L339" s="55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 ht="13.5" hidden="1" customHeight="1">
      <c r="A340" s="26">
        <f t="shared" si="50"/>
        <v>10</v>
      </c>
      <c r="B340" s="28"/>
      <c r="C340" s="30" t="s">
        <v>9</v>
      </c>
      <c r="D340" s="33" t="str">
        <f t="shared" si="51"/>
        <v>Titus</v>
      </c>
      <c r="E340" s="42">
        <f>SUMIFS(SSOD!$C:$C,SSOD!$B:$B,Hitungan!D340,SSOD!$A:$A,Hitungan!C340)</f>
        <v>54000</v>
      </c>
      <c r="F340" s="44">
        <f t="shared" si="52"/>
        <v>26</v>
      </c>
      <c r="G340" s="47">
        <f t="shared" si="49"/>
        <v>1404000</v>
      </c>
      <c r="H340" s="51" t="str">
        <f t="array" ref="H340">INDEX('Panduan Gaji'!$Q:$Q,MATCH(D340,'Panduan Gaji'!$C:$C,0))</f>
        <v>GS</v>
      </c>
      <c r="I340" s="53"/>
      <c r="J340" s="88"/>
      <c r="K340" s="88"/>
      <c r="L340" s="9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 ht="15.75" hidden="1" customHeight="1">
      <c r="A341" s="26">
        <f t="shared" si="50"/>
        <v>10</v>
      </c>
      <c r="B341" s="28"/>
      <c r="C341" s="30" t="s">
        <v>39</v>
      </c>
      <c r="D341" s="33" t="str">
        <f t="shared" si="51"/>
        <v>Titus</v>
      </c>
      <c r="E341" s="42">
        <f>36820+713767</f>
        <v>750587</v>
      </c>
      <c r="F341" s="44">
        <v>1.0</v>
      </c>
      <c r="G341" s="47">
        <f>F341*E341</f>
        <v>750587</v>
      </c>
      <c r="H341" s="51" t="str">
        <f t="array" ref="H341">INDEX('Panduan Gaji'!$Q:$Q,MATCH(D341,'Panduan Gaji'!$C:$C,0))</f>
        <v>GS</v>
      </c>
      <c r="I341" s="53"/>
      <c r="J341" s="88"/>
      <c r="K341" s="88"/>
      <c r="L341" s="9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 ht="15.75" hidden="1" customHeight="1">
      <c r="A342" s="26">
        <f t="shared" si="50"/>
        <v>10</v>
      </c>
      <c r="B342" s="28"/>
      <c r="C342" s="30" t="s">
        <v>12</v>
      </c>
      <c r="D342" s="33" t="str">
        <f t="shared" si="51"/>
        <v>Titus</v>
      </c>
      <c r="E342" s="42">
        <f>SUMIFS(SSOD!$C:$C,SSOD!$B:$B,Hitungan!D342,SSOD!$A:$A,Hitungan!C342)</f>
        <v>18000</v>
      </c>
      <c r="F342" s="44">
        <f>SUMIF($C$347:$C$377,C342,$F$347:$F$377)</f>
        <v>0</v>
      </c>
      <c r="G342" s="47">
        <f t="shared" ref="G342:G343" si="53">E342*F342</f>
        <v>0</v>
      </c>
      <c r="H342" s="51" t="str">
        <f t="array" ref="H342">INDEX('Panduan Gaji'!$Q:$Q,MATCH(D342,'Panduan Gaji'!$C:$C,0))</f>
        <v>GS</v>
      </c>
      <c r="I342" s="53"/>
      <c r="J342" s="88"/>
      <c r="K342" s="88"/>
      <c r="L342" s="100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 ht="15.75" hidden="1" customHeight="1">
      <c r="A343" s="26">
        <f t="shared" si="50"/>
        <v>10</v>
      </c>
      <c r="B343" s="28"/>
      <c r="C343" s="102" t="s">
        <v>30</v>
      </c>
      <c r="D343" s="33" t="str">
        <f t="shared" si="51"/>
        <v>Titus</v>
      </c>
      <c r="E343" s="42">
        <f>SUMIFS(SSOD!$C:$C,SSOD!$B:$B,Hitungan!D343,SSOD!$A:$A,Hitungan!C343)</f>
        <v>18000</v>
      </c>
      <c r="F343" s="44">
        <f t="shared" ref="F343:F344" si="54">COUNTIF($C$347:$C$377,C343)</f>
        <v>0</v>
      </c>
      <c r="G343" s="47">
        <f t="shared" si="53"/>
        <v>0</v>
      </c>
      <c r="H343" s="51" t="str">
        <f t="array" ref="H343">INDEX('Panduan Gaji'!$Q:$Q,MATCH(D343,'Panduan Gaji'!$C:$C,0))</f>
        <v>GS</v>
      </c>
      <c r="I343" s="53"/>
      <c r="J343" s="105"/>
      <c r="K343" s="105"/>
      <c r="L343" s="10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 ht="15.75" hidden="1" customHeight="1">
      <c r="A344" s="26">
        <f t="shared" si="50"/>
        <v>10</v>
      </c>
      <c r="B344" s="28"/>
      <c r="C344" s="30" t="s">
        <v>33</v>
      </c>
      <c r="D344" s="33" t="str">
        <f t="shared" si="51"/>
        <v>Titus</v>
      </c>
      <c r="E344" s="42"/>
      <c r="F344" s="44">
        <f t="shared" si="54"/>
        <v>4</v>
      </c>
      <c r="G344" s="47">
        <f>SUMIF($C$347:$C$377,C344,$E$347:$E$377)</f>
        <v>318000</v>
      </c>
      <c r="H344" s="51" t="str">
        <f t="array" ref="H344">INDEX('Panduan Gaji'!$Q:$Q,MATCH(D344,'Panduan Gaji'!$C:$C,0))</f>
        <v>GS</v>
      </c>
      <c r="I344" s="53"/>
      <c r="J344" s="105"/>
      <c r="K344" s="105"/>
      <c r="L344" s="10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 ht="15.75" hidden="1" customHeight="1">
      <c r="A345" s="26">
        <f t="shared" si="50"/>
        <v>10</v>
      </c>
      <c r="B345" s="28"/>
      <c r="C345" s="30" t="s">
        <v>83</v>
      </c>
      <c r="D345" s="33" t="str">
        <f t="shared" si="51"/>
        <v>Titus</v>
      </c>
      <c r="E345" s="42"/>
      <c r="F345" s="44"/>
      <c r="G345" s="47"/>
      <c r="H345" s="51" t="str">
        <f t="array" ref="H345">INDEX('Panduan Gaji'!$Q:$Q,MATCH(D345,'Panduan Gaji'!$C:$C,0))</f>
        <v>GS</v>
      </c>
      <c r="I345" s="53"/>
      <c r="J345" s="105"/>
      <c r="K345" s="105"/>
      <c r="L345" s="10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 ht="13.5" hidden="1" customHeight="1">
      <c r="A346" s="26">
        <f t="shared" si="50"/>
        <v>10</v>
      </c>
      <c r="B346" s="28"/>
      <c r="C346" s="30" t="s">
        <v>85</v>
      </c>
      <c r="D346" s="33" t="str">
        <f t="shared" si="51"/>
        <v>Titus</v>
      </c>
      <c r="E346" s="42"/>
      <c r="F346" s="44"/>
      <c r="G346" s="47"/>
      <c r="H346" s="51" t="str">
        <f t="array" ref="H346">INDEX('Panduan Gaji'!$Q:$Q,MATCH(D346,'Panduan Gaji'!$C:$C,0))</f>
        <v>GS</v>
      </c>
      <c r="I346" s="53"/>
      <c r="J346" s="105"/>
      <c r="K346" s="105"/>
      <c r="L346" s="106"/>
      <c r="M346" s="56"/>
      <c r="N346" s="56"/>
      <c r="O346" s="22"/>
      <c r="P346" s="56"/>
      <c r="Q346" s="56"/>
      <c r="R346" s="56"/>
      <c r="S346" s="56"/>
      <c r="T346" s="56"/>
      <c r="U346" s="56"/>
      <c r="V346" s="56"/>
      <c r="W346" s="56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 ht="13.5" hidden="1" customHeight="1">
      <c r="A347" s="116">
        <f t="shared" si="50"/>
        <v>10</v>
      </c>
      <c r="B347" s="118">
        <v>46229.0</v>
      </c>
      <c r="C347" s="119"/>
      <c r="D347" s="120" t="str">
        <f t="shared" si="51"/>
        <v>Titus</v>
      </c>
      <c r="E347" s="121">
        <f>SUMIFS(SSOD!$C:$C,SSOD!$B:$B,Hitungan!D347,SSOD!$A:$A,Hitungan!C347)</f>
        <v>0</v>
      </c>
      <c r="F347" s="122"/>
      <c r="G347" s="124">
        <f t="shared" ref="G347:G381" si="55">E347*F347</f>
        <v>0</v>
      </c>
      <c r="H347" s="126" t="str">
        <f t="array" ref="H347">INDEX('Panduan Gaji'!$Q:$Q,MATCH(D347,'Panduan Gaji'!$C:$C,0))</f>
        <v>GS</v>
      </c>
      <c r="I347" s="128" t="s">
        <v>138</v>
      </c>
      <c r="J347" s="308">
        <v>0.4166666666666667</v>
      </c>
      <c r="K347" s="308">
        <v>0.9173611111111111</v>
      </c>
      <c r="L347" s="130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 ht="13.5" hidden="1" customHeight="1">
      <c r="A348" s="116">
        <f t="shared" si="50"/>
        <v>10</v>
      </c>
      <c r="B348" s="118">
        <v>46230.0</v>
      </c>
      <c r="C348" s="119"/>
      <c r="D348" s="120" t="str">
        <f t="shared" si="51"/>
        <v>Titus</v>
      </c>
      <c r="E348" s="121">
        <f>SUMIFS(SSOD!$C:$C,SSOD!$B:$B,Hitungan!D348,SSOD!$A:$A,Hitungan!C348)</f>
        <v>0</v>
      </c>
      <c r="F348" s="122"/>
      <c r="G348" s="124">
        <f t="shared" si="55"/>
        <v>0</v>
      </c>
      <c r="H348" s="126" t="str">
        <f t="array" ref="H348">INDEX('Panduan Gaji'!$Q:$Q,MATCH(D348,'Panduan Gaji'!$C:$C,0))</f>
        <v>GS</v>
      </c>
      <c r="I348" s="128" t="s">
        <v>138</v>
      </c>
      <c r="J348" s="308">
        <v>0.4166666666666667</v>
      </c>
      <c r="K348" s="308">
        <v>0.9166666666666666</v>
      </c>
      <c r="L348" s="138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 ht="13.5" hidden="1" customHeight="1">
      <c r="A349" s="116">
        <f t="shared" si="50"/>
        <v>10</v>
      </c>
      <c r="B349" s="118">
        <v>46231.0</v>
      </c>
      <c r="C349" s="119"/>
      <c r="D349" s="120" t="str">
        <f t="shared" si="51"/>
        <v>Titus</v>
      </c>
      <c r="E349" s="121">
        <f>SUMIFS(SSOD!$C:$C,SSOD!$B:$B,Hitungan!D349,SSOD!$A:$A,Hitungan!C349)</f>
        <v>0</v>
      </c>
      <c r="F349" s="122"/>
      <c r="G349" s="124">
        <f t="shared" si="55"/>
        <v>0</v>
      </c>
      <c r="H349" s="126" t="str">
        <f t="array" ref="H349">INDEX('Panduan Gaji'!$Q:$Q,MATCH(D349,'Panduan Gaji'!$C:$C,0))</f>
        <v>GS</v>
      </c>
      <c r="I349" s="128" t="s">
        <v>138</v>
      </c>
      <c r="J349" s="308">
        <v>0.4145833333333334</v>
      </c>
      <c r="K349" s="308">
        <v>0.9166666666666666</v>
      </c>
      <c r="L349" s="145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 ht="13.5" hidden="1" customHeight="1">
      <c r="A350" s="116">
        <f t="shared" si="50"/>
        <v>10</v>
      </c>
      <c r="B350" s="118">
        <v>46232.0</v>
      </c>
      <c r="C350" s="146"/>
      <c r="D350" s="120" t="str">
        <f t="shared" si="51"/>
        <v>Titus</v>
      </c>
      <c r="E350" s="147">
        <f>SUMIFS(SSOD!$C:$C,SSOD!$B:$B,Hitungan!D350,SSOD!$A:$A,Hitungan!C350)</f>
        <v>0</v>
      </c>
      <c r="F350" s="148"/>
      <c r="G350" s="124">
        <f t="shared" si="55"/>
        <v>0</v>
      </c>
      <c r="H350" s="126" t="str">
        <f t="array" ref="H350">INDEX('Panduan Gaji'!$Q:$Q,MATCH(D350,'Panduan Gaji'!$C:$C,0))</f>
        <v>GS</v>
      </c>
      <c r="I350" s="128" t="s">
        <v>138</v>
      </c>
      <c r="J350" s="308"/>
      <c r="K350" s="308"/>
      <c r="L350" s="153"/>
      <c r="M350" s="16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 ht="13.5" hidden="1" customHeight="1">
      <c r="A351" s="116">
        <f t="shared" si="50"/>
        <v>10</v>
      </c>
      <c r="B351" s="118">
        <v>46233.0</v>
      </c>
      <c r="C351" s="119"/>
      <c r="D351" s="120" t="str">
        <f t="shared" si="51"/>
        <v>Titus</v>
      </c>
      <c r="E351" s="121">
        <f>SUMIFS(SSOD!$C:$C,SSOD!$B:$B,Hitungan!D351,SSOD!$A:$A,Hitungan!C351)</f>
        <v>0</v>
      </c>
      <c r="F351" s="122"/>
      <c r="G351" s="124">
        <f t="shared" si="55"/>
        <v>0</v>
      </c>
      <c r="H351" s="126" t="str">
        <f t="array" ref="H351">INDEX('Panduan Gaji'!$Q:$Q,MATCH(D351,'Panduan Gaji'!$C:$C,0))</f>
        <v>GS</v>
      </c>
      <c r="I351" s="128" t="s">
        <v>138</v>
      </c>
      <c r="J351" s="308">
        <v>0.4173611111111111</v>
      </c>
      <c r="K351" s="308">
        <v>0.9166666666666666</v>
      </c>
      <c r="L351" s="164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 ht="13.5" hidden="1" customHeight="1">
      <c r="A352" s="116">
        <f t="shared" si="50"/>
        <v>10</v>
      </c>
      <c r="B352" s="118">
        <v>46234.0</v>
      </c>
      <c r="C352" s="119" t="s">
        <v>33</v>
      </c>
      <c r="D352" s="120" t="str">
        <f t="shared" si="51"/>
        <v>Titus</v>
      </c>
      <c r="E352" s="121">
        <v>55000.0</v>
      </c>
      <c r="F352" s="122">
        <v>1.0</v>
      </c>
      <c r="G352" s="124">
        <f t="shared" si="55"/>
        <v>55000</v>
      </c>
      <c r="H352" s="126" t="str">
        <f t="array" ref="H352">INDEX('Panduan Gaji'!$Q:$Q,MATCH(D352,'Panduan Gaji'!$C:$C,0))</f>
        <v>GS</v>
      </c>
      <c r="I352" s="128" t="s">
        <v>138</v>
      </c>
      <c r="J352" s="308">
        <v>0.4111111111111111</v>
      </c>
      <c r="K352" s="308">
        <v>0.9166666666666666</v>
      </c>
      <c r="L352" s="130" t="s">
        <v>167</v>
      </c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 ht="13.5" hidden="1" customHeight="1">
      <c r="A353" s="116">
        <f t="shared" si="50"/>
        <v>10</v>
      </c>
      <c r="B353" s="118">
        <v>46235.0</v>
      </c>
      <c r="C353" s="119"/>
      <c r="D353" s="120" t="str">
        <f t="shared" si="51"/>
        <v>Titus</v>
      </c>
      <c r="E353" s="121">
        <f>SUMIFS(SSOD!$C:$C,SSOD!$B:$B,Hitungan!D353,SSOD!$A:$A,Hitungan!C353)</f>
        <v>0</v>
      </c>
      <c r="F353" s="122"/>
      <c r="G353" s="124">
        <f t="shared" si="55"/>
        <v>0</v>
      </c>
      <c r="H353" s="126" t="str">
        <f t="array" ref="H353">INDEX('Panduan Gaji'!$Q:$Q,MATCH(D353,'Panduan Gaji'!$C:$C,0))</f>
        <v>GS</v>
      </c>
      <c r="I353" s="128" t="s">
        <v>138</v>
      </c>
      <c r="J353" s="309">
        <v>0.4180555555555556</v>
      </c>
      <c r="K353" s="308">
        <v>0.9291666666666667</v>
      </c>
      <c r="L353" s="145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 ht="13.5" hidden="1" customHeight="1">
      <c r="A354" s="116">
        <f t="shared" si="50"/>
        <v>10</v>
      </c>
      <c r="B354" s="118">
        <v>46236.0</v>
      </c>
      <c r="C354" s="119"/>
      <c r="D354" s="120" t="str">
        <f t="shared" si="51"/>
        <v>Titus</v>
      </c>
      <c r="E354" s="121">
        <v>0.0</v>
      </c>
      <c r="F354" s="122"/>
      <c r="G354" s="124">
        <f t="shared" si="55"/>
        <v>0</v>
      </c>
      <c r="H354" s="126" t="str">
        <f t="array" ref="H354">INDEX('Panduan Gaji'!$Q:$Q,MATCH(D354,'Panduan Gaji'!$C:$C,0))</f>
        <v>GS</v>
      </c>
      <c r="I354" s="128" t="s">
        <v>138</v>
      </c>
      <c r="J354" s="309">
        <v>0.4125</v>
      </c>
      <c r="K354" s="308">
        <v>0.9270833333333334</v>
      </c>
      <c r="L354" s="145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 ht="13.5" hidden="1" customHeight="1">
      <c r="A355" s="116">
        <f t="shared" si="50"/>
        <v>10</v>
      </c>
      <c r="B355" s="118">
        <v>46237.0</v>
      </c>
      <c r="C355" s="119"/>
      <c r="D355" s="120" t="str">
        <f t="shared" si="51"/>
        <v>Titus</v>
      </c>
      <c r="E355" s="121">
        <f>SUMIFS(SSOD!$C:$C,SSOD!$B:$B,Hitungan!D355,SSOD!$A:$A,Hitungan!C355)</f>
        <v>0</v>
      </c>
      <c r="F355" s="122"/>
      <c r="G355" s="124">
        <f t="shared" si="55"/>
        <v>0</v>
      </c>
      <c r="H355" s="126" t="str">
        <f t="array" ref="H355">INDEX('Panduan Gaji'!$Q:$Q,MATCH(D355,'Panduan Gaji'!$C:$C,0))</f>
        <v>GS</v>
      </c>
      <c r="I355" s="128" t="s">
        <v>138</v>
      </c>
      <c r="J355" s="309">
        <v>0.4069444444444444</v>
      </c>
      <c r="K355" s="308">
        <v>0.9166666666666666</v>
      </c>
      <c r="L355" s="145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 ht="13.5" hidden="1" customHeight="1">
      <c r="A356" s="116">
        <f t="shared" si="50"/>
        <v>10</v>
      </c>
      <c r="B356" s="118">
        <v>46238.0</v>
      </c>
      <c r="C356" s="181"/>
      <c r="D356" s="120" t="str">
        <f t="shared" si="51"/>
        <v>Titus</v>
      </c>
      <c r="E356" s="121">
        <f>SUMIFS(SSOD!$C:$C,SSOD!$B:$B,Hitungan!D356,SSOD!$A:$A,Hitungan!C356)</f>
        <v>0</v>
      </c>
      <c r="F356" s="182"/>
      <c r="G356" s="52">
        <f t="shared" si="55"/>
        <v>0</v>
      </c>
      <c r="H356" s="126" t="str">
        <f t="array" ref="H356">INDEX('Panduan Gaji'!$Q:$Q,MATCH(D356,'Panduan Gaji'!$C:$C,0))</f>
        <v>GS</v>
      </c>
      <c r="I356" s="128" t="s">
        <v>138</v>
      </c>
      <c r="J356" s="309">
        <v>0.4166666666666667</v>
      </c>
      <c r="K356" s="308">
        <v>0.9166666666666666</v>
      </c>
      <c r="L356" s="119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 ht="13.5" hidden="1" customHeight="1">
      <c r="A357" s="116">
        <f t="shared" si="50"/>
        <v>10</v>
      </c>
      <c r="B357" s="118">
        <v>46239.0</v>
      </c>
      <c r="C357" s="119"/>
      <c r="D357" s="120" t="str">
        <f t="shared" si="51"/>
        <v>Titus</v>
      </c>
      <c r="E357" s="121">
        <f>SUMIFS(SSOD!$C:$C,SSOD!$B:$B,Hitungan!D357,SSOD!$A:$A,Hitungan!C357)</f>
        <v>0</v>
      </c>
      <c r="F357" s="122"/>
      <c r="G357" s="124">
        <f t="shared" si="55"/>
        <v>0</v>
      </c>
      <c r="H357" s="126" t="str">
        <f t="array" ref="H357">INDEX('Panduan Gaji'!$Q:$Q,MATCH(D357,'Panduan Gaji'!$C:$C,0))</f>
        <v>GS</v>
      </c>
      <c r="I357" s="128" t="s">
        <v>138</v>
      </c>
      <c r="J357" s="309">
        <v>0.4180555555555556</v>
      </c>
      <c r="K357" s="308">
        <v>0.9166666666666666</v>
      </c>
      <c r="L357" s="145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 ht="13.5" hidden="1" customHeight="1">
      <c r="A358" s="116">
        <f t="shared" si="50"/>
        <v>10</v>
      </c>
      <c r="B358" s="118">
        <v>46240.0</v>
      </c>
      <c r="C358" s="119"/>
      <c r="D358" s="120" t="str">
        <f t="shared" si="51"/>
        <v>Titus</v>
      </c>
      <c r="E358" s="121">
        <f>SUMIFS(SSOD!$C:$C,SSOD!$B:$B,Hitungan!D358,SSOD!$A:$A,Hitungan!C358)</f>
        <v>0</v>
      </c>
      <c r="F358" s="122"/>
      <c r="G358" s="124">
        <f t="shared" si="55"/>
        <v>0</v>
      </c>
      <c r="H358" s="126" t="str">
        <f t="array" ref="H358">INDEX('Panduan Gaji'!$Q:$Q,MATCH(D358,'Panduan Gaji'!$C:$C,0))</f>
        <v>GS</v>
      </c>
      <c r="I358" s="128" t="s">
        <v>138</v>
      </c>
      <c r="J358" s="308"/>
      <c r="K358" s="308"/>
      <c r="L358" s="145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 ht="13.5" hidden="1" customHeight="1">
      <c r="A359" s="116">
        <f t="shared" si="50"/>
        <v>10</v>
      </c>
      <c r="B359" s="118">
        <v>46241.0</v>
      </c>
      <c r="C359" s="119"/>
      <c r="D359" s="120" t="str">
        <f t="shared" si="51"/>
        <v>Titus</v>
      </c>
      <c r="E359" s="121">
        <f>SUMIFS(SSOD!$C:$C,SSOD!$B:$B,Hitungan!D359,SSOD!$A:$A,Hitungan!C359)</f>
        <v>0</v>
      </c>
      <c r="F359" s="122"/>
      <c r="G359" s="124">
        <f t="shared" si="55"/>
        <v>0</v>
      </c>
      <c r="H359" s="126" t="str">
        <f t="array" ref="H359">INDEX('Panduan Gaji'!$Q:$Q,MATCH(D359,'Panduan Gaji'!$C:$C,0))</f>
        <v>GS</v>
      </c>
      <c r="I359" s="128" t="s">
        <v>138</v>
      </c>
      <c r="J359" s="308">
        <v>0.4201388888888889</v>
      </c>
      <c r="K359" s="310">
        <v>0.9166666666666666</v>
      </c>
      <c r="L359" s="119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 ht="13.5" hidden="1" customHeight="1">
      <c r="A360" s="116">
        <f t="shared" si="50"/>
        <v>10</v>
      </c>
      <c r="B360" s="118">
        <v>46242.0</v>
      </c>
      <c r="C360" s="119"/>
      <c r="D360" s="120" t="str">
        <f t="shared" si="51"/>
        <v>Titus</v>
      </c>
      <c r="E360" s="121">
        <f>SUMIFS(SSOD!$C:$C,SSOD!$B:$B,Hitungan!D360,SSOD!$A:$A,Hitungan!C360)</f>
        <v>0</v>
      </c>
      <c r="F360" s="122"/>
      <c r="G360" s="124">
        <f t="shared" si="55"/>
        <v>0</v>
      </c>
      <c r="H360" s="126" t="str">
        <f t="array" ref="H360">INDEX('Panduan Gaji'!$Q:$Q,MATCH(D360,'Panduan Gaji'!$C:$C,0))</f>
        <v>GS</v>
      </c>
      <c r="I360" s="128" t="s">
        <v>138</v>
      </c>
      <c r="J360" s="309">
        <v>0.4180555555555556</v>
      </c>
      <c r="K360" s="309">
        <v>0.91875</v>
      </c>
      <c r="L360" s="187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 ht="13.5" hidden="1" customHeight="1">
      <c r="A361" s="116">
        <f t="shared" si="50"/>
        <v>10</v>
      </c>
      <c r="B361" s="118">
        <v>46243.0</v>
      </c>
      <c r="C361" s="119"/>
      <c r="D361" s="120" t="str">
        <f t="shared" si="51"/>
        <v>Titus</v>
      </c>
      <c r="E361" s="121">
        <f>SUMIFS(SSOD!$C:$C,SSOD!$B:$B,Hitungan!D361,SSOD!$A:$A,Hitungan!C361)</f>
        <v>0</v>
      </c>
      <c r="F361" s="122"/>
      <c r="G361" s="124">
        <f t="shared" si="55"/>
        <v>0</v>
      </c>
      <c r="H361" s="126" t="str">
        <f t="array" ref="H361">INDEX('Panduan Gaji'!$Q:$Q,MATCH(D361,'Panduan Gaji'!$C:$C,0))</f>
        <v>GS</v>
      </c>
      <c r="I361" s="128" t="s">
        <v>138</v>
      </c>
      <c r="J361" s="309">
        <v>0.4138888888888889</v>
      </c>
      <c r="K361" s="309">
        <v>0.9166666666666666</v>
      </c>
      <c r="L361" s="187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 ht="13.5" hidden="1" customHeight="1">
      <c r="A362" s="116">
        <f t="shared" si="50"/>
        <v>10</v>
      </c>
      <c r="B362" s="118">
        <v>46244.0</v>
      </c>
      <c r="C362" s="119"/>
      <c r="D362" s="120" t="str">
        <f t="shared" si="51"/>
        <v>Titus</v>
      </c>
      <c r="E362" s="121">
        <f>SUMIFS(SSOD!$C:$C,SSOD!$B:$B,Hitungan!D362,SSOD!$A:$A,Hitungan!C362)</f>
        <v>0</v>
      </c>
      <c r="F362" s="122"/>
      <c r="G362" s="124">
        <f t="shared" si="55"/>
        <v>0</v>
      </c>
      <c r="H362" s="126" t="str">
        <f t="array" ref="H362">INDEX('Panduan Gaji'!$Q:$Q,MATCH(D362,'Panduan Gaji'!$C:$C,0))</f>
        <v>GS</v>
      </c>
      <c r="I362" s="128" t="s">
        <v>138</v>
      </c>
      <c r="J362" s="309">
        <v>0.4180555555555556</v>
      </c>
      <c r="K362" s="309">
        <v>0.9166666666666666</v>
      </c>
      <c r="L362" s="187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 ht="13.5" hidden="1" customHeight="1">
      <c r="A363" s="116">
        <f t="shared" si="50"/>
        <v>10</v>
      </c>
      <c r="B363" s="118">
        <v>46245.0</v>
      </c>
      <c r="C363" s="119" t="s">
        <v>33</v>
      </c>
      <c r="D363" s="120" t="str">
        <f t="shared" si="51"/>
        <v>Titus</v>
      </c>
      <c r="E363" s="121">
        <v>58000.0</v>
      </c>
      <c r="F363" s="122">
        <v>1.0</v>
      </c>
      <c r="G363" s="124">
        <f t="shared" si="55"/>
        <v>58000</v>
      </c>
      <c r="H363" s="126" t="str">
        <f t="array" ref="H363">INDEX('Panduan Gaji'!$Q:$Q,MATCH(D363,'Panduan Gaji'!$C:$C,0))</f>
        <v>GS</v>
      </c>
      <c r="I363" s="128" t="s">
        <v>138</v>
      </c>
      <c r="J363" s="308">
        <v>0.4159722222222222</v>
      </c>
      <c r="K363" s="308">
        <v>0.9194444444444444</v>
      </c>
      <c r="L363" s="145" t="s">
        <v>168</v>
      </c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 ht="13.5" hidden="1" customHeight="1">
      <c r="A364" s="116">
        <f t="shared" si="50"/>
        <v>10</v>
      </c>
      <c r="B364" s="118">
        <v>46246.0</v>
      </c>
      <c r="C364" s="119"/>
      <c r="D364" s="120" t="str">
        <f t="shared" si="51"/>
        <v>Titus</v>
      </c>
      <c r="E364" s="121">
        <f>SUMIFS(SSOD!$C:$C,SSOD!$B:$B,Hitungan!D364,SSOD!$A:$A,Hitungan!C364)</f>
        <v>0</v>
      </c>
      <c r="F364" s="122"/>
      <c r="G364" s="124">
        <f t="shared" si="55"/>
        <v>0</v>
      </c>
      <c r="H364" s="126" t="str">
        <f t="array" ref="H364">INDEX('Panduan Gaji'!$Q:$Q,MATCH(D364,'Panduan Gaji'!$C:$C,0))</f>
        <v>GS</v>
      </c>
      <c r="I364" s="128" t="s">
        <v>138</v>
      </c>
      <c r="J364" s="308">
        <v>0.4152777777777778</v>
      </c>
      <c r="K364" s="308">
        <v>0.9166666666666666</v>
      </c>
      <c r="L364" s="145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 ht="13.5" hidden="1" customHeight="1">
      <c r="A365" s="116">
        <f t="shared" si="50"/>
        <v>10</v>
      </c>
      <c r="B365" s="118">
        <v>46247.0</v>
      </c>
      <c r="C365" s="119"/>
      <c r="D365" s="120" t="str">
        <f t="shared" si="51"/>
        <v>Titus</v>
      </c>
      <c r="E365" s="121">
        <f>SUMIFS(SSOD!$C:$C,SSOD!$B:$B,Hitungan!D365,SSOD!$A:$A,Hitungan!C365)</f>
        <v>0</v>
      </c>
      <c r="F365" s="122"/>
      <c r="G365" s="124">
        <f t="shared" si="55"/>
        <v>0</v>
      </c>
      <c r="H365" s="126" t="str">
        <f t="array" ref="H365">INDEX('Panduan Gaji'!$Q:$Q,MATCH(D365,'Panduan Gaji'!$C:$C,0))</f>
        <v>GS</v>
      </c>
      <c r="I365" s="128" t="s">
        <v>138</v>
      </c>
      <c r="J365" s="308"/>
      <c r="K365" s="308"/>
      <c r="L365" s="145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 ht="13.5" hidden="1" customHeight="1">
      <c r="A366" s="116">
        <f t="shared" si="50"/>
        <v>10</v>
      </c>
      <c r="B366" s="118">
        <v>46248.0</v>
      </c>
      <c r="C366" s="119"/>
      <c r="D366" s="120" t="str">
        <f t="shared" si="51"/>
        <v>Titus</v>
      </c>
      <c r="E366" s="121">
        <f>SUMIFS(SSOD!$C:$C,SSOD!$B:$B,Hitungan!D366,SSOD!$A:$A,Hitungan!C366)</f>
        <v>0</v>
      </c>
      <c r="F366" s="122"/>
      <c r="G366" s="124">
        <f t="shared" si="55"/>
        <v>0</v>
      </c>
      <c r="H366" s="126" t="str">
        <f t="array" ref="H366">INDEX('Panduan Gaji'!$Q:$Q,MATCH(D366,'Panduan Gaji'!$C:$C,0))</f>
        <v>GS</v>
      </c>
      <c r="I366" s="128" t="s">
        <v>138</v>
      </c>
      <c r="J366" s="308">
        <v>0.4145833333333334</v>
      </c>
      <c r="K366" s="310">
        <v>0.9180555555555555</v>
      </c>
      <c r="L366" s="145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 ht="13.5" hidden="1" customHeight="1">
      <c r="A367" s="116">
        <f t="shared" si="50"/>
        <v>10</v>
      </c>
      <c r="B367" s="118">
        <v>46249.0</v>
      </c>
      <c r="C367" s="119"/>
      <c r="D367" s="120" t="str">
        <f t="shared" si="51"/>
        <v>Titus</v>
      </c>
      <c r="E367" s="121">
        <f>SUMIFS(SSOD!$C:$C,SSOD!$B:$B,Hitungan!D367,SSOD!$A:$A,Hitungan!C367)</f>
        <v>0</v>
      </c>
      <c r="F367" s="122"/>
      <c r="G367" s="124">
        <f t="shared" si="55"/>
        <v>0</v>
      </c>
      <c r="H367" s="126" t="str">
        <f t="array" ref="H367">INDEX('Panduan Gaji'!$Q:$Q,MATCH(D367,'Panduan Gaji'!$C:$C,0))</f>
        <v>GS</v>
      </c>
      <c r="I367" s="128" t="s">
        <v>138</v>
      </c>
      <c r="J367" s="308">
        <v>0.4131944444444444</v>
      </c>
      <c r="K367" s="308">
        <v>0.9166666666666666</v>
      </c>
      <c r="L367" s="145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 ht="13.5" hidden="1" customHeight="1">
      <c r="A368" s="116">
        <f t="shared" si="50"/>
        <v>10</v>
      </c>
      <c r="B368" s="118">
        <v>46250.0</v>
      </c>
      <c r="C368" s="119"/>
      <c r="D368" s="120" t="str">
        <f t="shared" si="51"/>
        <v>Titus</v>
      </c>
      <c r="E368" s="121">
        <f>SUMIFS(SSOD!$C:$C,SSOD!$B:$B,Hitungan!D368,SSOD!$A:$A,Hitungan!C368)</f>
        <v>0</v>
      </c>
      <c r="F368" s="122"/>
      <c r="G368" s="124">
        <f t="shared" si="55"/>
        <v>0</v>
      </c>
      <c r="H368" s="126" t="str">
        <f t="array" ref="H368">INDEX('Panduan Gaji'!$Q:$Q,MATCH(D368,'Panduan Gaji'!$C:$C,0))</f>
        <v>GS</v>
      </c>
      <c r="I368" s="128" t="s">
        <v>138</v>
      </c>
      <c r="J368" s="308">
        <v>0.4159722222222222</v>
      </c>
      <c r="K368" s="308">
        <v>0.9166666666666666</v>
      </c>
      <c r="L368" s="145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 ht="13.5" hidden="1" customHeight="1">
      <c r="A369" s="116">
        <f t="shared" si="50"/>
        <v>10</v>
      </c>
      <c r="B369" s="118">
        <v>46251.0</v>
      </c>
      <c r="C369" s="119"/>
      <c r="D369" s="120" t="str">
        <f t="shared" si="51"/>
        <v>Titus</v>
      </c>
      <c r="E369" s="121">
        <f>SUMIFS(SSOD!$C:$C,SSOD!$B:$B,Hitungan!D369,SSOD!$A:$A,Hitungan!C369)</f>
        <v>0</v>
      </c>
      <c r="F369" s="122"/>
      <c r="G369" s="124">
        <f t="shared" si="55"/>
        <v>0</v>
      </c>
      <c r="H369" s="126" t="str">
        <f t="array" ref="H369">INDEX('Panduan Gaji'!$Q:$Q,MATCH(D369,'Panduan Gaji'!$C:$C,0))</f>
        <v>GS</v>
      </c>
      <c r="I369" s="128" t="s">
        <v>138</v>
      </c>
      <c r="J369" s="308">
        <v>0.4152777777777778</v>
      </c>
      <c r="K369" s="308">
        <v>0.9166666666666666</v>
      </c>
      <c r="L369" s="119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 ht="13.5" hidden="1" customHeight="1">
      <c r="A370" s="116">
        <f t="shared" si="50"/>
        <v>10</v>
      </c>
      <c r="B370" s="118">
        <v>46252.0</v>
      </c>
      <c r="C370" s="119"/>
      <c r="D370" s="120" t="str">
        <f t="shared" si="51"/>
        <v>Titus</v>
      </c>
      <c r="E370" s="121">
        <f>SUMIFS(SSOD!$C:$C,SSOD!$B:$B,Hitungan!D370,SSOD!$A:$A,Hitungan!C370)</f>
        <v>0</v>
      </c>
      <c r="F370" s="122"/>
      <c r="G370" s="124">
        <f t="shared" si="55"/>
        <v>0</v>
      </c>
      <c r="H370" s="126" t="str">
        <f t="array" ref="H370">INDEX('Panduan Gaji'!$Q:$Q,MATCH(D370,'Panduan Gaji'!$C:$C,0))</f>
        <v>GS</v>
      </c>
      <c r="I370" s="128" t="s">
        <v>138</v>
      </c>
      <c r="J370" s="308">
        <v>0.4159722222222222</v>
      </c>
      <c r="K370" s="308">
        <v>0.9166666666666666</v>
      </c>
      <c r="L370" s="119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 ht="13.5" hidden="1" customHeight="1">
      <c r="A371" s="116">
        <f t="shared" si="50"/>
        <v>10</v>
      </c>
      <c r="B371" s="118">
        <v>46253.0</v>
      </c>
      <c r="C371" s="119"/>
      <c r="D371" s="120" t="str">
        <f t="shared" si="51"/>
        <v>Titus</v>
      </c>
      <c r="E371" s="121">
        <f>SUMIFS(SSOD!$C:$C,SSOD!$B:$B,Hitungan!D371,SSOD!$A:$A,Hitungan!C371)</f>
        <v>0</v>
      </c>
      <c r="F371" s="122"/>
      <c r="G371" s="124">
        <f t="shared" si="55"/>
        <v>0</v>
      </c>
      <c r="H371" s="126" t="str">
        <f t="array" ref="H371">INDEX('Panduan Gaji'!$Q:$Q,MATCH(D371,'Panduan Gaji'!$C:$C,0))</f>
        <v>GS</v>
      </c>
      <c r="I371" s="128" t="s">
        <v>138</v>
      </c>
      <c r="J371" s="308">
        <v>0.3743055555555556</v>
      </c>
      <c r="K371" s="308">
        <v>0.9166666666666666</v>
      </c>
      <c r="L371" s="119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 ht="13.5" hidden="1" customHeight="1">
      <c r="A372" s="116">
        <f t="shared" si="50"/>
        <v>10</v>
      </c>
      <c r="B372" s="118">
        <v>46254.0</v>
      </c>
      <c r="C372" s="119"/>
      <c r="D372" s="120" t="str">
        <f t="shared" si="51"/>
        <v>Titus</v>
      </c>
      <c r="E372" s="121">
        <f>SUMIFS(SSOD!$C:$C,SSOD!$B:$B,Hitungan!D372,SSOD!$A:$A,Hitungan!C372)</f>
        <v>0</v>
      </c>
      <c r="F372" s="122"/>
      <c r="G372" s="124">
        <f t="shared" si="55"/>
        <v>0</v>
      </c>
      <c r="H372" s="126" t="str">
        <f t="array" ref="H372">INDEX('Panduan Gaji'!$Q:$Q,MATCH(D372,'Panduan Gaji'!$C:$C,0))</f>
        <v>GS</v>
      </c>
      <c r="I372" s="128" t="s">
        <v>138</v>
      </c>
      <c r="J372" s="308"/>
      <c r="K372" s="308"/>
      <c r="L372" s="145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 ht="13.5" hidden="1" customHeight="1">
      <c r="A373" s="116">
        <f t="shared" si="50"/>
        <v>10</v>
      </c>
      <c r="B373" s="118">
        <v>46255.0</v>
      </c>
      <c r="C373" s="119"/>
      <c r="D373" s="120" t="str">
        <f t="shared" si="51"/>
        <v>Titus</v>
      </c>
      <c r="E373" s="121">
        <f>SUMIFS(SSOD!$C:$C,SSOD!$B:$B,Hitungan!D373,SSOD!$A:$A,Hitungan!C373)</f>
        <v>0</v>
      </c>
      <c r="F373" s="122"/>
      <c r="G373" s="124">
        <f t="shared" si="55"/>
        <v>0</v>
      </c>
      <c r="H373" s="126" t="str">
        <f t="array" ref="H373">INDEX('Panduan Gaji'!$Q:$Q,MATCH(D373,'Panduan Gaji'!$C:$C,0))</f>
        <v>GS</v>
      </c>
      <c r="I373" s="128" t="s">
        <v>138</v>
      </c>
      <c r="J373" s="308">
        <v>0.4145833333333334</v>
      </c>
      <c r="K373" s="308">
        <v>0.9166666666666666</v>
      </c>
      <c r="L373" s="119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 ht="13.5" hidden="1" customHeight="1">
      <c r="A374" s="116">
        <f t="shared" si="50"/>
        <v>10</v>
      </c>
      <c r="B374" s="118">
        <v>46256.0</v>
      </c>
      <c r="C374" s="119" t="s">
        <v>33</v>
      </c>
      <c r="D374" s="120" t="str">
        <f t="shared" si="51"/>
        <v>Titus</v>
      </c>
      <c r="E374" s="121">
        <v>200000.0</v>
      </c>
      <c r="F374" s="122">
        <v>1.0</v>
      </c>
      <c r="G374" s="124">
        <f t="shared" si="55"/>
        <v>200000</v>
      </c>
      <c r="H374" s="126" t="str">
        <f t="array" ref="H374">INDEX('Panduan Gaji'!$Q:$Q,MATCH(D374,'Panduan Gaji'!$C:$C,0))</f>
        <v>GS</v>
      </c>
      <c r="I374" s="128" t="s">
        <v>138</v>
      </c>
      <c r="J374" s="308">
        <v>0.4111111111111111</v>
      </c>
      <c r="K374" s="308">
        <v>0.9194444444444444</v>
      </c>
      <c r="L374" s="119" t="s">
        <v>169</v>
      </c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 ht="13.5" hidden="1" customHeight="1">
      <c r="A375" s="116">
        <f t="shared" si="50"/>
        <v>10</v>
      </c>
      <c r="B375" s="118"/>
      <c r="C375" s="119" t="s">
        <v>33</v>
      </c>
      <c r="D375" s="120" t="str">
        <f t="shared" si="51"/>
        <v>Titus</v>
      </c>
      <c r="E375" s="121">
        <v>5000.0</v>
      </c>
      <c r="F375" s="122">
        <v>1.0</v>
      </c>
      <c r="G375" s="124">
        <f t="shared" si="55"/>
        <v>5000</v>
      </c>
      <c r="H375" s="126" t="str">
        <f t="array" ref="H375">INDEX('Panduan Gaji'!$Q:$Q,MATCH(D375,'Panduan Gaji'!$C:$C,0))</f>
        <v>GS</v>
      </c>
      <c r="I375" s="128"/>
      <c r="J375" s="308"/>
      <c r="K375" s="308"/>
      <c r="L375" s="119" t="s">
        <v>170</v>
      </c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 ht="13.5" hidden="1" customHeight="1">
      <c r="A376" s="116">
        <f t="shared" si="50"/>
        <v>10</v>
      </c>
      <c r="B376" s="118">
        <v>46257.0</v>
      </c>
      <c r="C376" s="119"/>
      <c r="D376" s="120" t="str">
        <f t="shared" si="51"/>
        <v>Titus</v>
      </c>
      <c r="E376" s="121">
        <f>SUMIFS(SSOD!$C:$C,SSOD!$B:$B,Hitungan!D376,SSOD!$A:$A,Hitungan!C376)</f>
        <v>0</v>
      </c>
      <c r="F376" s="122"/>
      <c r="G376" s="124">
        <f t="shared" si="55"/>
        <v>0</v>
      </c>
      <c r="H376" s="126" t="str">
        <f t="array" ref="H376">INDEX('Panduan Gaji'!$Q:$Q,MATCH(D376,'Panduan Gaji'!$C:$C,0))</f>
        <v>GS</v>
      </c>
      <c r="I376" s="128" t="s">
        <v>138</v>
      </c>
      <c r="J376" s="308">
        <v>0.4145833333333334</v>
      </c>
      <c r="K376" s="308">
        <v>0.9180555555555555</v>
      </c>
      <c r="L376" s="119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 ht="15.75" hidden="1" customHeight="1">
      <c r="A377" s="116">
        <f t="shared" si="50"/>
        <v>10</v>
      </c>
      <c r="B377" s="118">
        <v>46258.0</v>
      </c>
      <c r="C377" s="119"/>
      <c r="D377" s="120" t="str">
        <f t="shared" si="51"/>
        <v>Titus</v>
      </c>
      <c r="E377" s="121">
        <f>SUMIFS(SSOD!$C:$C,SSOD!$B:$B,Hitungan!D377,SSOD!$A:$A,Hitungan!C377)</f>
        <v>0</v>
      </c>
      <c r="F377" s="122"/>
      <c r="G377" s="124">
        <f t="shared" si="55"/>
        <v>0</v>
      </c>
      <c r="H377" s="220" t="str">
        <f t="array" ref="H377">INDEX('Panduan Gaji'!$Q:$Q,MATCH(D377,'Panduan Gaji'!$C:$C,0))</f>
        <v>GS</v>
      </c>
      <c r="I377" s="128" t="s">
        <v>138</v>
      </c>
      <c r="J377" s="308">
        <v>0.41875</v>
      </c>
      <c r="K377" s="308"/>
      <c r="L377" s="119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 ht="13.5" hidden="1" customHeight="1">
      <c r="A378" s="26">
        <v>11.0</v>
      </c>
      <c r="B378" s="28"/>
      <c r="C378" s="30" t="s">
        <v>6</v>
      </c>
      <c r="D378" s="33" t="s">
        <v>69</v>
      </c>
      <c r="E378" s="42">
        <f>SUMIFS(SSOD!$C:$C,SSOD!$B:$B,Hitungan!D378,SSOD!$A:$A,Hitungan!C378)</f>
        <v>2250000</v>
      </c>
      <c r="F378" s="44">
        <v>1.0</v>
      </c>
      <c r="G378" s="47">
        <f t="shared" si="55"/>
        <v>2250000</v>
      </c>
      <c r="H378" s="51" t="str">
        <f t="array" ref="H378">INDEX('Panduan Gaji'!$Q:$Q,MATCH(D378,'Panduan Gaji'!$C:$C,0))</f>
        <v>GS</v>
      </c>
      <c r="I378" s="53"/>
      <c r="J378" s="54"/>
      <c r="K378" s="54"/>
      <c r="L378" s="55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 ht="13.5" hidden="1" customHeight="1">
      <c r="A379" s="26">
        <f t="shared" ref="A379:A417" si="56">A378</f>
        <v>11</v>
      </c>
      <c r="B379" s="28"/>
      <c r="C379" s="30" t="s">
        <v>17</v>
      </c>
      <c r="D379" s="33" t="str">
        <f t="shared" ref="D379:D417" si="57">D378</f>
        <v>Valen</v>
      </c>
      <c r="E379" s="42">
        <f>SUMIFS(SSOD!$C:$C,SSOD!$B:$B,Hitungan!D379,SSOD!$A:$A,Hitungan!C379)</f>
        <v>0</v>
      </c>
      <c r="F379" s="44"/>
      <c r="G379" s="47">
        <f t="shared" si="55"/>
        <v>0</v>
      </c>
      <c r="H379" s="51" t="str">
        <f t="array" ref="H379">INDEX('Panduan Gaji'!$Q:$Q,MATCH(D379,'Panduan Gaji'!$C:$C,0))</f>
        <v>GS</v>
      </c>
      <c r="I379" s="53"/>
      <c r="J379" s="54"/>
      <c r="K379" s="54"/>
      <c r="L379" s="55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 ht="13.5" hidden="1" customHeight="1">
      <c r="A380" s="26">
        <f t="shared" si="56"/>
        <v>11</v>
      </c>
      <c r="B380" s="28"/>
      <c r="C380" s="30" t="s">
        <v>7</v>
      </c>
      <c r="D380" s="33" t="str">
        <f t="shared" si="57"/>
        <v>Valen</v>
      </c>
      <c r="E380" s="42">
        <f>SUMIFS(SSOD!$C:$C,SSOD!$B:$B,Hitungan!D380,SSOD!$A:$A,Hitungan!C380)</f>
        <v>21000</v>
      </c>
      <c r="F380" s="44">
        <f t="shared" ref="F380:F381" si="58">SUMPRODUCT(--((($J$388:$J$417&lt;&gt;"")+($K$388:$K$417&lt;&gt;""))&gt;0))</f>
        <v>24</v>
      </c>
      <c r="G380" s="47">
        <f t="shared" si="55"/>
        <v>504000</v>
      </c>
      <c r="H380" s="51" t="str">
        <f t="array" ref="H380">INDEX('Panduan Gaji'!$Q:$Q,MATCH(D380,'Panduan Gaji'!$C:$C,0))</f>
        <v>GS</v>
      </c>
      <c r="I380" s="53"/>
      <c r="J380" s="88"/>
      <c r="K380" s="88"/>
      <c r="L380" s="55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 ht="13.5" hidden="1" customHeight="1">
      <c r="A381" s="26">
        <f t="shared" si="56"/>
        <v>11</v>
      </c>
      <c r="B381" s="28"/>
      <c r="C381" s="30" t="s">
        <v>9</v>
      </c>
      <c r="D381" s="33" t="str">
        <f t="shared" si="57"/>
        <v>Valen</v>
      </c>
      <c r="E381" s="42">
        <f>SUMIFS(SSOD!$C:$C,SSOD!$B:$B,Hitungan!D381,SSOD!$A:$A,Hitungan!C381)</f>
        <v>40000</v>
      </c>
      <c r="F381" s="44">
        <f t="shared" si="58"/>
        <v>24</v>
      </c>
      <c r="G381" s="47">
        <f t="shared" si="55"/>
        <v>960000</v>
      </c>
      <c r="H381" s="51" t="str">
        <f t="array" ref="H381">INDEX('Panduan Gaji'!$Q:$Q,MATCH(D381,'Panduan Gaji'!$C:$C,0))</f>
        <v>GS</v>
      </c>
      <c r="I381" s="53"/>
      <c r="J381" s="88"/>
      <c r="K381" s="88"/>
      <c r="L381" s="9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 ht="15.75" hidden="1" customHeight="1">
      <c r="A382" s="26">
        <f t="shared" si="56"/>
        <v>11</v>
      </c>
      <c r="B382" s="28"/>
      <c r="C382" s="30" t="s">
        <v>39</v>
      </c>
      <c r="D382" s="33" t="str">
        <f t="shared" si="57"/>
        <v>Valen</v>
      </c>
      <c r="E382" s="42">
        <f>36820+627502</f>
        <v>664322</v>
      </c>
      <c r="F382" s="44">
        <v>1.0</v>
      </c>
      <c r="G382" s="47">
        <f>F382*E382</f>
        <v>664322</v>
      </c>
      <c r="H382" s="51" t="str">
        <f t="array" ref="H382">INDEX('Panduan Gaji'!$Q:$Q,MATCH(D382,'Panduan Gaji'!$C:$C,0))</f>
        <v>GS</v>
      </c>
      <c r="I382" s="53"/>
      <c r="J382" s="88"/>
      <c r="K382" s="88"/>
      <c r="L382" s="9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 ht="15.75" hidden="1" customHeight="1">
      <c r="A383" s="26">
        <f t="shared" si="56"/>
        <v>11</v>
      </c>
      <c r="B383" s="28"/>
      <c r="C383" s="30" t="s">
        <v>12</v>
      </c>
      <c r="D383" s="33" t="str">
        <f t="shared" si="57"/>
        <v>Valen</v>
      </c>
      <c r="E383" s="42">
        <f>SUMIFS(SSOD!$C:$C,SSOD!$B:$B,Hitungan!D383,SSOD!$A:$A,Hitungan!C383)</f>
        <v>13333.33333</v>
      </c>
      <c r="F383" s="44">
        <f>SUMIF($C$388:$C$417,C383,$F$388:$F$417)</f>
        <v>0</v>
      </c>
      <c r="G383" s="47">
        <f t="shared" ref="G383:G384" si="59">E383*F383</f>
        <v>0</v>
      </c>
      <c r="H383" s="51" t="str">
        <f t="array" ref="H383">INDEX('Panduan Gaji'!$Q:$Q,MATCH(D383,'Panduan Gaji'!$C:$C,0))</f>
        <v>GS</v>
      </c>
      <c r="I383" s="53"/>
      <c r="J383" s="88"/>
      <c r="K383" s="88"/>
      <c r="L383" s="100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 ht="15.75" hidden="1" customHeight="1">
      <c r="A384" s="26">
        <f t="shared" si="56"/>
        <v>11</v>
      </c>
      <c r="B384" s="28"/>
      <c r="C384" s="102" t="s">
        <v>30</v>
      </c>
      <c r="D384" s="33" t="str">
        <f t="shared" si="57"/>
        <v>Valen</v>
      </c>
      <c r="E384" s="42">
        <f>SUMIFS(SSOD!$C:$C,SSOD!$B:$B,Hitungan!D384,SSOD!$A:$A,Hitungan!C384)</f>
        <v>13333.33333</v>
      </c>
      <c r="F384" s="44">
        <f t="shared" ref="F384:F385" si="60">COUNTIF($C$388:$C$417,C384)</f>
        <v>3</v>
      </c>
      <c r="G384" s="47">
        <f t="shared" si="59"/>
        <v>40000</v>
      </c>
      <c r="H384" s="51" t="str">
        <f t="array" ref="H384">INDEX('Panduan Gaji'!$Q:$Q,MATCH(D384,'Panduan Gaji'!$C:$C,0))</f>
        <v>GS</v>
      </c>
      <c r="I384" s="53"/>
      <c r="J384" s="105"/>
      <c r="K384" s="105"/>
      <c r="L384" s="10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 ht="15.75" hidden="1" customHeight="1">
      <c r="A385" s="26">
        <f t="shared" si="56"/>
        <v>11</v>
      </c>
      <c r="B385" s="28"/>
      <c r="C385" s="30" t="s">
        <v>33</v>
      </c>
      <c r="D385" s="33" t="str">
        <f t="shared" si="57"/>
        <v>Valen</v>
      </c>
      <c r="E385" s="42"/>
      <c r="F385" s="44">
        <f t="shared" si="60"/>
        <v>1</v>
      </c>
      <c r="G385" s="47">
        <f>SUMIF($C$388:$C$417,C385,$E$388:$E$417)</f>
        <v>100000</v>
      </c>
      <c r="H385" s="51" t="str">
        <f t="array" ref="H385">INDEX('Panduan Gaji'!$Q:$Q,MATCH(D385,'Panduan Gaji'!$C:$C,0))</f>
        <v>GS</v>
      </c>
      <c r="I385" s="53"/>
      <c r="J385" s="105"/>
      <c r="K385" s="105"/>
      <c r="L385" s="10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 ht="15.75" hidden="1" customHeight="1">
      <c r="A386" s="26">
        <f t="shared" si="56"/>
        <v>11</v>
      </c>
      <c r="B386" s="28"/>
      <c r="C386" s="30" t="s">
        <v>83</v>
      </c>
      <c r="D386" s="33" t="str">
        <f t="shared" si="57"/>
        <v>Valen</v>
      </c>
      <c r="E386" s="42"/>
      <c r="F386" s="44"/>
      <c r="G386" s="47"/>
      <c r="H386" s="51" t="str">
        <f t="array" ref="H386">INDEX('Panduan Gaji'!$Q:$Q,MATCH(D386,'Panduan Gaji'!$C:$C,0))</f>
        <v>GS</v>
      </c>
      <c r="I386" s="53"/>
      <c r="J386" s="105"/>
      <c r="K386" s="105"/>
      <c r="L386" s="10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 ht="13.5" hidden="1" customHeight="1">
      <c r="A387" s="26">
        <f t="shared" si="56"/>
        <v>11</v>
      </c>
      <c r="B387" s="28"/>
      <c r="C387" s="30" t="s">
        <v>85</v>
      </c>
      <c r="D387" s="33" t="str">
        <f t="shared" si="57"/>
        <v>Valen</v>
      </c>
      <c r="E387" s="42"/>
      <c r="F387" s="44"/>
      <c r="G387" s="47"/>
      <c r="H387" s="51" t="str">
        <f t="array" ref="H387">INDEX('Panduan Gaji'!$Q:$Q,MATCH(D387,'Panduan Gaji'!$C:$C,0))</f>
        <v>GS</v>
      </c>
      <c r="I387" s="53"/>
      <c r="J387" s="105"/>
      <c r="K387" s="105"/>
      <c r="L387" s="106"/>
      <c r="M387" s="56"/>
      <c r="N387" s="56"/>
      <c r="O387" s="22"/>
      <c r="P387" s="56"/>
      <c r="Q387" s="56"/>
      <c r="R387" s="56"/>
      <c r="S387" s="56"/>
      <c r="T387" s="56"/>
      <c r="U387" s="56"/>
      <c r="V387" s="56"/>
      <c r="W387" s="56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 ht="13.5" hidden="1" customHeight="1">
      <c r="A388" s="116">
        <f t="shared" si="56"/>
        <v>11</v>
      </c>
      <c r="B388" s="118">
        <v>46229.0</v>
      </c>
      <c r="C388" s="119"/>
      <c r="D388" s="120" t="str">
        <f t="shared" si="57"/>
        <v>Valen</v>
      </c>
      <c r="E388" s="121">
        <f>SUMIFS(SSOD!$C:$C,SSOD!$B:$B,Hitungan!D388,SSOD!$A:$A,Hitungan!C388)</f>
        <v>0</v>
      </c>
      <c r="F388" s="122"/>
      <c r="G388" s="124">
        <f t="shared" ref="G388:G417" si="61">E388*F388</f>
        <v>0</v>
      </c>
      <c r="H388" s="126" t="str">
        <f t="array" ref="H388">INDEX('Panduan Gaji'!$Q:$Q,MATCH(D388,'Panduan Gaji'!$C:$C,0))</f>
        <v>GS</v>
      </c>
      <c r="I388" s="128" t="s">
        <v>138</v>
      </c>
      <c r="J388" s="308">
        <v>0.4118055555555555</v>
      </c>
      <c r="K388" s="308">
        <v>0.9166666666666666</v>
      </c>
      <c r="L388" s="130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 ht="13.5" hidden="1" customHeight="1">
      <c r="A389" s="116">
        <f t="shared" si="56"/>
        <v>11</v>
      </c>
      <c r="B389" s="118">
        <v>46230.0</v>
      </c>
      <c r="C389" s="119"/>
      <c r="D389" s="120" t="str">
        <f t="shared" si="57"/>
        <v>Valen</v>
      </c>
      <c r="E389" s="121">
        <f>SUMIFS(SSOD!$C:$C,SSOD!$B:$B,Hitungan!D389,SSOD!$A:$A,Hitungan!C389)</f>
        <v>0</v>
      </c>
      <c r="F389" s="122"/>
      <c r="G389" s="124">
        <f t="shared" si="61"/>
        <v>0</v>
      </c>
      <c r="H389" s="126" t="str">
        <f t="array" ref="H389">INDEX('Panduan Gaji'!$Q:$Q,MATCH(D389,'Panduan Gaji'!$C:$C,0))</f>
        <v>GS</v>
      </c>
      <c r="I389" s="128" t="s">
        <v>138</v>
      </c>
      <c r="J389" s="308">
        <v>0.4166666666666667</v>
      </c>
      <c r="K389" s="308">
        <v>0.9166666666666666</v>
      </c>
      <c r="L389" s="138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 ht="13.5" hidden="1" customHeight="1">
      <c r="A390" s="116">
        <f t="shared" si="56"/>
        <v>11</v>
      </c>
      <c r="B390" s="118">
        <v>46231.0</v>
      </c>
      <c r="C390" s="119"/>
      <c r="D390" s="120" t="str">
        <f t="shared" si="57"/>
        <v>Valen</v>
      </c>
      <c r="E390" s="121">
        <f>SUMIFS(SSOD!$C:$C,SSOD!$B:$B,Hitungan!D390,SSOD!$A:$A,Hitungan!C390)</f>
        <v>0</v>
      </c>
      <c r="F390" s="122"/>
      <c r="G390" s="124">
        <f t="shared" si="61"/>
        <v>0</v>
      </c>
      <c r="H390" s="126" t="str">
        <f t="array" ref="H390">INDEX('Panduan Gaji'!$Q:$Q,MATCH(D390,'Panduan Gaji'!$C:$C,0))</f>
        <v>GS</v>
      </c>
      <c r="I390" s="128" t="s">
        <v>138</v>
      </c>
      <c r="J390" s="308"/>
      <c r="K390" s="308"/>
      <c r="L390" s="145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 ht="13.5" hidden="1" customHeight="1">
      <c r="A391" s="116">
        <f t="shared" si="56"/>
        <v>11</v>
      </c>
      <c r="B391" s="118">
        <v>46232.0</v>
      </c>
      <c r="C391" s="146"/>
      <c r="D391" s="120" t="str">
        <f t="shared" si="57"/>
        <v>Valen</v>
      </c>
      <c r="E391" s="147">
        <f>SUMIFS(SSOD!$C:$C,SSOD!$B:$B,Hitungan!D391,SSOD!$A:$A,Hitungan!C391)</f>
        <v>0</v>
      </c>
      <c r="F391" s="148"/>
      <c r="G391" s="124">
        <f t="shared" si="61"/>
        <v>0</v>
      </c>
      <c r="H391" s="126" t="str">
        <f t="array" ref="H391">INDEX('Panduan Gaji'!$Q:$Q,MATCH(D391,'Panduan Gaji'!$C:$C,0))</f>
        <v>GS</v>
      </c>
      <c r="I391" s="128" t="s">
        <v>138</v>
      </c>
      <c r="J391" s="308">
        <v>0.4180555555555556</v>
      </c>
      <c r="K391" s="308">
        <v>0.9166666666666666</v>
      </c>
      <c r="L391" s="153"/>
      <c r="M391" s="16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 ht="13.5" hidden="1" customHeight="1">
      <c r="A392" s="116">
        <f t="shared" si="56"/>
        <v>11</v>
      </c>
      <c r="B392" s="118">
        <v>46233.0</v>
      </c>
      <c r="C392" s="119"/>
      <c r="D392" s="120" t="str">
        <f t="shared" si="57"/>
        <v>Valen</v>
      </c>
      <c r="E392" s="121">
        <f>SUMIFS(SSOD!$C:$C,SSOD!$B:$B,Hitungan!D392,SSOD!$A:$A,Hitungan!C392)</f>
        <v>0</v>
      </c>
      <c r="F392" s="122"/>
      <c r="G392" s="124">
        <f t="shared" si="61"/>
        <v>0</v>
      </c>
      <c r="H392" s="126" t="str">
        <f t="array" ref="H392">INDEX('Panduan Gaji'!$Q:$Q,MATCH(D392,'Panduan Gaji'!$C:$C,0))</f>
        <v>GS</v>
      </c>
      <c r="I392" s="128" t="s">
        <v>138</v>
      </c>
      <c r="J392" s="308">
        <v>0.4180555555555556</v>
      </c>
      <c r="K392" s="308">
        <v>0.9166666666666666</v>
      </c>
      <c r="L392" s="164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 ht="13.5" hidden="1" customHeight="1">
      <c r="A393" s="116">
        <f t="shared" si="56"/>
        <v>11</v>
      </c>
      <c r="B393" s="118">
        <v>46234.0</v>
      </c>
      <c r="C393" s="119"/>
      <c r="D393" s="120" t="str">
        <f t="shared" si="57"/>
        <v>Valen</v>
      </c>
      <c r="E393" s="121">
        <f>SUMIFS(SSOD!$C:$C,SSOD!$B:$B,Hitungan!D393,SSOD!$A:$A,Hitungan!C393)</f>
        <v>0</v>
      </c>
      <c r="F393" s="122"/>
      <c r="G393" s="124">
        <f t="shared" si="61"/>
        <v>0</v>
      </c>
      <c r="H393" s="126" t="str">
        <f t="array" ref="H393">INDEX('Panduan Gaji'!$Q:$Q,MATCH(D393,'Panduan Gaji'!$C:$C,0))</f>
        <v>GS</v>
      </c>
      <c r="I393" s="128" t="s">
        <v>138</v>
      </c>
      <c r="J393" s="308">
        <v>0.4138888888888889</v>
      </c>
      <c r="K393" s="308">
        <v>0.9166666666666666</v>
      </c>
      <c r="L393" s="130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 ht="13.5" hidden="1" customHeight="1">
      <c r="A394" s="116">
        <f t="shared" si="56"/>
        <v>11</v>
      </c>
      <c r="B394" s="118">
        <v>46235.0</v>
      </c>
      <c r="C394" s="119"/>
      <c r="D394" s="120" t="str">
        <f t="shared" si="57"/>
        <v>Valen</v>
      </c>
      <c r="E394" s="121">
        <f>SUMIFS(SSOD!$C:$C,SSOD!$B:$B,Hitungan!D394,SSOD!$A:$A,Hitungan!C394)</f>
        <v>0</v>
      </c>
      <c r="F394" s="122"/>
      <c r="G394" s="124">
        <f t="shared" si="61"/>
        <v>0</v>
      </c>
      <c r="H394" s="126" t="str">
        <f t="array" ref="H394">INDEX('Panduan Gaji'!$Q:$Q,MATCH(D394,'Panduan Gaji'!$C:$C,0))</f>
        <v>GS</v>
      </c>
      <c r="I394" s="128" t="s">
        <v>138</v>
      </c>
      <c r="J394" s="309">
        <v>0.4194444444444445</v>
      </c>
      <c r="K394" s="308">
        <v>0.93125</v>
      </c>
      <c r="L394" s="145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 ht="13.5" hidden="1" customHeight="1">
      <c r="A395" s="116">
        <f t="shared" si="56"/>
        <v>11</v>
      </c>
      <c r="B395" s="118">
        <v>46236.0</v>
      </c>
      <c r="C395" s="119"/>
      <c r="D395" s="120" t="str">
        <f t="shared" si="57"/>
        <v>Valen</v>
      </c>
      <c r="E395" s="121">
        <v>0.0</v>
      </c>
      <c r="F395" s="122"/>
      <c r="G395" s="124">
        <f t="shared" si="61"/>
        <v>0</v>
      </c>
      <c r="H395" s="126" t="str">
        <f t="array" ref="H395">INDEX('Panduan Gaji'!$Q:$Q,MATCH(D395,'Panduan Gaji'!$C:$C,0))</f>
        <v>GS</v>
      </c>
      <c r="I395" s="128" t="s">
        <v>138</v>
      </c>
      <c r="J395" s="309">
        <v>0.4159722222222222</v>
      </c>
      <c r="K395" s="308">
        <v>0.9277777777777778</v>
      </c>
      <c r="L395" s="145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 ht="13.5" hidden="1" customHeight="1">
      <c r="A396" s="116">
        <f t="shared" si="56"/>
        <v>11</v>
      </c>
      <c r="B396" s="118">
        <v>46237.0</v>
      </c>
      <c r="C396" s="119"/>
      <c r="D396" s="120" t="str">
        <f t="shared" si="57"/>
        <v>Valen</v>
      </c>
      <c r="E396" s="121">
        <f>SUMIFS(SSOD!$C:$C,SSOD!$B:$B,Hitungan!D396,SSOD!$A:$A,Hitungan!C396)</f>
        <v>0</v>
      </c>
      <c r="F396" s="122"/>
      <c r="G396" s="124">
        <f t="shared" si="61"/>
        <v>0</v>
      </c>
      <c r="H396" s="126" t="str">
        <f t="array" ref="H396">INDEX('Panduan Gaji'!$Q:$Q,MATCH(D396,'Panduan Gaji'!$C:$C,0))</f>
        <v>GS</v>
      </c>
      <c r="I396" s="128" t="s">
        <v>138</v>
      </c>
      <c r="J396" s="309">
        <v>0.4201388888888889</v>
      </c>
      <c r="K396" s="308">
        <v>0.9166666666666666</v>
      </c>
      <c r="L396" s="145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 ht="13.5" hidden="1" customHeight="1">
      <c r="A397" s="116">
        <f t="shared" si="56"/>
        <v>11</v>
      </c>
      <c r="B397" s="118">
        <v>46238.0</v>
      </c>
      <c r="C397" s="181"/>
      <c r="D397" s="120" t="str">
        <f t="shared" si="57"/>
        <v>Valen</v>
      </c>
      <c r="E397" s="121">
        <f>SUMIFS(SSOD!$C:$C,SSOD!$B:$B,Hitungan!D397,SSOD!$A:$A,Hitungan!C397)</f>
        <v>0</v>
      </c>
      <c r="F397" s="182"/>
      <c r="G397" s="52">
        <f t="shared" si="61"/>
        <v>0</v>
      </c>
      <c r="H397" s="126" t="str">
        <f t="array" ref="H397">INDEX('Panduan Gaji'!$Q:$Q,MATCH(D397,'Panduan Gaji'!$C:$C,0))</f>
        <v>GS</v>
      </c>
      <c r="I397" s="128" t="s">
        <v>138</v>
      </c>
      <c r="J397" s="309"/>
      <c r="K397" s="308"/>
      <c r="L397" s="119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 ht="13.5" hidden="1" customHeight="1">
      <c r="A398" s="116">
        <f t="shared" si="56"/>
        <v>11</v>
      </c>
      <c r="B398" s="118">
        <v>46239.0</v>
      </c>
      <c r="C398" s="119"/>
      <c r="D398" s="120" t="str">
        <f t="shared" si="57"/>
        <v>Valen</v>
      </c>
      <c r="E398" s="121">
        <f>SUMIFS(SSOD!$C:$C,SSOD!$B:$B,Hitungan!D398,SSOD!$A:$A,Hitungan!C398)</f>
        <v>0</v>
      </c>
      <c r="F398" s="122"/>
      <c r="G398" s="124">
        <f t="shared" si="61"/>
        <v>0</v>
      </c>
      <c r="H398" s="126" t="str">
        <f t="array" ref="H398">INDEX('Panduan Gaji'!$Q:$Q,MATCH(D398,'Panduan Gaji'!$C:$C,0))</f>
        <v>GS</v>
      </c>
      <c r="I398" s="128" t="s">
        <v>138</v>
      </c>
      <c r="J398" s="309"/>
      <c r="K398" s="308"/>
      <c r="L398" s="145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 ht="13.5" hidden="1" customHeight="1">
      <c r="A399" s="116">
        <f t="shared" si="56"/>
        <v>11</v>
      </c>
      <c r="B399" s="118">
        <v>46240.0</v>
      </c>
      <c r="C399" s="119"/>
      <c r="D399" s="120" t="str">
        <f t="shared" si="57"/>
        <v>Valen</v>
      </c>
      <c r="E399" s="121">
        <f>SUMIFS(SSOD!$C:$C,SSOD!$B:$B,Hitungan!D399,SSOD!$A:$A,Hitungan!C399)</f>
        <v>0</v>
      </c>
      <c r="F399" s="122"/>
      <c r="G399" s="124">
        <f t="shared" si="61"/>
        <v>0</v>
      </c>
      <c r="H399" s="126" t="str">
        <f t="array" ref="H399">INDEX('Panduan Gaji'!$Q:$Q,MATCH(D399,'Panduan Gaji'!$C:$C,0))</f>
        <v>GS</v>
      </c>
      <c r="I399" s="128" t="s">
        <v>138</v>
      </c>
      <c r="J399" s="308">
        <v>0.4194444444444445</v>
      </c>
      <c r="K399" s="308">
        <v>0.9166666666666666</v>
      </c>
      <c r="L399" s="145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 ht="13.5" hidden="1" customHeight="1">
      <c r="A400" s="116">
        <f t="shared" si="56"/>
        <v>11</v>
      </c>
      <c r="B400" s="118">
        <v>46241.0</v>
      </c>
      <c r="C400" s="119"/>
      <c r="D400" s="120" t="str">
        <f t="shared" si="57"/>
        <v>Valen</v>
      </c>
      <c r="E400" s="121">
        <f>SUMIFS(SSOD!$C:$C,SSOD!$B:$B,Hitungan!D400,SSOD!$A:$A,Hitungan!C400)</f>
        <v>0</v>
      </c>
      <c r="F400" s="122"/>
      <c r="G400" s="124">
        <f t="shared" si="61"/>
        <v>0</v>
      </c>
      <c r="H400" s="126" t="str">
        <f t="array" ref="H400">INDEX('Panduan Gaji'!$Q:$Q,MATCH(D400,'Panduan Gaji'!$C:$C,0))</f>
        <v>GS</v>
      </c>
      <c r="I400" s="128" t="s">
        <v>138</v>
      </c>
      <c r="J400" s="308">
        <v>0.4180555555555556</v>
      </c>
      <c r="K400" s="310">
        <v>0.9166666666666666</v>
      </c>
      <c r="L400" s="119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 ht="13.5" hidden="1" customHeight="1">
      <c r="A401" s="116">
        <f t="shared" si="56"/>
        <v>11</v>
      </c>
      <c r="B401" s="118">
        <v>46242.0</v>
      </c>
      <c r="C401" s="119"/>
      <c r="D401" s="120" t="str">
        <f t="shared" si="57"/>
        <v>Valen</v>
      </c>
      <c r="E401" s="121">
        <f>SUMIFS(SSOD!$C:$C,SSOD!$B:$B,Hitungan!D401,SSOD!$A:$A,Hitungan!C401)</f>
        <v>0</v>
      </c>
      <c r="F401" s="122"/>
      <c r="G401" s="124">
        <f t="shared" si="61"/>
        <v>0</v>
      </c>
      <c r="H401" s="126" t="str">
        <f t="array" ref="H401">INDEX('Panduan Gaji'!$Q:$Q,MATCH(D401,'Panduan Gaji'!$C:$C,0))</f>
        <v>GS</v>
      </c>
      <c r="I401" s="128" t="s">
        <v>138</v>
      </c>
      <c r="J401" s="309">
        <v>0.4201388888888889</v>
      </c>
      <c r="K401" s="309">
        <v>0.9194444444444444</v>
      </c>
      <c r="L401" s="187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 ht="13.5" hidden="1" customHeight="1">
      <c r="A402" s="116">
        <f t="shared" si="56"/>
        <v>11</v>
      </c>
      <c r="B402" s="118">
        <v>46243.0</v>
      </c>
      <c r="C402" s="119"/>
      <c r="D402" s="120" t="str">
        <f t="shared" si="57"/>
        <v>Valen</v>
      </c>
      <c r="E402" s="121">
        <f>SUMIFS(SSOD!$C:$C,SSOD!$B:$B,Hitungan!D402,SSOD!$A:$A,Hitungan!C402)</f>
        <v>0</v>
      </c>
      <c r="F402" s="122"/>
      <c r="G402" s="124">
        <f t="shared" si="61"/>
        <v>0</v>
      </c>
      <c r="H402" s="126" t="str">
        <f t="array" ref="H402">INDEX('Panduan Gaji'!$Q:$Q,MATCH(D402,'Panduan Gaji'!$C:$C,0))</f>
        <v>GS</v>
      </c>
      <c r="I402" s="128" t="s">
        <v>138</v>
      </c>
      <c r="J402" s="309">
        <v>0.4173611111111111</v>
      </c>
      <c r="K402" s="309">
        <v>0.9236111111111112</v>
      </c>
      <c r="L402" s="187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 ht="13.5" hidden="1" customHeight="1">
      <c r="A403" s="116">
        <f t="shared" si="56"/>
        <v>11</v>
      </c>
      <c r="B403" s="118">
        <v>46244.0</v>
      </c>
      <c r="C403" s="119" t="s">
        <v>30</v>
      </c>
      <c r="D403" s="120" t="str">
        <f t="shared" si="57"/>
        <v>Valen</v>
      </c>
      <c r="E403" s="121">
        <f>SUMIFS(SSOD!$C:$C,SSOD!$B:$B,Hitungan!D403,SSOD!$A:$A,Hitungan!C403)</f>
        <v>13333.33333</v>
      </c>
      <c r="F403" s="122">
        <v>1.0</v>
      </c>
      <c r="G403" s="124">
        <f t="shared" si="61"/>
        <v>13333.33333</v>
      </c>
      <c r="H403" s="126" t="str">
        <f t="array" ref="H403">INDEX('Panduan Gaji'!$Q:$Q,MATCH(D403,'Panduan Gaji'!$C:$C,0))</f>
        <v>GS</v>
      </c>
      <c r="I403" s="128" t="s">
        <v>138</v>
      </c>
      <c r="J403" s="341">
        <v>0.4215277777777778</v>
      </c>
      <c r="K403" s="309">
        <v>0.9166666666666666</v>
      </c>
      <c r="L403" s="187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 ht="13.5" hidden="1" customHeight="1">
      <c r="A404" s="116">
        <f t="shared" si="56"/>
        <v>11</v>
      </c>
      <c r="B404" s="118">
        <v>46245.0</v>
      </c>
      <c r="C404" s="119"/>
      <c r="D404" s="120" t="str">
        <f t="shared" si="57"/>
        <v>Valen</v>
      </c>
      <c r="E404" s="121">
        <f>SUMIFS(SSOD!$C:$C,SSOD!$B:$B,Hitungan!D404,SSOD!$A:$A,Hitungan!C404)</f>
        <v>0</v>
      </c>
      <c r="F404" s="122"/>
      <c r="G404" s="124">
        <f t="shared" si="61"/>
        <v>0</v>
      </c>
      <c r="H404" s="126" t="str">
        <f t="array" ref="H404">INDEX('Panduan Gaji'!$Q:$Q,MATCH(D404,'Panduan Gaji'!$C:$C,0))</f>
        <v>GS</v>
      </c>
      <c r="I404" s="128" t="s">
        <v>138</v>
      </c>
      <c r="J404" s="308"/>
      <c r="K404" s="308"/>
      <c r="L404" s="145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 ht="13.5" hidden="1" customHeight="1">
      <c r="A405" s="116">
        <f t="shared" si="56"/>
        <v>11</v>
      </c>
      <c r="B405" s="118">
        <v>46246.0</v>
      </c>
      <c r="C405" s="119"/>
      <c r="D405" s="120" t="str">
        <f t="shared" si="57"/>
        <v>Valen</v>
      </c>
      <c r="E405" s="121">
        <f>SUMIFS(SSOD!$C:$C,SSOD!$B:$B,Hitungan!D405,SSOD!$A:$A,Hitungan!C405)</f>
        <v>0</v>
      </c>
      <c r="F405" s="122"/>
      <c r="G405" s="124">
        <f t="shared" si="61"/>
        <v>0</v>
      </c>
      <c r="H405" s="126" t="str">
        <f t="array" ref="H405">INDEX('Panduan Gaji'!$Q:$Q,MATCH(D405,'Panduan Gaji'!$C:$C,0))</f>
        <v>GS</v>
      </c>
      <c r="I405" s="128" t="s">
        <v>138</v>
      </c>
      <c r="J405" s="308"/>
      <c r="K405" s="308"/>
      <c r="L405" s="145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 ht="13.5" hidden="1" customHeight="1">
      <c r="A406" s="116">
        <f t="shared" si="56"/>
        <v>11</v>
      </c>
      <c r="B406" s="118">
        <v>46247.0</v>
      </c>
      <c r="C406" s="119" t="s">
        <v>30</v>
      </c>
      <c r="D406" s="120" t="str">
        <f t="shared" si="57"/>
        <v>Valen</v>
      </c>
      <c r="E406" s="121">
        <f>SUMIFS(SSOD!$C:$C,SSOD!$B:$B,Hitungan!D406,SSOD!$A:$A,Hitungan!C406)</f>
        <v>13333.33333</v>
      </c>
      <c r="F406" s="122">
        <v>1.0</v>
      </c>
      <c r="G406" s="124">
        <f t="shared" si="61"/>
        <v>13333.33333</v>
      </c>
      <c r="H406" s="126" t="str">
        <f t="array" ref="H406">INDEX('Panduan Gaji'!$Q:$Q,MATCH(D406,'Panduan Gaji'!$C:$C,0))</f>
        <v>GS</v>
      </c>
      <c r="I406" s="128" t="s">
        <v>138</v>
      </c>
      <c r="J406" s="312">
        <v>0.4215277777777778</v>
      </c>
      <c r="K406" s="308">
        <v>0.9166666666666666</v>
      </c>
      <c r="L406" s="145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 ht="13.5" hidden="1" customHeight="1">
      <c r="A407" s="116">
        <f t="shared" si="56"/>
        <v>11</v>
      </c>
      <c r="B407" s="118">
        <v>46248.0</v>
      </c>
      <c r="C407" s="119"/>
      <c r="D407" s="120" t="str">
        <f t="shared" si="57"/>
        <v>Valen</v>
      </c>
      <c r="E407" s="121">
        <f>SUMIFS(SSOD!$C:$C,SSOD!$B:$B,Hitungan!D407,SSOD!$A:$A,Hitungan!C407)</f>
        <v>0</v>
      </c>
      <c r="F407" s="122"/>
      <c r="G407" s="124">
        <f t="shared" si="61"/>
        <v>0</v>
      </c>
      <c r="H407" s="126" t="str">
        <f t="array" ref="H407">INDEX('Panduan Gaji'!$Q:$Q,MATCH(D407,'Panduan Gaji'!$C:$C,0))</f>
        <v>GS</v>
      </c>
      <c r="I407" s="128" t="s">
        <v>138</v>
      </c>
      <c r="J407" s="308">
        <v>0.4180555555555556</v>
      </c>
      <c r="K407" s="310">
        <v>0.91875</v>
      </c>
      <c r="L407" s="145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ht="13.5" hidden="1" customHeight="1">
      <c r="A408" s="116">
        <f t="shared" si="56"/>
        <v>11</v>
      </c>
      <c r="B408" s="118">
        <v>46249.0</v>
      </c>
      <c r="C408" s="119"/>
      <c r="D408" s="120" t="str">
        <f t="shared" si="57"/>
        <v>Valen</v>
      </c>
      <c r="E408" s="121">
        <f>SUMIFS(SSOD!$C:$C,SSOD!$B:$B,Hitungan!D408,SSOD!$A:$A,Hitungan!C408)</f>
        <v>0</v>
      </c>
      <c r="F408" s="122"/>
      <c r="G408" s="124">
        <f t="shared" si="61"/>
        <v>0</v>
      </c>
      <c r="H408" s="126" t="str">
        <f t="array" ref="H408">INDEX('Panduan Gaji'!$Q:$Q,MATCH(D408,'Panduan Gaji'!$C:$C,0))</f>
        <v>GS</v>
      </c>
      <c r="I408" s="128" t="s">
        <v>138</v>
      </c>
      <c r="J408" s="308">
        <v>0.4194444444444445</v>
      </c>
      <c r="K408" s="342">
        <v>0.9166666666666666</v>
      </c>
      <c r="L408" s="145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ht="13.5" hidden="1" customHeight="1">
      <c r="A409" s="116">
        <f t="shared" si="56"/>
        <v>11</v>
      </c>
      <c r="B409" s="118">
        <v>46250.0</v>
      </c>
      <c r="C409" s="119"/>
      <c r="D409" s="120" t="str">
        <f t="shared" si="57"/>
        <v>Valen</v>
      </c>
      <c r="E409" s="121">
        <f>SUMIFS(SSOD!$C:$C,SSOD!$B:$B,Hitungan!D409,SSOD!$A:$A,Hitungan!C409)</f>
        <v>0</v>
      </c>
      <c r="F409" s="122"/>
      <c r="G409" s="124">
        <f t="shared" si="61"/>
        <v>0</v>
      </c>
      <c r="H409" s="126" t="str">
        <f t="array" ref="H409">INDEX('Panduan Gaji'!$Q:$Q,MATCH(D409,'Panduan Gaji'!$C:$C,0))</f>
        <v>GS</v>
      </c>
      <c r="I409" s="128" t="s">
        <v>138</v>
      </c>
      <c r="J409" s="308">
        <v>0.4173611111111111</v>
      </c>
      <c r="K409" s="308">
        <v>0.9173611111111111</v>
      </c>
      <c r="L409" s="145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ht="13.5" hidden="1" customHeight="1">
      <c r="A410" s="116">
        <f t="shared" si="56"/>
        <v>11</v>
      </c>
      <c r="B410" s="118">
        <v>46251.0</v>
      </c>
      <c r="C410" s="119"/>
      <c r="D410" s="120" t="str">
        <f t="shared" si="57"/>
        <v>Valen</v>
      </c>
      <c r="E410" s="121">
        <f>SUMIFS(SSOD!$C:$C,SSOD!$B:$B,Hitungan!D410,SSOD!$A:$A,Hitungan!C410)</f>
        <v>0</v>
      </c>
      <c r="F410" s="122"/>
      <c r="G410" s="124">
        <f t="shared" si="61"/>
        <v>0</v>
      </c>
      <c r="H410" s="126" t="str">
        <f t="array" ref="H410">INDEX('Panduan Gaji'!$Q:$Q,MATCH(D410,'Panduan Gaji'!$C:$C,0))</f>
        <v>GS</v>
      </c>
      <c r="I410" s="128" t="s">
        <v>138</v>
      </c>
      <c r="J410" s="308">
        <v>0.4173611111111111</v>
      </c>
      <c r="K410" s="308">
        <v>0.9166666666666666</v>
      </c>
      <c r="L410" s="119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 ht="13.5" hidden="1" customHeight="1">
      <c r="A411" s="116">
        <f t="shared" si="56"/>
        <v>11</v>
      </c>
      <c r="B411" s="118">
        <v>46252.0</v>
      </c>
      <c r="C411" s="119"/>
      <c r="D411" s="120" t="str">
        <f t="shared" si="57"/>
        <v>Valen</v>
      </c>
      <c r="E411" s="121">
        <f>SUMIFS(SSOD!$C:$C,SSOD!$B:$B,Hitungan!D411,SSOD!$A:$A,Hitungan!C411)</f>
        <v>0</v>
      </c>
      <c r="F411" s="122"/>
      <c r="G411" s="124">
        <f t="shared" si="61"/>
        <v>0</v>
      </c>
      <c r="H411" s="126" t="str">
        <f t="array" ref="H411">INDEX('Panduan Gaji'!$Q:$Q,MATCH(D411,'Panduan Gaji'!$C:$C,0))</f>
        <v>GS</v>
      </c>
      <c r="I411" s="128" t="s">
        <v>138</v>
      </c>
      <c r="J411" s="308">
        <v>0.41875</v>
      </c>
      <c r="K411" s="308">
        <v>0.9166666666666666</v>
      </c>
      <c r="L411" s="119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ht="13.5" hidden="1" customHeight="1">
      <c r="A412" s="116">
        <f t="shared" si="56"/>
        <v>11</v>
      </c>
      <c r="B412" s="118">
        <v>46253.0</v>
      </c>
      <c r="C412" s="119"/>
      <c r="D412" s="120" t="str">
        <f t="shared" si="57"/>
        <v>Valen</v>
      </c>
      <c r="E412" s="121">
        <f>SUMIFS(SSOD!$C:$C,SSOD!$B:$B,Hitungan!D412,SSOD!$A:$A,Hitungan!C412)</f>
        <v>0</v>
      </c>
      <c r="F412" s="122"/>
      <c r="G412" s="124">
        <f t="shared" si="61"/>
        <v>0</v>
      </c>
      <c r="H412" s="126" t="str">
        <f t="array" ref="H412">INDEX('Panduan Gaji'!$Q:$Q,MATCH(D412,'Panduan Gaji'!$C:$C,0))</f>
        <v>GS</v>
      </c>
      <c r="I412" s="128" t="s">
        <v>138</v>
      </c>
      <c r="J412" s="308"/>
      <c r="K412" s="308"/>
      <c r="L412" s="119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ht="13.5" hidden="1" customHeight="1">
      <c r="A413" s="116">
        <f t="shared" si="56"/>
        <v>11</v>
      </c>
      <c r="B413" s="118">
        <v>46254.0</v>
      </c>
      <c r="C413" s="119" t="s">
        <v>30</v>
      </c>
      <c r="D413" s="120" t="str">
        <f t="shared" si="57"/>
        <v>Valen</v>
      </c>
      <c r="E413" s="121">
        <f>SUMIFS(SSOD!$C:$C,SSOD!$B:$B,Hitungan!D413,SSOD!$A:$A,Hitungan!C413)</f>
        <v>13333.33333</v>
      </c>
      <c r="F413" s="122">
        <v>1.0</v>
      </c>
      <c r="G413" s="124">
        <f t="shared" si="61"/>
        <v>13333.33333</v>
      </c>
      <c r="H413" s="126" t="str">
        <f t="array" ref="H413">INDEX('Panduan Gaji'!$Q:$Q,MATCH(D413,'Panduan Gaji'!$C:$C,0))</f>
        <v>GS</v>
      </c>
      <c r="I413" s="128" t="s">
        <v>138</v>
      </c>
      <c r="J413" s="312">
        <v>0.4222222222222222</v>
      </c>
      <c r="K413" s="308">
        <v>0.9166666666666666</v>
      </c>
      <c r="L413" s="145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ht="13.5" hidden="1" customHeight="1">
      <c r="A414" s="116">
        <f t="shared" si="56"/>
        <v>11</v>
      </c>
      <c r="B414" s="118">
        <v>46255.0</v>
      </c>
      <c r="C414" s="119"/>
      <c r="D414" s="120" t="str">
        <f t="shared" si="57"/>
        <v>Valen</v>
      </c>
      <c r="E414" s="121">
        <f>SUMIFS(SSOD!$C:$C,SSOD!$B:$B,Hitungan!D414,SSOD!$A:$A,Hitungan!C414)</f>
        <v>0</v>
      </c>
      <c r="F414" s="122"/>
      <c r="G414" s="124">
        <f t="shared" si="61"/>
        <v>0</v>
      </c>
      <c r="H414" s="126" t="str">
        <f t="array" ref="H414">INDEX('Panduan Gaji'!$Q:$Q,MATCH(D414,'Panduan Gaji'!$C:$C,0))</f>
        <v>GS</v>
      </c>
      <c r="I414" s="128" t="s">
        <v>138</v>
      </c>
      <c r="J414" s="308">
        <v>0.4180555555555556</v>
      </c>
      <c r="K414" s="308">
        <v>0.9166666666666666</v>
      </c>
      <c r="L414" s="119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ht="13.5" hidden="1" customHeight="1">
      <c r="A415" s="116">
        <f t="shared" si="56"/>
        <v>11</v>
      </c>
      <c r="B415" s="118">
        <v>46256.0</v>
      </c>
      <c r="C415" s="119" t="s">
        <v>33</v>
      </c>
      <c r="D415" s="120" t="str">
        <f t="shared" si="57"/>
        <v>Valen</v>
      </c>
      <c r="E415" s="121">
        <v>100000.0</v>
      </c>
      <c r="F415" s="122">
        <v>1.0</v>
      </c>
      <c r="G415" s="124">
        <f t="shared" si="61"/>
        <v>100000</v>
      </c>
      <c r="H415" s="126" t="str">
        <f t="array" ref="H415">INDEX('Panduan Gaji'!$Q:$Q,MATCH(D415,'Panduan Gaji'!$C:$C,0))</f>
        <v>GS</v>
      </c>
      <c r="I415" s="128" t="s">
        <v>138</v>
      </c>
      <c r="J415" s="308">
        <v>0.41875</v>
      </c>
      <c r="K415" s="308">
        <v>0.9201388888888888</v>
      </c>
      <c r="L415" s="119" t="s">
        <v>169</v>
      </c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ht="13.5" hidden="1" customHeight="1">
      <c r="A416" s="116">
        <f t="shared" si="56"/>
        <v>11</v>
      </c>
      <c r="B416" s="118">
        <v>46257.0</v>
      </c>
      <c r="C416" s="119"/>
      <c r="D416" s="120" t="str">
        <f t="shared" si="57"/>
        <v>Valen</v>
      </c>
      <c r="E416" s="121">
        <f>SUMIFS(SSOD!$C:$C,SSOD!$B:$B,Hitungan!D416,SSOD!$A:$A,Hitungan!C416)</f>
        <v>0</v>
      </c>
      <c r="F416" s="122"/>
      <c r="G416" s="124">
        <f t="shared" si="61"/>
        <v>0</v>
      </c>
      <c r="H416" s="126" t="str">
        <f t="array" ref="H416">INDEX('Panduan Gaji'!$Q:$Q,MATCH(D416,'Panduan Gaji'!$C:$C,0))</f>
        <v>GS</v>
      </c>
      <c r="I416" s="128" t="s">
        <v>138</v>
      </c>
      <c r="J416" s="308">
        <v>0.4159722222222222</v>
      </c>
      <c r="K416" s="308">
        <v>0.91875</v>
      </c>
      <c r="L416" s="119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 ht="15.75" hidden="1" customHeight="1">
      <c r="A417" s="116">
        <f t="shared" si="56"/>
        <v>11</v>
      </c>
      <c r="B417" s="118">
        <v>46258.0</v>
      </c>
      <c r="C417" s="119"/>
      <c r="D417" s="120" t="str">
        <f t="shared" si="57"/>
        <v>Valen</v>
      </c>
      <c r="E417" s="121">
        <f>SUMIFS(SSOD!$C:$C,SSOD!$B:$B,Hitungan!D417,SSOD!$A:$A,Hitungan!C417)</f>
        <v>0</v>
      </c>
      <c r="F417" s="122"/>
      <c r="G417" s="124">
        <f t="shared" si="61"/>
        <v>0</v>
      </c>
      <c r="H417" s="220" t="str">
        <f t="array" ref="H417">INDEX('Panduan Gaji'!$Q:$Q,MATCH(D417,'Panduan Gaji'!$C:$C,0))</f>
        <v>GS</v>
      </c>
      <c r="I417" s="128" t="s">
        <v>138</v>
      </c>
      <c r="J417" s="308">
        <v>0.41875</v>
      </c>
      <c r="K417" s="308"/>
      <c r="L417" s="119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ht="15.75" hidden="1" customHeight="1">
      <c r="A418" s="222"/>
      <c r="B418" s="223"/>
      <c r="C418" s="224"/>
      <c r="D418" s="225"/>
      <c r="E418" s="226"/>
      <c r="F418" s="227"/>
      <c r="G418" s="228"/>
      <c r="H418" s="229"/>
      <c r="I418" s="22"/>
      <c r="J418" s="230"/>
      <c r="K418" s="230"/>
      <c r="L418" s="224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ht="13.5" hidden="1" customHeight="1">
      <c r="A419" s="26">
        <v>12.0</v>
      </c>
      <c r="B419" s="28"/>
      <c r="C419" s="30" t="s">
        <v>6</v>
      </c>
      <c r="D419" s="33" t="s">
        <v>73</v>
      </c>
      <c r="E419" s="42">
        <f>SUMIFS(SSOD!$C:$C,SSOD!$B:$B,Hitungan!D419,SSOD!$A:$A,Hitungan!C419)</f>
        <v>1740000</v>
      </c>
      <c r="F419" s="44">
        <v>1.0</v>
      </c>
      <c r="G419" s="47">
        <f>(E419/24)*F421</f>
        <v>1305000</v>
      </c>
      <c r="H419" s="51" t="str">
        <f t="array" ref="H419">INDEX('Panduan Gaji'!$Q:$Q,MATCH(D419,'Panduan Gaji'!$C:$C,0))</f>
        <v>GS</v>
      </c>
      <c r="I419" s="53"/>
      <c r="J419" s="54"/>
      <c r="K419" s="54"/>
      <c r="L419" s="55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ht="13.5" hidden="1" customHeight="1">
      <c r="A420" s="26">
        <f t="shared" ref="A420:A458" si="62">A419</f>
        <v>12</v>
      </c>
      <c r="B420" s="28"/>
      <c r="C420" s="30" t="s">
        <v>17</v>
      </c>
      <c r="D420" s="33" t="str">
        <f t="shared" ref="D420:D458" si="63">D419</f>
        <v>Rifai</v>
      </c>
      <c r="E420" s="42">
        <f>SUMIFS(SSOD!$C:$C,SSOD!$B:$B,Hitungan!D420,SSOD!$A:$A,Hitungan!C420)</f>
        <v>0</v>
      </c>
      <c r="F420" s="44"/>
      <c r="G420" s="47">
        <f t="shared" ref="G420:G422" si="64">E420*F420</f>
        <v>0</v>
      </c>
      <c r="H420" s="51" t="str">
        <f t="array" ref="H420">INDEX('Panduan Gaji'!$Q:$Q,MATCH(D420,'Panduan Gaji'!$C:$C,0))</f>
        <v>GS</v>
      </c>
      <c r="I420" s="53"/>
      <c r="J420" s="54"/>
      <c r="K420" s="54"/>
      <c r="L420" s="55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ht="13.5" hidden="1" customHeight="1">
      <c r="A421" s="26">
        <f t="shared" si="62"/>
        <v>12</v>
      </c>
      <c r="B421" s="28"/>
      <c r="C421" s="30" t="s">
        <v>7</v>
      </c>
      <c r="D421" s="33" t="str">
        <f t="shared" si="63"/>
        <v>Rifai</v>
      </c>
      <c r="E421" s="42">
        <f>SUMIFS(SSOD!$C:$C,SSOD!$B:$B,Hitungan!D421,SSOD!$A:$A,Hitungan!C421)</f>
        <v>21000</v>
      </c>
      <c r="F421" s="44">
        <f t="shared" ref="F421:F422" si="65">SUMPRODUCT(--((($J$429:$J$458&lt;&gt;"")+($K$429:$K$458&lt;&gt;""))&gt;0))</f>
        <v>18</v>
      </c>
      <c r="G421" s="47">
        <f t="shared" si="64"/>
        <v>378000</v>
      </c>
      <c r="H421" s="51" t="str">
        <f t="array" ref="H421">INDEX('Panduan Gaji'!$Q:$Q,MATCH(D421,'Panduan Gaji'!$C:$C,0))</f>
        <v>GS</v>
      </c>
      <c r="I421" s="53"/>
      <c r="J421" s="88"/>
      <c r="K421" s="88"/>
      <c r="L421" s="55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ht="13.5" hidden="1" customHeight="1">
      <c r="A422" s="26">
        <f t="shared" si="62"/>
        <v>12</v>
      </c>
      <c r="B422" s="28"/>
      <c r="C422" s="30" t="s">
        <v>9</v>
      </c>
      <c r="D422" s="33" t="str">
        <f t="shared" si="63"/>
        <v>Rifai</v>
      </c>
      <c r="E422" s="42">
        <f>SUMIFS(SSOD!$C:$C,SSOD!$B:$B,Hitungan!D422,SSOD!$A:$A,Hitungan!C422)</f>
        <v>39150</v>
      </c>
      <c r="F422" s="44">
        <f t="shared" si="65"/>
        <v>18</v>
      </c>
      <c r="G422" s="47">
        <f t="shared" si="64"/>
        <v>704700</v>
      </c>
      <c r="H422" s="51" t="str">
        <f t="array" ref="H422">INDEX('Panduan Gaji'!$Q:$Q,MATCH(D422,'Panduan Gaji'!$C:$C,0))</f>
        <v>GS</v>
      </c>
      <c r="I422" s="53"/>
      <c r="J422" s="88"/>
      <c r="K422" s="88"/>
      <c r="L422" s="9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 ht="15.75" hidden="1" customHeight="1">
      <c r="A423" s="26">
        <f t="shared" si="62"/>
        <v>12</v>
      </c>
      <c r="B423" s="28"/>
      <c r="C423" s="30" t="s">
        <v>39</v>
      </c>
      <c r="D423" s="33" t="str">
        <f t="shared" si="63"/>
        <v>Rifai</v>
      </c>
      <c r="E423" s="42">
        <f>36820+487476</f>
        <v>524296</v>
      </c>
      <c r="F423" s="44">
        <v>1.0</v>
      </c>
      <c r="G423" s="47">
        <f>F423*E423</f>
        <v>524296</v>
      </c>
      <c r="H423" s="51" t="str">
        <f t="array" ref="H423">INDEX('Panduan Gaji'!$Q:$Q,MATCH(D423,'Panduan Gaji'!$C:$C,0))</f>
        <v>GS</v>
      </c>
      <c r="I423" s="53"/>
      <c r="J423" s="88"/>
      <c r="K423" s="88"/>
      <c r="L423" s="9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ht="15.75" hidden="1" customHeight="1">
      <c r="A424" s="26">
        <f t="shared" si="62"/>
        <v>12</v>
      </c>
      <c r="B424" s="28"/>
      <c r="C424" s="30" t="s">
        <v>12</v>
      </c>
      <c r="D424" s="33" t="str">
        <f t="shared" si="63"/>
        <v>Rifai</v>
      </c>
      <c r="E424" s="42">
        <f>SUMIFS(SSOD!$C:$C,SSOD!$B:$B,Hitungan!D424,SSOD!$A:$A,Hitungan!C424)</f>
        <v>13050</v>
      </c>
      <c r="F424" s="44">
        <f>SUMIF($C$429:$C$458,C424,$F$429:$F$458)</f>
        <v>0</v>
      </c>
      <c r="G424" s="47">
        <f t="shared" ref="G424:G425" si="66">E424*F424</f>
        <v>0</v>
      </c>
      <c r="H424" s="51" t="str">
        <f t="array" ref="H424">INDEX('Panduan Gaji'!$Q:$Q,MATCH(D424,'Panduan Gaji'!$C:$C,0))</f>
        <v>GS</v>
      </c>
      <c r="I424" s="53"/>
      <c r="J424" s="88"/>
      <c r="K424" s="88"/>
      <c r="L424" s="100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ht="15.75" hidden="1" customHeight="1">
      <c r="A425" s="26">
        <f t="shared" si="62"/>
        <v>12</v>
      </c>
      <c r="B425" s="28"/>
      <c r="C425" s="102" t="s">
        <v>30</v>
      </c>
      <c r="D425" s="33" t="str">
        <f t="shared" si="63"/>
        <v>Rifai</v>
      </c>
      <c r="E425" s="42">
        <f>SUMIFS(SSOD!$C:$C,SSOD!$B:$B,Hitungan!D425,SSOD!$A:$A,Hitungan!C425)</f>
        <v>13050</v>
      </c>
      <c r="F425" s="44">
        <f t="shared" ref="F425:F426" si="67">COUNTIF($C$429:$C$458,C425)</f>
        <v>0</v>
      </c>
      <c r="G425" s="47">
        <f t="shared" si="66"/>
        <v>0</v>
      </c>
      <c r="H425" s="51" t="str">
        <f t="array" ref="H425">INDEX('Panduan Gaji'!$Q:$Q,MATCH(D425,'Panduan Gaji'!$C:$C,0))</f>
        <v>GS</v>
      </c>
      <c r="I425" s="53"/>
      <c r="J425" s="105"/>
      <c r="K425" s="105"/>
      <c r="L425" s="10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ht="15.75" hidden="1" customHeight="1">
      <c r="A426" s="26">
        <f t="shared" si="62"/>
        <v>12</v>
      </c>
      <c r="B426" s="28"/>
      <c r="C426" s="30" t="s">
        <v>33</v>
      </c>
      <c r="D426" s="33" t="str">
        <f t="shared" si="63"/>
        <v>Rifai</v>
      </c>
      <c r="E426" s="42"/>
      <c r="F426" s="44">
        <f t="shared" si="67"/>
        <v>2</v>
      </c>
      <c r="G426" s="47">
        <f>SUMIF($C$429:$C$458,C426,$E$429:$E$458)</f>
        <v>235000</v>
      </c>
      <c r="H426" s="51" t="str">
        <f t="array" ref="H426">INDEX('Panduan Gaji'!$Q:$Q,MATCH(D426,'Panduan Gaji'!$C:$C,0))</f>
        <v>GS</v>
      </c>
      <c r="I426" s="53"/>
      <c r="J426" s="105"/>
      <c r="K426" s="105"/>
      <c r="L426" s="10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ht="15.75" hidden="1" customHeight="1">
      <c r="A427" s="26">
        <f t="shared" si="62"/>
        <v>12</v>
      </c>
      <c r="B427" s="28"/>
      <c r="C427" s="30" t="s">
        <v>83</v>
      </c>
      <c r="D427" s="33" t="str">
        <f t="shared" si="63"/>
        <v>Rifai</v>
      </c>
      <c r="E427" s="42"/>
      <c r="F427" s="44"/>
      <c r="G427" s="47"/>
      <c r="H427" s="51" t="str">
        <f t="array" ref="H427">INDEX('Panduan Gaji'!$Q:$Q,MATCH(D427,'Panduan Gaji'!$C:$C,0))</f>
        <v>GS</v>
      </c>
      <c r="I427" s="53"/>
      <c r="J427" s="105"/>
      <c r="K427" s="105"/>
      <c r="L427" s="10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ht="13.5" hidden="1" customHeight="1">
      <c r="A428" s="26">
        <f t="shared" si="62"/>
        <v>12</v>
      </c>
      <c r="B428" s="28"/>
      <c r="C428" s="30" t="s">
        <v>85</v>
      </c>
      <c r="D428" s="33" t="str">
        <f t="shared" si="63"/>
        <v>Rifai</v>
      </c>
      <c r="E428" s="42"/>
      <c r="F428" s="44"/>
      <c r="G428" s="47"/>
      <c r="H428" s="51" t="str">
        <f t="array" ref="H428">INDEX('Panduan Gaji'!$Q:$Q,MATCH(D428,'Panduan Gaji'!$C:$C,0))</f>
        <v>GS</v>
      </c>
      <c r="I428" s="53"/>
      <c r="J428" s="105"/>
      <c r="K428" s="105"/>
      <c r="L428" s="106"/>
      <c r="M428" s="56"/>
      <c r="N428" s="56"/>
      <c r="O428" s="22"/>
      <c r="P428" s="56"/>
      <c r="Q428" s="56"/>
      <c r="R428" s="56"/>
      <c r="S428" s="56"/>
      <c r="T428" s="56"/>
      <c r="U428" s="56"/>
      <c r="V428" s="56"/>
      <c r="W428" s="56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ht="13.5" hidden="1" customHeight="1">
      <c r="A429" s="116">
        <f t="shared" si="62"/>
        <v>12</v>
      </c>
      <c r="B429" s="118">
        <v>46229.0</v>
      </c>
      <c r="C429" s="119"/>
      <c r="D429" s="120" t="str">
        <f t="shared" si="63"/>
        <v>Rifai</v>
      </c>
      <c r="E429" s="121">
        <f>SUMIFS(SSOD!$C:$C,SSOD!$B:$B,Hitungan!D429,SSOD!$A:$A,Hitungan!C429)</f>
        <v>0</v>
      </c>
      <c r="F429" s="122"/>
      <c r="G429" s="124">
        <f t="shared" ref="G429:G458" si="68">E429*F429</f>
        <v>0</v>
      </c>
      <c r="H429" s="126" t="str">
        <f t="array" ref="H429">INDEX('Panduan Gaji'!$Q:$Q,MATCH(D429,'Panduan Gaji'!$C:$C,0))</f>
        <v>GS</v>
      </c>
      <c r="I429" s="128" t="s">
        <v>138</v>
      </c>
      <c r="J429" s="308">
        <v>0.4118055555555555</v>
      </c>
      <c r="K429" s="308">
        <v>0.9166666666666666</v>
      </c>
      <c r="L429" s="130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ht="13.5" hidden="1" customHeight="1">
      <c r="A430" s="116">
        <f t="shared" si="62"/>
        <v>12</v>
      </c>
      <c r="B430" s="118">
        <v>46230.0</v>
      </c>
      <c r="C430" s="119"/>
      <c r="D430" s="120" t="str">
        <f t="shared" si="63"/>
        <v>Rifai</v>
      </c>
      <c r="E430" s="121">
        <f>SUMIFS(SSOD!$C:$C,SSOD!$B:$B,Hitungan!D430,SSOD!$A:$A,Hitungan!C430)</f>
        <v>0</v>
      </c>
      <c r="F430" s="122"/>
      <c r="G430" s="124">
        <f t="shared" si="68"/>
        <v>0</v>
      </c>
      <c r="H430" s="126" t="str">
        <f t="array" ref="H430">INDEX('Panduan Gaji'!$Q:$Q,MATCH(D430,'Panduan Gaji'!$C:$C,0))</f>
        <v>GS</v>
      </c>
      <c r="I430" s="128" t="s">
        <v>138</v>
      </c>
      <c r="J430" s="308">
        <v>0.4166666666666667</v>
      </c>
      <c r="K430" s="308">
        <v>0.9166666666666666</v>
      </c>
      <c r="L430" s="138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ht="13.5" hidden="1" customHeight="1">
      <c r="A431" s="116">
        <f t="shared" si="62"/>
        <v>12</v>
      </c>
      <c r="B431" s="118">
        <v>46231.0</v>
      </c>
      <c r="C431" s="119"/>
      <c r="D431" s="120" t="str">
        <f t="shared" si="63"/>
        <v>Rifai</v>
      </c>
      <c r="E431" s="121">
        <f>SUMIFS(SSOD!$C:$C,SSOD!$B:$B,Hitungan!D431,SSOD!$A:$A,Hitungan!C431)</f>
        <v>0</v>
      </c>
      <c r="F431" s="122"/>
      <c r="G431" s="124">
        <f t="shared" si="68"/>
        <v>0</v>
      </c>
      <c r="H431" s="126" t="str">
        <f t="array" ref="H431">INDEX('Panduan Gaji'!$Q:$Q,MATCH(D431,'Panduan Gaji'!$C:$C,0))</f>
        <v>GS</v>
      </c>
      <c r="I431" s="128" t="s">
        <v>138</v>
      </c>
      <c r="J431" s="308">
        <v>0.4180555555555556</v>
      </c>
      <c r="K431" s="308">
        <v>0.9166666666666666</v>
      </c>
      <c r="L431" s="145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ht="13.5" hidden="1" customHeight="1">
      <c r="A432" s="116">
        <f t="shared" si="62"/>
        <v>12</v>
      </c>
      <c r="B432" s="118">
        <v>46232.0</v>
      </c>
      <c r="C432" s="146"/>
      <c r="D432" s="120" t="str">
        <f t="shared" si="63"/>
        <v>Rifai</v>
      </c>
      <c r="E432" s="147">
        <f>SUMIFS(SSOD!$C:$C,SSOD!$B:$B,Hitungan!D432,SSOD!$A:$A,Hitungan!C432)</f>
        <v>0</v>
      </c>
      <c r="F432" s="148"/>
      <c r="G432" s="124">
        <f t="shared" si="68"/>
        <v>0</v>
      </c>
      <c r="H432" s="126" t="str">
        <f t="array" ref="H432">INDEX('Panduan Gaji'!$Q:$Q,MATCH(D432,'Panduan Gaji'!$C:$C,0))</f>
        <v>GS</v>
      </c>
      <c r="I432" s="128" t="s">
        <v>138</v>
      </c>
      <c r="J432" s="308">
        <v>0.4152777777777778</v>
      </c>
      <c r="K432" s="308">
        <v>0.9166666666666666</v>
      </c>
      <c r="L432" s="153"/>
      <c r="M432" s="16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ht="13.5" hidden="1" customHeight="1">
      <c r="A433" s="116">
        <f t="shared" si="62"/>
        <v>12</v>
      </c>
      <c r="B433" s="118">
        <v>46233.0</v>
      </c>
      <c r="C433" s="119"/>
      <c r="D433" s="120" t="str">
        <f t="shared" si="63"/>
        <v>Rifai</v>
      </c>
      <c r="E433" s="121">
        <f>SUMIFS(SSOD!$C:$C,SSOD!$B:$B,Hitungan!D433,SSOD!$A:$A,Hitungan!C433)</f>
        <v>0</v>
      </c>
      <c r="F433" s="122"/>
      <c r="G433" s="124">
        <f t="shared" si="68"/>
        <v>0</v>
      </c>
      <c r="H433" s="126" t="str">
        <f t="array" ref="H433">INDEX('Panduan Gaji'!$Q:$Q,MATCH(D433,'Panduan Gaji'!$C:$C,0))</f>
        <v>GS</v>
      </c>
      <c r="I433" s="128" t="s">
        <v>138</v>
      </c>
      <c r="J433" s="308"/>
      <c r="K433" s="308"/>
      <c r="L433" s="164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ht="13.5" hidden="1" customHeight="1">
      <c r="A434" s="116">
        <f t="shared" si="62"/>
        <v>12</v>
      </c>
      <c r="B434" s="118">
        <v>46234.0</v>
      </c>
      <c r="C434" s="119"/>
      <c r="D434" s="120" t="str">
        <f t="shared" si="63"/>
        <v>Rifai</v>
      </c>
      <c r="E434" s="121">
        <f>SUMIFS(SSOD!$C:$C,SSOD!$B:$B,Hitungan!D434,SSOD!$A:$A,Hitungan!C434)</f>
        <v>0</v>
      </c>
      <c r="F434" s="122"/>
      <c r="G434" s="124">
        <f t="shared" si="68"/>
        <v>0</v>
      </c>
      <c r="H434" s="126" t="str">
        <f t="array" ref="H434">INDEX('Panduan Gaji'!$Q:$Q,MATCH(D434,'Panduan Gaji'!$C:$C,0))</f>
        <v>GS</v>
      </c>
      <c r="I434" s="128" t="s">
        <v>138</v>
      </c>
      <c r="J434" s="308">
        <v>0.4138888888888889</v>
      </c>
      <c r="K434" s="308">
        <v>0.9166666666666666</v>
      </c>
      <c r="L434" s="130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ht="13.5" hidden="1" customHeight="1">
      <c r="A435" s="116">
        <f t="shared" si="62"/>
        <v>12</v>
      </c>
      <c r="B435" s="118">
        <v>46235.0</v>
      </c>
      <c r="C435" s="119"/>
      <c r="D435" s="120" t="str">
        <f t="shared" si="63"/>
        <v>Rifai</v>
      </c>
      <c r="E435" s="121">
        <f>SUMIFS(SSOD!$C:$C,SSOD!$B:$B,Hitungan!D435,SSOD!$A:$A,Hitungan!C435)</f>
        <v>0</v>
      </c>
      <c r="F435" s="122"/>
      <c r="G435" s="124">
        <f t="shared" si="68"/>
        <v>0</v>
      </c>
      <c r="H435" s="126" t="str">
        <f t="array" ref="H435">INDEX('Panduan Gaji'!$Q:$Q,MATCH(D435,'Panduan Gaji'!$C:$C,0))</f>
        <v>GS</v>
      </c>
      <c r="I435" s="128" t="s">
        <v>138</v>
      </c>
      <c r="J435" s="309">
        <v>0.4159722222222222</v>
      </c>
      <c r="K435" s="308">
        <v>0.93125</v>
      </c>
      <c r="L435" s="145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ht="13.5" hidden="1" customHeight="1">
      <c r="A436" s="116">
        <f t="shared" si="62"/>
        <v>12</v>
      </c>
      <c r="B436" s="118">
        <v>46236.0</v>
      </c>
      <c r="C436" s="119"/>
      <c r="D436" s="120" t="str">
        <f t="shared" si="63"/>
        <v>Rifai</v>
      </c>
      <c r="E436" s="121">
        <v>0.0</v>
      </c>
      <c r="F436" s="122"/>
      <c r="G436" s="124">
        <f t="shared" si="68"/>
        <v>0</v>
      </c>
      <c r="H436" s="126" t="str">
        <f t="array" ref="H436">INDEX('Panduan Gaji'!$Q:$Q,MATCH(D436,'Panduan Gaji'!$C:$C,0))</f>
        <v>GS</v>
      </c>
      <c r="I436" s="128" t="s">
        <v>138</v>
      </c>
      <c r="J436" s="309">
        <v>0.4125</v>
      </c>
      <c r="K436" s="308">
        <v>0.91875</v>
      </c>
      <c r="L436" s="145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ht="13.5" hidden="1" customHeight="1">
      <c r="A437" s="116">
        <f t="shared" si="62"/>
        <v>12</v>
      </c>
      <c r="B437" s="118">
        <v>46237.0</v>
      </c>
      <c r="C437" s="119"/>
      <c r="D437" s="120" t="str">
        <f t="shared" si="63"/>
        <v>Rifai</v>
      </c>
      <c r="E437" s="121">
        <f>SUMIFS(SSOD!$C:$C,SSOD!$B:$B,Hitungan!D437,SSOD!$A:$A,Hitungan!C437)</f>
        <v>0</v>
      </c>
      <c r="F437" s="122"/>
      <c r="G437" s="124">
        <f t="shared" si="68"/>
        <v>0</v>
      </c>
      <c r="H437" s="126" t="str">
        <f t="array" ref="H437">INDEX('Panduan Gaji'!$Q:$Q,MATCH(D437,'Panduan Gaji'!$C:$C,0))</f>
        <v>GS</v>
      </c>
      <c r="I437" s="128" t="s">
        <v>138</v>
      </c>
      <c r="J437" s="309"/>
      <c r="K437" s="308"/>
      <c r="L437" s="145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ht="13.5" hidden="1" customHeight="1">
      <c r="A438" s="116">
        <f t="shared" si="62"/>
        <v>12</v>
      </c>
      <c r="B438" s="118">
        <v>46238.0</v>
      </c>
      <c r="C438" s="181"/>
      <c r="D438" s="120" t="str">
        <f t="shared" si="63"/>
        <v>Rifai</v>
      </c>
      <c r="E438" s="121">
        <f>SUMIFS(SSOD!$C:$C,SSOD!$B:$B,Hitungan!D438,SSOD!$A:$A,Hitungan!C438)</f>
        <v>0</v>
      </c>
      <c r="F438" s="182"/>
      <c r="G438" s="52">
        <f t="shared" si="68"/>
        <v>0</v>
      </c>
      <c r="H438" s="126" t="str">
        <f t="array" ref="H438">INDEX('Panduan Gaji'!$Q:$Q,MATCH(D438,'Panduan Gaji'!$C:$C,0))</f>
        <v>GS</v>
      </c>
      <c r="I438" s="128" t="s">
        <v>138</v>
      </c>
      <c r="J438" s="309">
        <v>0.4159722222222222</v>
      </c>
      <c r="K438" s="308">
        <v>0.9166666666666666</v>
      </c>
      <c r="L438" s="119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ht="13.5" hidden="1" customHeight="1">
      <c r="A439" s="116">
        <f t="shared" si="62"/>
        <v>12</v>
      </c>
      <c r="B439" s="118">
        <v>46239.0</v>
      </c>
      <c r="C439" s="119"/>
      <c r="D439" s="120" t="str">
        <f t="shared" si="63"/>
        <v>Rifai</v>
      </c>
      <c r="E439" s="121">
        <f>SUMIFS(SSOD!$C:$C,SSOD!$B:$B,Hitungan!D439,SSOD!$A:$A,Hitungan!C439)</f>
        <v>0</v>
      </c>
      <c r="F439" s="122"/>
      <c r="G439" s="124">
        <f t="shared" si="68"/>
        <v>0</v>
      </c>
      <c r="H439" s="126" t="str">
        <f t="array" ref="H439">INDEX('Panduan Gaji'!$Q:$Q,MATCH(D439,'Panduan Gaji'!$C:$C,0))</f>
        <v>GS</v>
      </c>
      <c r="I439" s="128" t="s">
        <v>138</v>
      </c>
      <c r="J439" s="309">
        <v>0.4173611111111111</v>
      </c>
      <c r="K439" s="308">
        <v>0.9166666666666666</v>
      </c>
      <c r="L439" s="145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ht="13.5" hidden="1" customHeight="1">
      <c r="A440" s="116">
        <f t="shared" si="62"/>
        <v>12</v>
      </c>
      <c r="B440" s="118">
        <v>46240.0</v>
      </c>
      <c r="C440" s="119"/>
      <c r="D440" s="120" t="str">
        <f t="shared" si="63"/>
        <v>Rifai</v>
      </c>
      <c r="E440" s="121">
        <f>SUMIFS(SSOD!$C:$C,SSOD!$B:$B,Hitungan!D440,SSOD!$A:$A,Hitungan!C440)</f>
        <v>0</v>
      </c>
      <c r="F440" s="122"/>
      <c r="G440" s="124">
        <f t="shared" si="68"/>
        <v>0</v>
      </c>
      <c r="H440" s="126" t="str">
        <f t="array" ref="H440">INDEX('Panduan Gaji'!$Q:$Q,MATCH(D440,'Panduan Gaji'!$C:$C,0))</f>
        <v>GS</v>
      </c>
      <c r="I440" s="128" t="s">
        <v>138</v>
      </c>
      <c r="J440" s="308">
        <v>0.4194444444444445</v>
      </c>
      <c r="K440" s="308">
        <v>0.9166666666666666</v>
      </c>
      <c r="L440" s="145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ht="13.5" hidden="1" customHeight="1">
      <c r="A441" s="116">
        <f t="shared" si="62"/>
        <v>12</v>
      </c>
      <c r="B441" s="118">
        <v>46241.0</v>
      </c>
      <c r="C441" s="119"/>
      <c r="D441" s="120" t="str">
        <f t="shared" si="63"/>
        <v>Rifai</v>
      </c>
      <c r="E441" s="121">
        <f>SUMIFS(SSOD!$C:$C,SSOD!$B:$B,Hitungan!D441,SSOD!$A:$A,Hitungan!C441)</f>
        <v>0</v>
      </c>
      <c r="F441" s="122"/>
      <c r="G441" s="124">
        <f t="shared" si="68"/>
        <v>0</v>
      </c>
      <c r="H441" s="126" t="str">
        <f t="array" ref="H441">INDEX('Panduan Gaji'!$Q:$Q,MATCH(D441,'Panduan Gaji'!$C:$C,0))</f>
        <v>GS</v>
      </c>
      <c r="I441" s="128" t="s">
        <v>138</v>
      </c>
      <c r="J441" s="308"/>
      <c r="K441" s="310"/>
      <c r="L441" s="119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ht="13.5" hidden="1" customHeight="1">
      <c r="A442" s="116">
        <f t="shared" si="62"/>
        <v>12</v>
      </c>
      <c r="B442" s="118">
        <v>46242.0</v>
      </c>
      <c r="C442" s="119" t="s">
        <v>33</v>
      </c>
      <c r="D442" s="120" t="str">
        <f t="shared" si="63"/>
        <v>Rifai</v>
      </c>
      <c r="E442" s="121">
        <v>35000.0</v>
      </c>
      <c r="F442" s="122">
        <v>1.0</v>
      </c>
      <c r="G442" s="124">
        <f t="shared" si="68"/>
        <v>35000</v>
      </c>
      <c r="H442" s="126" t="str">
        <f t="array" ref="H442">INDEX('Panduan Gaji'!$Q:$Q,MATCH(D442,'Panduan Gaji'!$C:$C,0))</f>
        <v>GS</v>
      </c>
      <c r="I442" s="128" t="s">
        <v>138</v>
      </c>
      <c r="J442" s="309">
        <v>0.4166666666666667</v>
      </c>
      <c r="K442" s="309">
        <v>0.9166666666666666</v>
      </c>
      <c r="L442" s="187" t="s">
        <v>171</v>
      </c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 ht="13.5" hidden="1" customHeight="1">
      <c r="A443" s="116">
        <f t="shared" si="62"/>
        <v>12</v>
      </c>
      <c r="B443" s="118">
        <v>46243.0</v>
      </c>
      <c r="C443" s="119"/>
      <c r="D443" s="120" t="str">
        <f t="shared" si="63"/>
        <v>Rifai</v>
      </c>
      <c r="E443" s="121">
        <f>SUMIFS(SSOD!$C:$C,SSOD!$B:$B,Hitungan!D443,SSOD!$A:$A,Hitungan!C443)</f>
        <v>0</v>
      </c>
      <c r="F443" s="122"/>
      <c r="G443" s="124">
        <f t="shared" si="68"/>
        <v>0</v>
      </c>
      <c r="H443" s="126" t="str">
        <f t="array" ref="H443">INDEX('Panduan Gaji'!$Q:$Q,MATCH(D443,'Panduan Gaji'!$C:$C,0))</f>
        <v>GS</v>
      </c>
      <c r="I443" s="128" t="s">
        <v>138</v>
      </c>
      <c r="J443" s="309">
        <v>0.4145833333333334</v>
      </c>
      <c r="K443" s="309">
        <v>0.9166666666666666</v>
      </c>
      <c r="L443" s="187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ht="13.5" hidden="1" customHeight="1">
      <c r="A444" s="116">
        <f t="shared" si="62"/>
        <v>12</v>
      </c>
      <c r="B444" s="118">
        <v>46244.0</v>
      </c>
      <c r="C444" s="119"/>
      <c r="D444" s="120" t="str">
        <f t="shared" si="63"/>
        <v>Rifai</v>
      </c>
      <c r="E444" s="121">
        <f>SUMIFS(SSOD!$C:$C,SSOD!$B:$B,Hitungan!D444,SSOD!$A:$A,Hitungan!C444)</f>
        <v>0</v>
      </c>
      <c r="F444" s="122"/>
      <c r="G444" s="124">
        <f t="shared" si="68"/>
        <v>0</v>
      </c>
      <c r="H444" s="126" t="str">
        <f t="array" ref="H444">INDEX('Panduan Gaji'!$Q:$Q,MATCH(D444,'Panduan Gaji'!$C:$C,0))</f>
        <v>GS</v>
      </c>
      <c r="I444" s="128" t="s">
        <v>138</v>
      </c>
      <c r="J444" s="309"/>
      <c r="K444" s="309"/>
      <c r="L444" s="187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ht="13.5" hidden="1" customHeight="1">
      <c r="A445" s="116">
        <f t="shared" si="62"/>
        <v>12</v>
      </c>
      <c r="B445" s="118">
        <v>46245.0</v>
      </c>
      <c r="C445" s="119"/>
      <c r="D445" s="120" t="str">
        <f t="shared" si="63"/>
        <v>Rifai</v>
      </c>
      <c r="E445" s="121">
        <f>SUMIFS(SSOD!$C:$C,SSOD!$B:$B,Hitungan!D445,SSOD!$A:$A,Hitungan!C445)</f>
        <v>0</v>
      </c>
      <c r="F445" s="122"/>
      <c r="G445" s="124">
        <f t="shared" si="68"/>
        <v>0</v>
      </c>
      <c r="H445" s="126" t="str">
        <f t="array" ref="H445">INDEX('Panduan Gaji'!$Q:$Q,MATCH(D445,'Panduan Gaji'!$C:$C,0))</f>
        <v>GS</v>
      </c>
      <c r="I445" s="128" t="s">
        <v>138</v>
      </c>
      <c r="J445" s="308"/>
      <c r="K445" s="308"/>
      <c r="L445" s="145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ht="13.5" hidden="1" customHeight="1">
      <c r="A446" s="116">
        <f t="shared" si="62"/>
        <v>12</v>
      </c>
      <c r="B446" s="118">
        <v>46246.0</v>
      </c>
      <c r="C446" s="119"/>
      <c r="D446" s="120" t="str">
        <f t="shared" si="63"/>
        <v>Rifai</v>
      </c>
      <c r="E446" s="121">
        <f>SUMIFS(SSOD!$C:$C,SSOD!$B:$B,Hitungan!D446,SSOD!$A:$A,Hitungan!C446)</f>
        <v>0</v>
      </c>
      <c r="F446" s="122"/>
      <c r="G446" s="124">
        <f t="shared" si="68"/>
        <v>0</v>
      </c>
      <c r="H446" s="126" t="str">
        <f t="array" ref="H446">INDEX('Panduan Gaji'!$Q:$Q,MATCH(D446,'Panduan Gaji'!$C:$C,0))</f>
        <v>GS</v>
      </c>
      <c r="I446" s="128" t="s">
        <v>138</v>
      </c>
      <c r="J446" s="308">
        <v>0.4166666666666667</v>
      </c>
      <c r="K446" s="308">
        <v>0.9166666666666666</v>
      </c>
      <c r="L446" s="145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 ht="13.5" hidden="1" customHeight="1">
      <c r="A447" s="116">
        <f t="shared" si="62"/>
        <v>12</v>
      </c>
      <c r="B447" s="118">
        <v>46247.0</v>
      </c>
      <c r="C447" s="119"/>
      <c r="D447" s="120" t="str">
        <f t="shared" si="63"/>
        <v>Rifai</v>
      </c>
      <c r="E447" s="121">
        <f>SUMIFS(SSOD!$C:$C,SSOD!$B:$B,Hitungan!D447,SSOD!$A:$A,Hitungan!C447)</f>
        <v>0</v>
      </c>
      <c r="F447" s="122"/>
      <c r="G447" s="124">
        <f t="shared" si="68"/>
        <v>0</v>
      </c>
      <c r="H447" s="126" t="str">
        <f t="array" ref="H447">INDEX('Panduan Gaji'!$Q:$Q,MATCH(D447,'Panduan Gaji'!$C:$C,0))</f>
        <v>GS</v>
      </c>
      <c r="I447" s="128" t="s">
        <v>138</v>
      </c>
      <c r="J447" s="308">
        <v>0.4173611111111111</v>
      </c>
      <c r="K447" s="308">
        <v>0.9166666666666666</v>
      </c>
      <c r="L447" s="145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ht="13.5" hidden="1" customHeight="1">
      <c r="A448" s="116">
        <f t="shared" si="62"/>
        <v>12</v>
      </c>
      <c r="B448" s="118">
        <v>46248.0</v>
      </c>
      <c r="C448" s="119"/>
      <c r="D448" s="120" t="str">
        <f t="shared" si="63"/>
        <v>Rifai</v>
      </c>
      <c r="E448" s="121">
        <f>SUMIFS(SSOD!$C:$C,SSOD!$B:$B,Hitungan!D448,SSOD!$A:$A,Hitungan!C448)</f>
        <v>0</v>
      </c>
      <c r="F448" s="122"/>
      <c r="G448" s="124">
        <f t="shared" si="68"/>
        <v>0</v>
      </c>
      <c r="H448" s="126" t="str">
        <f t="array" ref="H448">INDEX('Panduan Gaji'!$Q:$Q,MATCH(D448,'Panduan Gaji'!$C:$C,0))</f>
        <v>GS</v>
      </c>
      <c r="I448" s="128" t="s">
        <v>138</v>
      </c>
      <c r="J448" s="308">
        <v>0.4152777777777778</v>
      </c>
      <c r="K448" s="310">
        <v>0.9180555555555555</v>
      </c>
      <c r="L448" s="145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 ht="13.5" hidden="1" customHeight="1">
      <c r="A449" s="116">
        <f t="shared" si="62"/>
        <v>12</v>
      </c>
      <c r="B449" s="118">
        <v>46249.0</v>
      </c>
      <c r="C449" s="119"/>
      <c r="D449" s="120" t="str">
        <f t="shared" si="63"/>
        <v>Rifai</v>
      </c>
      <c r="E449" s="121">
        <f>SUMIFS(SSOD!$C:$C,SSOD!$B:$B,Hitungan!D449,SSOD!$A:$A,Hitungan!C449)</f>
        <v>0</v>
      </c>
      <c r="F449" s="122"/>
      <c r="G449" s="124">
        <f t="shared" si="68"/>
        <v>0</v>
      </c>
      <c r="H449" s="126" t="str">
        <f t="array" ref="H449">INDEX('Panduan Gaji'!$Q:$Q,MATCH(D449,'Panduan Gaji'!$C:$C,0))</f>
        <v>GS</v>
      </c>
      <c r="I449" s="128" t="s">
        <v>138</v>
      </c>
      <c r="J449" s="308">
        <v>0.41875</v>
      </c>
      <c r="K449" s="308">
        <v>0.9166666666666666</v>
      </c>
      <c r="L449" s="145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ht="13.5" hidden="1" customHeight="1">
      <c r="A450" s="116">
        <f t="shared" si="62"/>
        <v>12</v>
      </c>
      <c r="B450" s="118">
        <v>46250.0</v>
      </c>
      <c r="C450" s="119"/>
      <c r="D450" s="120" t="str">
        <f t="shared" si="63"/>
        <v>Rifai</v>
      </c>
      <c r="E450" s="121">
        <f>SUMIFS(SSOD!$C:$C,SSOD!$B:$B,Hitungan!D450,SSOD!$A:$A,Hitungan!C450)</f>
        <v>0</v>
      </c>
      <c r="F450" s="122"/>
      <c r="G450" s="124">
        <f t="shared" si="68"/>
        <v>0</v>
      </c>
      <c r="H450" s="126" t="str">
        <f t="array" ref="H450">INDEX('Panduan Gaji'!$Q:$Q,MATCH(D450,'Panduan Gaji'!$C:$C,0))</f>
        <v>GS</v>
      </c>
      <c r="I450" s="128" t="s">
        <v>138</v>
      </c>
      <c r="J450" s="308">
        <v>0.4159722222222222</v>
      </c>
      <c r="K450" s="308">
        <v>0.9173611111111111</v>
      </c>
      <c r="L450" s="145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ht="13.5" hidden="1" customHeight="1">
      <c r="A451" s="116">
        <f t="shared" si="62"/>
        <v>12</v>
      </c>
      <c r="B451" s="118">
        <v>46251.0</v>
      </c>
      <c r="C451" s="119"/>
      <c r="D451" s="120" t="str">
        <f t="shared" si="63"/>
        <v>Rifai</v>
      </c>
      <c r="E451" s="121">
        <f>SUMIFS(SSOD!$C:$C,SSOD!$B:$B,Hitungan!D451,SSOD!$A:$A,Hitungan!C451)</f>
        <v>0</v>
      </c>
      <c r="F451" s="122"/>
      <c r="G451" s="124">
        <f t="shared" si="68"/>
        <v>0</v>
      </c>
      <c r="H451" s="126" t="str">
        <f t="array" ref="H451">INDEX('Panduan Gaji'!$Q:$Q,MATCH(D451,'Panduan Gaji'!$C:$C,0))</f>
        <v>GS</v>
      </c>
      <c r="I451" s="128" t="s">
        <v>138</v>
      </c>
      <c r="J451" s="308">
        <v>0.4104166666666667</v>
      </c>
      <c r="K451" s="308">
        <v>0.9166666666666666</v>
      </c>
      <c r="L451" s="119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ht="13.5" hidden="1" customHeight="1">
      <c r="A452" s="116">
        <f t="shared" si="62"/>
        <v>12</v>
      </c>
      <c r="B452" s="118">
        <v>46252.0</v>
      </c>
      <c r="C452" s="119"/>
      <c r="D452" s="120" t="str">
        <f t="shared" si="63"/>
        <v>Rifai</v>
      </c>
      <c r="E452" s="121">
        <f>SUMIFS(SSOD!$C:$C,SSOD!$B:$B,Hitungan!D452,SSOD!$A:$A,Hitungan!C452)</f>
        <v>0</v>
      </c>
      <c r="F452" s="122"/>
      <c r="G452" s="124">
        <f t="shared" si="68"/>
        <v>0</v>
      </c>
      <c r="H452" s="126" t="str">
        <f t="array" ref="H452">INDEX('Panduan Gaji'!$Q:$Q,MATCH(D452,'Panduan Gaji'!$C:$C,0))</f>
        <v>GS</v>
      </c>
      <c r="I452" s="128" t="s">
        <v>138</v>
      </c>
      <c r="J452" s="308"/>
      <c r="K452" s="308"/>
      <c r="L452" s="119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 ht="13.5" hidden="1" customHeight="1">
      <c r="A453" s="116">
        <f t="shared" si="62"/>
        <v>12</v>
      </c>
      <c r="B453" s="118">
        <v>46253.0</v>
      </c>
      <c r="C453" s="119"/>
      <c r="D453" s="120" t="str">
        <f t="shared" si="63"/>
        <v>Rifai</v>
      </c>
      <c r="E453" s="121">
        <f>SUMIFS(SSOD!$C:$C,SSOD!$B:$B,Hitungan!D453,SSOD!$A:$A,Hitungan!C453)</f>
        <v>0</v>
      </c>
      <c r="F453" s="122"/>
      <c r="G453" s="124">
        <f t="shared" si="68"/>
        <v>0</v>
      </c>
      <c r="H453" s="126" t="str">
        <f t="array" ref="H453">INDEX('Panduan Gaji'!$Q:$Q,MATCH(D453,'Panduan Gaji'!$C:$C,0))</f>
        <v>GS</v>
      </c>
      <c r="I453" s="128" t="s">
        <v>138</v>
      </c>
      <c r="J453" s="308"/>
      <c r="K453" s="308"/>
      <c r="L453" s="119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ht="13.5" hidden="1" customHeight="1">
      <c r="A454" s="116">
        <f t="shared" si="62"/>
        <v>12</v>
      </c>
      <c r="B454" s="118">
        <v>46254.0</v>
      </c>
      <c r="C454" s="119"/>
      <c r="D454" s="120" t="str">
        <f t="shared" si="63"/>
        <v>Rifai</v>
      </c>
      <c r="E454" s="121">
        <f>SUMIFS(SSOD!$C:$C,SSOD!$B:$B,Hitungan!D454,SSOD!$A:$A,Hitungan!C454)</f>
        <v>0</v>
      </c>
      <c r="F454" s="122"/>
      <c r="G454" s="124">
        <f t="shared" si="68"/>
        <v>0</v>
      </c>
      <c r="H454" s="126" t="str">
        <f t="array" ref="H454">INDEX('Panduan Gaji'!$Q:$Q,MATCH(D454,'Panduan Gaji'!$C:$C,0))</f>
        <v>GS</v>
      </c>
      <c r="I454" s="128" t="s">
        <v>138</v>
      </c>
      <c r="J454" s="308"/>
      <c r="K454" s="308"/>
      <c r="L454" s="145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 ht="13.5" hidden="1" customHeight="1">
      <c r="A455" s="116">
        <f t="shared" si="62"/>
        <v>12</v>
      </c>
      <c r="B455" s="118">
        <v>46255.0</v>
      </c>
      <c r="C455" s="119"/>
      <c r="D455" s="120" t="str">
        <f t="shared" si="63"/>
        <v>Rifai</v>
      </c>
      <c r="E455" s="121">
        <f>SUMIFS(SSOD!$C:$C,SSOD!$B:$B,Hitungan!D455,SSOD!$A:$A,Hitungan!C455)</f>
        <v>0</v>
      </c>
      <c r="F455" s="122"/>
      <c r="G455" s="124">
        <f t="shared" si="68"/>
        <v>0</v>
      </c>
      <c r="H455" s="126" t="str">
        <f t="array" ref="H455">INDEX('Panduan Gaji'!$Q:$Q,MATCH(D455,'Panduan Gaji'!$C:$C,0))</f>
        <v>GS</v>
      </c>
      <c r="I455" s="128" t="s">
        <v>138</v>
      </c>
      <c r="J455" s="308"/>
      <c r="K455" s="308"/>
      <c r="L455" s="119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ht="13.5" hidden="1" customHeight="1">
      <c r="A456" s="116">
        <f t="shared" si="62"/>
        <v>12</v>
      </c>
      <c r="B456" s="118">
        <v>46256.0</v>
      </c>
      <c r="C456" s="119" t="s">
        <v>33</v>
      </c>
      <c r="D456" s="120" t="str">
        <f t="shared" si="63"/>
        <v>Rifai</v>
      </c>
      <c r="E456" s="121">
        <v>200000.0</v>
      </c>
      <c r="F456" s="122">
        <v>1.0</v>
      </c>
      <c r="G456" s="124">
        <f t="shared" si="68"/>
        <v>200000</v>
      </c>
      <c r="H456" s="126" t="str">
        <f t="array" ref="H456">INDEX('Panduan Gaji'!$Q:$Q,MATCH(D456,'Panduan Gaji'!$C:$C,0))</f>
        <v>GS</v>
      </c>
      <c r="I456" s="128" t="s">
        <v>138</v>
      </c>
      <c r="J456" s="308"/>
      <c r="K456" s="308"/>
      <c r="L456" s="119" t="s">
        <v>169</v>
      </c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ht="13.5" hidden="1" customHeight="1">
      <c r="A457" s="116">
        <f t="shared" si="62"/>
        <v>12</v>
      </c>
      <c r="B457" s="118">
        <v>46257.0</v>
      </c>
      <c r="C457" s="119"/>
      <c r="D457" s="120" t="str">
        <f t="shared" si="63"/>
        <v>Rifai</v>
      </c>
      <c r="E457" s="121">
        <f>SUMIFS(SSOD!$C:$C,SSOD!$B:$B,Hitungan!D457,SSOD!$A:$A,Hitungan!C457)</f>
        <v>0</v>
      </c>
      <c r="F457" s="122"/>
      <c r="G457" s="124">
        <f t="shared" si="68"/>
        <v>0</v>
      </c>
      <c r="H457" s="126" t="str">
        <f t="array" ref="H457">INDEX('Panduan Gaji'!$Q:$Q,MATCH(D457,'Panduan Gaji'!$C:$C,0))</f>
        <v>GS</v>
      </c>
      <c r="I457" s="128" t="s">
        <v>138</v>
      </c>
      <c r="J457" s="308"/>
      <c r="K457" s="308"/>
      <c r="L457" s="119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ht="15.75" hidden="1" customHeight="1">
      <c r="A458" s="116">
        <f t="shared" si="62"/>
        <v>12</v>
      </c>
      <c r="B458" s="118">
        <v>46258.0</v>
      </c>
      <c r="C458" s="119"/>
      <c r="D458" s="120" t="str">
        <f t="shared" si="63"/>
        <v>Rifai</v>
      </c>
      <c r="E458" s="121">
        <f>SUMIFS(SSOD!$C:$C,SSOD!$B:$B,Hitungan!D458,SSOD!$A:$A,Hitungan!C458)</f>
        <v>0</v>
      </c>
      <c r="F458" s="122"/>
      <c r="G458" s="124">
        <f t="shared" si="68"/>
        <v>0</v>
      </c>
      <c r="H458" s="220" t="str">
        <f t="array" ref="H458">INDEX('Panduan Gaji'!$Q:$Q,MATCH(D458,'Panduan Gaji'!$C:$C,0))</f>
        <v>GS</v>
      </c>
      <c r="I458" s="128" t="s">
        <v>138</v>
      </c>
      <c r="J458" s="308"/>
      <c r="K458" s="308"/>
      <c r="L458" s="119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ht="15.75" hidden="1" customHeight="1">
      <c r="A459" s="222"/>
      <c r="B459" s="223"/>
      <c r="C459" s="224"/>
      <c r="D459" s="225"/>
      <c r="E459" s="226"/>
      <c r="F459" s="227"/>
      <c r="G459" s="228"/>
      <c r="H459" s="229"/>
      <c r="I459" s="22"/>
      <c r="J459" s="230"/>
      <c r="K459" s="230"/>
      <c r="L459" s="224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ht="13.5" customHeight="1">
      <c r="A460" s="26">
        <v>13.0</v>
      </c>
      <c r="B460" s="28"/>
      <c r="C460" s="30" t="s">
        <v>6</v>
      </c>
      <c r="D460" s="33" t="s">
        <v>84</v>
      </c>
      <c r="E460" s="42">
        <f>SUMIFS(SSOD!$C:$C,SSOD!$B:$B,Hitungan!D460,SSOD!$A:$A,Hitungan!C460)</f>
        <v>1740000</v>
      </c>
      <c r="F460" s="44">
        <v>1.0</v>
      </c>
      <c r="G460" s="47">
        <f>(E460/24)*F462</f>
        <v>1377500</v>
      </c>
      <c r="H460" s="51" t="str">
        <f t="array" ref="H460">INDEX('Panduan Gaji'!$Q:$Q,MATCH(D460,'Panduan Gaji'!$C:$C,0))</f>
        <v>GS</v>
      </c>
      <c r="I460" s="53"/>
      <c r="J460" s="54"/>
      <c r="K460" s="54"/>
      <c r="L460" s="55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ht="13.5" customHeight="1">
      <c r="A461" s="26">
        <f t="shared" ref="A461:A500" si="69">A460</f>
        <v>13</v>
      </c>
      <c r="B461" s="28"/>
      <c r="C461" s="30" t="s">
        <v>17</v>
      </c>
      <c r="D461" s="33" t="str">
        <f t="shared" ref="D461:D500" si="70">D460</f>
        <v>Made</v>
      </c>
      <c r="E461" s="42">
        <f>SUMIFS(SSOD!$C:$C,SSOD!$B:$B,Hitungan!D461,SSOD!$A:$A,Hitungan!C461)</f>
        <v>0</v>
      </c>
      <c r="F461" s="44"/>
      <c r="G461" s="47">
        <f t="shared" ref="G461:G463" si="71">E461*F461</f>
        <v>0</v>
      </c>
      <c r="H461" s="51" t="str">
        <f t="array" ref="H461">INDEX('Panduan Gaji'!$Q:$Q,MATCH(D461,'Panduan Gaji'!$C:$C,0))</f>
        <v>GS</v>
      </c>
      <c r="I461" s="53"/>
      <c r="J461" s="54"/>
      <c r="K461" s="54"/>
      <c r="L461" s="55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ht="13.5" customHeight="1">
      <c r="A462" s="26">
        <f t="shared" si="69"/>
        <v>13</v>
      </c>
      <c r="B462" s="28"/>
      <c r="C462" s="30" t="s">
        <v>7</v>
      </c>
      <c r="D462" s="33" t="str">
        <f t="shared" si="70"/>
        <v>Made</v>
      </c>
      <c r="E462" s="42">
        <f>SUMIFS(SSOD!$C:$C,SSOD!$B:$B,Hitungan!D462,SSOD!$A:$A,Hitungan!C462)</f>
        <v>21000</v>
      </c>
      <c r="F462" s="44">
        <f t="shared" ref="F462:F463" si="72">SUMPRODUCT(--((($J$470:$J$500&lt;&gt;"")+($K$470:$K$500&lt;&gt;""))&gt;0))</f>
        <v>19</v>
      </c>
      <c r="G462" s="47">
        <f t="shared" si="71"/>
        <v>399000</v>
      </c>
      <c r="H462" s="51" t="str">
        <f t="array" ref="H462">INDEX('Panduan Gaji'!$Q:$Q,MATCH(D462,'Panduan Gaji'!$C:$C,0))</f>
        <v>GS</v>
      </c>
      <c r="I462" s="53"/>
      <c r="J462" s="88"/>
      <c r="K462" s="88"/>
      <c r="L462" s="55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ht="13.5" customHeight="1">
      <c r="A463" s="26">
        <f t="shared" si="69"/>
        <v>13</v>
      </c>
      <c r="B463" s="28"/>
      <c r="C463" s="30" t="s">
        <v>9</v>
      </c>
      <c r="D463" s="33" t="str">
        <f t="shared" si="70"/>
        <v>Made</v>
      </c>
      <c r="E463" s="42">
        <f>SUMIFS(SSOD!$C:$C,SSOD!$B:$B,Hitungan!D463,SSOD!$A:$A,Hitungan!C463)</f>
        <v>39150</v>
      </c>
      <c r="F463" s="44">
        <f t="shared" si="72"/>
        <v>19</v>
      </c>
      <c r="G463" s="47">
        <f t="shared" si="71"/>
        <v>743850</v>
      </c>
      <c r="H463" s="51" t="str">
        <f t="array" ref="H463">INDEX('Panduan Gaji'!$Q:$Q,MATCH(D463,'Panduan Gaji'!$C:$C,0))</f>
        <v>GS</v>
      </c>
      <c r="I463" s="53"/>
      <c r="J463" s="88"/>
      <c r="K463" s="88"/>
      <c r="L463" s="9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ht="15.75" customHeight="1">
      <c r="A464" s="26">
        <f t="shared" si="69"/>
        <v>13</v>
      </c>
      <c r="B464" s="28"/>
      <c r="C464" s="30" t="s">
        <v>39</v>
      </c>
      <c r="D464" s="33" t="str">
        <f t="shared" si="70"/>
        <v>Made</v>
      </c>
      <c r="E464" s="42">
        <v>321766.0</v>
      </c>
      <c r="F464" s="44">
        <v>1.0</v>
      </c>
      <c r="G464" s="47">
        <f>F464*E464</f>
        <v>321766</v>
      </c>
      <c r="H464" s="51" t="str">
        <f t="array" ref="H464">INDEX('Panduan Gaji'!$Q:$Q,MATCH(D464,'Panduan Gaji'!$C:$C,0))</f>
        <v>GS</v>
      </c>
      <c r="I464" s="53"/>
      <c r="J464" s="88"/>
      <c r="K464" s="88"/>
      <c r="L464" s="9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 ht="15.75" customHeight="1">
      <c r="A465" s="26">
        <f t="shared" si="69"/>
        <v>13</v>
      </c>
      <c r="B465" s="28"/>
      <c r="C465" s="30" t="s">
        <v>12</v>
      </c>
      <c r="D465" s="33" t="str">
        <f t="shared" si="70"/>
        <v>Made</v>
      </c>
      <c r="E465" s="42">
        <f>SUMIFS(SSOD!$C:$C,SSOD!$B:$B,Hitungan!D465,SSOD!$A:$A,Hitungan!C465)</f>
        <v>13050</v>
      </c>
      <c r="F465" s="44">
        <f>SUMIF($C$470:$C$500,C465,$F$470:$F$500)</f>
        <v>0</v>
      </c>
      <c r="G465" s="47">
        <f t="shared" ref="G465:G466" si="73">E465*F465</f>
        <v>0</v>
      </c>
      <c r="H465" s="51" t="str">
        <f t="array" ref="H465">INDEX('Panduan Gaji'!$Q:$Q,MATCH(D465,'Panduan Gaji'!$C:$C,0))</f>
        <v>GS</v>
      </c>
      <c r="I465" s="53"/>
      <c r="J465" s="88"/>
      <c r="K465" s="88"/>
      <c r="L465" s="100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ht="15.75" customHeight="1">
      <c r="A466" s="26">
        <f t="shared" si="69"/>
        <v>13</v>
      </c>
      <c r="B466" s="28"/>
      <c r="C466" s="102" t="s">
        <v>30</v>
      </c>
      <c r="D466" s="33" t="str">
        <f t="shared" si="70"/>
        <v>Made</v>
      </c>
      <c r="E466" s="42">
        <f>SUMIFS(SSOD!$C:$C,SSOD!$B:$B,Hitungan!D466,SSOD!$A:$A,Hitungan!C466)</f>
        <v>13050</v>
      </c>
      <c r="F466" s="44">
        <f t="shared" ref="F466:F467" si="74">COUNTIF($C$470:$C$500,C466)</f>
        <v>1</v>
      </c>
      <c r="G466" s="47">
        <f t="shared" si="73"/>
        <v>13050</v>
      </c>
      <c r="H466" s="51" t="str">
        <f t="array" ref="H466">INDEX('Panduan Gaji'!$Q:$Q,MATCH(D466,'Panduan Gaji'!$C:$C,0))</f>
        <v>GS</v>
      </c>
      <c r="I466" s="53"/>
      <c r="J466" s="105"/>
      <c r="K466" s="105"/>
      <c r="L466" s="10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 ht="15.75" customHeight="1">
      <c r="A467" s="26">
        <f t="shared" si="69"/>
        <v>13</v>
      </c>
      <c r="B467" s="28"/>
      <c r="C467" s="30" t="s">
        <v>33</v>
      </c>
      <c r="D467" s="33" t="str">
        <f t="shared" si="70"/>
        <v>Made</v>
      </c>
      <c r="E467" s="42"/>
      <c r="F467" s="44">
        <f t="shared" si="74"/>
        <v>3</v>
      </c>
      <c r="G467" s="47">
        <f>SUMIF($C$470:$C$500,C467,$E$470:$E$500)</f>
        <v>229000</v>
      </c>
      <c r="H467" s="51" t="str">
        <f t="array" ref="H467">INDEX('Panduan Gaji'!$Q:$Q,MATCH(D467,'Panduan Gaji'!$C:$C,0))</f>
        <v>GS</v>
      </c>
      <c r="I467" s="53"/>
      <c r="J467" s="105"/>
      <c r="K467" s="105"/>
      <c r="L467" s="10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ht="15.75" customHeight="1">
      <c r="A468" s="26">
        <f t="shared" si="69"/>
        <v>13</v>
      </c>
      <c r="B468" s="28"/>
      <c r="C468" s="30" t="s">
        <v>83</v>
      </c>
      <c r="D468" s="33" t="str">
        <f t="shared" si="70"/>
        <v>Made</v>
      </c>
      <c r="E468" s="42"/>
      <c r="F468" s="44"/>
      <c r="G468" s="47"/>
      <c r="H468" s="51" t="str">
        <f t="array" ref="H468">INDEX('Panduan Gaji'!$Q:$Q,MATCH(D468,'Panduan Gaji'!$C:$C,0))</f>
        <v>GS</v>
      </c>
      <c r="I468" s="53"/>
      <c r="J468" s="105"/>
      <c r="K468" s="105"/>
      <c r="L468" s="10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ht="13.5" customHeight="1">
      <c r="A469" s="26">
        <f t="shared" si="69"/>
        <v>13</v>
      </c>
      <c r="B469" s="28"/>
      <c r="C469" s="30" t="s">
        <v>85</v>
      </c>
      <c r="D469" s="33" t="str">
        <f t="shared" si="70"/>
        <v>Made</v>
      </c>
      <c r="E469" s="42"/>
      <c r="F469" s="44"/>
      <c r="G469" s="47"/>
      <c r="H469" s="51" t="str">
        <f t="array" ref="H469">INDEX('Panduan Gaji'!$Q:$Q,MATCH(D469,'Panduan Gaji'!$C:$C,0))</f>
        <v>GS</v>
      </c>
      <c r="I469" s="53"/>
      <c r="J469" s="105"/>
      <c r="K469" s="105"/>
      <c r="L469" s="106"/>
      <c r="M469" s="56"/>
      <c r="N469" s="56"/>
      <c r="O469" s="22"/>
      <c r="P469" s="56"/>
      <c r="Q469" s="56"/>
      <c r="R469" s="56"/>
      <c r="S469" s="56"/>
      <c r="T469" s="56"/>
      <c r="U469" s="56"/>
      <c r="V469" s="56"/>
      <c r="W469" s="56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ht="13.5" customHeight="1">
      <c r="A470" s="116">
        <f t="shared" si="69"/>
        <v>13</v>
      </c>
      <c r="B470" s="118">
        <v>46229.0</v>
      </c>
      <c r="C470" s="119"/>
      <c r="D470" s="120" t="str">
        <f t="shared" si="70"/>
        <v>Made</v>
      </c>
      <c r="E470" s="121">
        <f>SUMIFS(SSOD!$C:$C,SSOD!$B:$B,Hitungan!D470,SSOD!$A:$A,Hitungan!C470)</f>
        <v>0</v>
      </c>
      <c r="F470" s="122"/>
      <c r="G470" s="124">
        <f t="shared" ref="G470:G504" si="75">E470*F470</f>
        <v>0</v>
      </c>
      <c r="H470" s="126" t="str">
        <f t="array" ref="H470">INDEX('Panduan Gaji'!$Q:$Q,MATCH(D470,'Panduan Gaji'!$C:$C,0))</f>
        <v>GS</v>
      </c>
      <c r="I470" s="128" t="s">
        <v>138</v>
      </c>
      <c r="J470" s="308"/>
      <c r="K470" s="308"/>
      <c r="L470" s="130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 ht="13.5" customHeight="1">
      <c r="A471" s="116">
        <f t="shared" si="69"/>
        <v>13</v>
      </c>
      <c r="B471" s="118">
        <v>46230.0</v>
      </c>
      <c r="C471" s="119"/>
      <c r="D471" s="120" t="str">
        <f t="shared" si="70"/>
        <v>Made</v>
      </c>
      <c r="E471" s="121">
        <f>SUMIFS(SSOD!$C:$C,SSOD!$B:$B,Hitungan!D471,SSOD!$A:$A,Hitungan!C471)</f>
        <v>0</v>
      </c>
      <c r="F471" s="122"/>
      <c r="G471" s="124">
        <f t="shared" si="75"/>
        <v>0</v>
      </c>
      <c r="H471" s="126" t="str">
        <f t="array" ref="H471">INDEX('Panduan Gaji'!$Q:$Q,MATCH(D471,'Panduan Gaji'!$C:$C,0))</f>
        <v>GS</v>
      </c>
      <c r="I471" s="128" t="s">
        <v>138</v>
      </c>
      <c r="J471" s="308"/>
      <c r="K471" s="308"/>
      <c r="L471" s="138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ht="13.5" customHeight="1">
      <c r="A472" s="116">
        <f t="shared" si="69"/>
        <v>13</v>
      </c>
      <c r="B472" s="118">
        <v>46231.0</v>
      </c>
      <c r="C472" s="119"/>
      <c r="D472" s="120" t="str">
        <f t="shared" si="70"/>
        <v>Made</v>
      </c>
      <c r="E472" s="121">
        <f>SUMIFS(SSOD!$C:$C,SSOD!$B:$B,Hitungan!D472,SSOD!$A:$A,Hitungan!C472)</f>
        <v>0</v>
      </c>
      <c r="F472" s="122"/>
      <c r="G472" s="124">
        <f t="shared" si="75"/>
        <v>0</v>
      </c>
      <c r="H472" s="126" t="str">
        <f t="array" ref="H472">INDEX('Panduan Gaji'!$Q:$Q,MATCH(D472,'Panduan Gaji'!$C:$C,0))</f>
        <v>GS</v>
      </c>
      <c r="I472" s="128" t="s">
        <v>138</v>
      </c>
      <c r="J472" s="308"/>
      <c r="K472" s="308"/>
      <c r="L472" s="145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 ht="13.5" customHeight="1">
      <c r="A473" s="116">
        <f t="shared" si="69"/>
        <v>13</v>
      </c>
      <c r="B473" s="118">
        <v>46232.0</v>
      </c>
      <c r="C473" s="146"/>
      <c r="D473" s="120" t="str">
        <f t="shared" si="70"/>
        <v>Made</v>
      </c>
      <c r="E473" s="147">
        <f>SUMIFS(SSOD!$C:$C,SSOD!$B:$B,Hitungan!D473,SSOD!$A:$A,Hitungan!C473)</f>
        <v>0</v>
      </c>
      <c r="F473" s="148"/>
      <c r="G473" s="124">
        <f t="shared" si="75"/>
        <v>0</v>
      </c>
      <c r="H473" s="126" t="str">
        <f t="array" ref="H473">INDEX('Panduan Gaji'!$Q:$Q,MATCH(D473,'Panduan Gaji'!$C:$C,0))</f>
        <v>GS</v>
      </c>
      <c r="I473" s="128" t="s">
        <v>138</v>
      </c>
      <c r="J473" s="308"/>
      <c r="K473" s="308"/>
      <c r="L473" s="153"/>
      <c r="M473" s="16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ht="13.5" customHeight="1">
      <c r="A474" s="116">
        <f t="shared" si="69"/>
        <v>13</v>
      </c>
      <c r="B474" s="118">
        <v>46233.0</v>
      </c>
      <c r="C474" s="119"/>
      <c r="D474" s="120" t="str">
        <f t="shared" si="70"/>
        <v>Made</v>
      </c>
      <c r="E474" s="121">
        <f>SUMIFS(SSOD!$C:$C,SSOD!$B:$B,Hitungan!D474,SSOD!$A:$A,Hitungan!C474)</f>
        <v>0</v>
      </c>
      <c r="F474" s="122"/>
      <c r="G474" s="124">
        <f t="shared" si="75"/>
        <v>0</v>
      </c>
      <c r="H474" s="126" t="str">
        <f t="array" ref="H474">INDEX('Panduan Gaji'!$Q:$Q,MATCH(D474,'Panduan Gaji'!$C:$C,0))</f>
        <v>GS</v>
      </c>
      <c r="I474" s="128" t="s">
        <v>138</v>
      </c>
      <c r="J474" s="308">
        <v>0.4166666666666667</v>
      </c>
      <c r="K474" s="308">
        <v>0.9166666666666666</v>
      </c>
      <c r="L474" s="164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ht="13.5" customHeight="1">
      <c r="A475" s="116">
        <f t="shared" si="69"/>
        <v>13</v>
      </c>
      <c r="B475" s="118">
        <v>46234.0</v>
      </c>
      <c r="C475" s="119"/>
      <c r="D475" s="120" t="str">
        <f t="shared" si="70"/>
        <v>Made</v>
      </c>
      <c r="E475" s="121">
        <f>SUMIFS(SSOD!$C:$C,SSOD!$B:$B,Hitungan!D475,SSOD!$A:$A,Hitungan!C475)</f>
        <v>0</v>
      </c>
      <c r="F475" s="122"/>
      <c r="G475" s="124">
        <f t="shared" si="75"/>
        <v>0</v>
      </c>
      <c r="H475" s="126" t="str">
        <f t="array" ref="H475">INDEX('Panduan Gaji'!$Q:$Q,MATCH(D475,'Panduan Gaji'!$C:$C,0))</f>
        <v>GS</v>
      </c>
      <c r="I475" s="128" t="s">
        <v>138</v>
      </c>
      <c r="J475" s="308">
        <v>0.4166666666666667</v>
      </c>
      <c r="K475" s="308">
        <v>0.9166666666666666</v>
      </c>
      <c r="L475" s="130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ht="13.5" customHeight="1">
      <c r="A476" s="116">
        <f t="shared" si="69"/>
        <v>13</v>
      </c>
      <c r="B476" s="118">
        <v>46235.0</v>
      </c>
      <c r="C476" s="119"/>
      <c r="D476" s="120" t="str">
        <f t="shared" si="70"/>
        <v>Made</v>
      </c>
      <c r="E476" s="121">
        <f>SUMIFS(SSOD!$C:$C,SSOD!$B:$B,Hitungan!D476,SSOD!$A:$A,Hitungan!C476)</f>
        <v>0</v>
      </c>
      <c r="F476" s="122"/>
      <c r="G476" s="124">
        <f t="shared" si="75"/>
        <v>0</v>
      </c>
      <c r="H476" s="126" t="str">
        <f t="array" ref="H476">INDEX('Panduan Gaji'!$Q:$Q,MATCH(D476,'Panduan Gaji'!$C:$C,0))</f>
        <v>GS</v>
      </c>
      <c r="I476" s="128" t="s">
        <v>138</v>
      </c>
      <c r="J476" s="308">
        <v>0.4166666666666667</v>
      </c>
      <c r="K476" s="308">
        <v>0.9166666666666666</v>
      </c>
      <c r="L476" s="145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 ht="13.5" customHeight="1">
      <c r="A477" s="116">
        <f t="shared" si="69"/>
        <v>13</v>
      </c>
      <c r="B477" s="118">
        <v>46236.0</v>
      </c>
      <c r="C477" s="119"/>
      <c r="D477" s="120" t="str">
        <f t="shared" si="70"/>
        <v>Made</v>
      </c>
      <c r="E477" s="121">
        <v>0.0</v>
      </c>
      <c r="F477" s="122"/>
      <c r="G477" s="124">
        <f t="shared" si="75"/>
        <v>0</v>
      </c>
      <c r="H477" s="126" t="str">
        <f t="array" ref="H477">INDEX('Panduan Gaji'!$Q:$Q,MATCH(D477,'Panduan Gaji'!$C:$C,0))</f>
        <v>GS</v>
      </c>
      <c r="I477" s="128" t="s">
        <v>138</v>
      </c>
      <c r="J477" s="309"/>
      <c r="K477" s="308"/>
      <c r="L477" s="145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ht="13.5" customHeight="1">
      <c r="A478" s="116">
        <f t="shared" si="69"/>
        <v>13</v>
      </c>
      <c r="B478" s="118">
        <v>46237.0</v>
      </c>
      <c r="C478" s="119"/>
      <c r="D478" s="120" t="str">
        <f t="shared" si="70"/>
        <v>Made</v>
      </c>
      <c r="E478" s="121">
        <f>SUMIFS(SSOD!$C:$C,SSOD!$B:$B,Hitungan!D478,SSOD!$A:$A,Hitungan!C478)</f>
        <v>0</v>
      </c>
      <c r="F478" s="122"/>
      <c r="G478" s="124">
        <f t="shared" si="75"/>
        <v>0</v>
      </c>
      <c r="H478" s="126" t="str">
        <f t="array" ref="H478">INDEX('Panduan Gaji'!$Q:$Q,MATCH(D478,'Panduan Gaji'!$C:$C,0))</f>
        <v>GS</v>
      </c>
      <c r="I478" s="128" t="s">
        <v>138</v>
      </c>
      <c r="J478" s="309"/>
      <c r="K478" s="308"/>
      <c r="L478" s="145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 ht="13.5" customHeight="1">
      <c r="A479" s="116">
        <f t="shared" si="69"/>
        <v>13</v>
      </c>
      <c r="B479" s="118">
        <v>46238.0</v>
      </c>
      <c r="C479" s="181"/>
      <c r="D479" s="120" t="str">
        <f t="shared" si="70"/>
        <v>Made</v>
      </c>
      <c r="E479" s="121">
        <f>SUMIFS(SSOD!$C:$C,SSOD!$B:$B,Hitungan!D479,SSOD!$A:$A,Hitungan!C479)</f>
        <v>0</v>
      </c>
      <c r="F479" s="182"/>
      <c r="G479" s="52">
        <f t="shared" si="75"/>
        <v>0</v>
      </c>
      <c r="H479" s="126" t="str">
        <f t="array" ref="H479">INDEX('Panduan Gaji'!$Q:$Q,MATCH(D479,'Panduan Gaji'!$C:$C,0))</f>
        <v>GS</v>
      </c>
      <c r="I479" s="128" t="s">
        <v>138</v>
      </c>
      <c r="J479" s="308">
        <v>0.4166666666666667</v>
      </c>
      <c r="K479" s="308">
        <v>0.9166666666666666</v>
      </c>
      <c r="L479" s="119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ht="13.5" customHeight="1">
      <c r="A480" s="116">
        <f t="shared" si="69"/>
        <v>13</v>
      </c>
      <c r="B480" s="118">
        <v>46239.0</v>
      </c>
      <c r="C480" s="119"/>
      <c r="D480" s="120" t="str">
        <f t="shared" si="70"/>
        <v>Made</v>
      </c>
      <c r="E480" s="121">
        <f>SUMIFS(SSOD!$C:$C,SSOD!$B:$B,Hitungan!D480,SSOD!$A:$A,Hitungan!C480)</f>
        <v>0</v>
      </c>
      <c r="F480" s="122"/>
      <c r="G480" s="124">
        <f t="shared" si="75"/>
        <v>0</v>
      </c>
      <c r="H480" s="126" t="str">
        <f t="array" ref="H480">INDEX('Panduan Gaji'!$Q:$Q,MATCH(D480,'Panduan Gaji'!$C:$C,0))</f>
        <v>GS</v>
      </c>
      <c r="I480" s="128" t="s">
        <v>138</v>
      </c>
      <c r="J480" s="309"/>
      <c r="K480" s="308"/>
      <c r="L480" s="145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ht="13.5" customHeight="1">
      <c r="A481" s="116">
        <f t="shared" si="69"/>
        <v>13</v>
      </c>
      <c r="B481" s="118">
        <v>46240.0</v>
      </c>
      <c r="C481" s="119"/>
      <c r="D481" s="120" t="str">
        <f t="shared" si="70"/>
        <v>Made</v>
      </c>
      <c r="E481" s="121">
        <f>SUMIFS(SSOD!$C:$C,SSOD!$B:$B,Hitungan!D481,SSOD!$A:$A,Hitungan!C481)</f>
        <v>0</v>
      </c>
      <c r="F481" s="122"/>
      <c r="G481" s="124">
        <f t="shared" si="75"/>
        <v>0</v>
      </c>
      <c r="H481" s="126" t="str">
        <f t="array" ref="H481">INDEX('Panduan Gaji'!$Q:$Q,MATCH(D481,'Panduan Gaji'!$C:$C,0))</f>
        <v>GS</v>
      </c>
      <c r="I481" s="128" t="s">
        <v>138</v>
      </c>
      <c r="J481" s="308">
        <v>0.4166666666666667</v>
      </c>
      <c r="K481" s="308">
        <v>0.9166666666666666</v>
      </c>
      <c r="L481" s="145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ht="13.5" customHeight="1">
      <c r="A482" s="116">
        <f t="shared" si="69"/>
        <v>13</v>
      </c>
      <c r="B482" s="118">
        <v>46241.0</v>
      </c>
      <c r="C482" s="119"/>
      <c r="D482" s="120" t="str">
        <f t="shared" si="70"/>
        <v>Made</v>
      </c>
      <c r="E482" s="121">
        <f>SUMIFS(SSOD!$C:$C,SSOD!$B:$B,Hitungan!D482,SSOD!$A:$A,Hitungan!C482)</f>
        <v>0</v>
      </c>
      <c r="F482" s="122"/>
      <c r="G482" s="124">
        <f t="shared" si="75"/>
        <v>0</v>
      </c>
      <c r="H482" s="126" t="str">
        <f t="array" ref="H482">INDEX('Panduan Gaji'!$Q:$Q,MATCH(D482,'Panduan Gaji'!$C:$C,0))</f>
        <v>GS</v>
      </c>
      <c r="I482" s="128" t="s">
        <v>138</v>
      </c>
      <c r="J482" s="308">
        <v>0.4166666666666667</v>
      </c>
      <c r="K482" s="308">
        <v>0.9166666666666666</v>
      </c>
      <c r="L482" s="119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 ht="13.5" customHeight="1">
      <c r="A483" s="116">
        <f t="shared" si="69"/>
        <v>13</v>
      </c>
      <c r="B483" s="118">
        <v>46242.0</v>
      </c>
      <c r="C483" s="119"/>
      <c r="D483" s="120" t="str">
        <f t="shared" si="70"/>
        <v>Made</v>
      </c>
      <c r="E483" s="121">
        <f>SUMIFS(SSOD!$C:$C,SSOD!$B:$B,Hitungan!D483,SSOD!$A:$A,Hitungan!C483)</f>
        <v>0</v>
      </c>
      <c r="F483" s="122"/>
      <c r="G483" s="124">
        <f t="shared" si="75"/>
        <v>0</v>
      </c>
      <c r="H483" s="126" t="str">
        <f t="array" ref="H483">INDEX('Panduan Gaji'!$Q:$Q,MATCH(D483,'Panduan Gaji'!$C:$C,0))</f>
        <v>GS</v>
      </c>
      <c r="I483" s="128" t="s">
        <v>138</v>
      </c>
      <c r="J483" s="308">
        <v>0.4166666666666667</v>
      </c>
      <c r="K483" s="308">
        <v>0.9166666666666666</v>
      </c>
      <c r="L483" s="187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ht="13.5" customHeight="1">
      <c r="A484" s="116">
        <f t="shared" si="69"/>
        <v>13</v>
      </c>
      <c r="B484" s="118">
        <v>46243.0</v>
      </c>
      <c r="C484" s="119" t="s">
        <v>193</v>
      </c>
      <c r="D484" s="120" t="str">
        <f t="shared" si="70"/>
        <v>Made</v>
      </c>
      <c r="E484" s="121">
        <f>SUMIFS(SSOD!$C:$C,SSOD!$B:$B,Hitungan!D484,SSOD!$A:$A,Hitungan!C484)</f>
        <v>13050</v>
      </c>
      <c r="F484" s="122">
        <v>1.0</v>
      </c>
      <c r="G484" s="124">
        <f t="shared" si="75"/>
        <v>13050</v>
      </c>
      <c r="H484" s="126" t="str">
        <f t="array" ref="H484">INDEX('Panduan Gaji'!$Q:$Q,MATCH(D484,'Panduan Gaji'!$C:$C,0))</f>
        <v>GS</v>
      </c>
      <c r="I484" s="128" t="s">
        <v>138</v>
      </c>
      <c r="J484" s="312">
        <v>0.4208333333333333</v>
      </c>
      <c r="K484" s="308">
        <v>0.9166666666666666</v>
      </c>
      <c r="L484" s="187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 ht="13.5" customHeight="1">
      <c r="A485" s="116">
        <f t="shared" si="69"/>
        <v>13</v>
      </c>
      <c r="B485" s="118">
        <v>46244.0</v>
      </c>
      <c r="C485" s="119"/>
      <c r="D485" s="120" t="str">
        <f t="shared" si="70"/>
        <v>Made</v>
      </c>
      <c r="E485" s="121">
        <f>SUMIFS(SSOD!$C:$C,SSOD!$B:$B,Hitungan!D485,SSOD!$A:$A,Hitungan!C485)</f>
        <v>0</v>
      </c>
      <c r="F485" s="122"/>
      <c r="G485" s="124">
        <f t="shared" si="75"/>
        <v>0</v>
      </c>
      <c r="H485" s="126" t="str">
        <f t="array" ref="H485">INDEX('Panduan Gaji'!$Q:$Q,MATCH(D485,'Panduan Gaji'!$C:$C,0))</f>
        <v>GS</v>
      </c>
      <c r="I485" s="128" t="s">
        <v>138</v>
      </c>
      <c r="J485" s="309">
        <v>0.4166666666666667</v>
      </c>
      <c r="K485" s="308">
        <v>0.9166666666666666</v>
      </c>
      <c r="L485" s="187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ht="13.5" customHeight="1">
      <c r="A486" s="116">
        <f t="shared" si="69"/>
        <v>13</v>
      </c>
      <c r="B486" s="118">
        <v>46245.0</v>
      </c>
      <c r="C486" s="119" t="s">
        <v>33</v>
      </c>
      <c r="D486" s="120" t="str">
        <f t="shared" si="70"/>
        <v>Made</v>
      </c>
      <c r="E486" s="121">
        <v>14000.0</v>
      </c>
      <c r="F486" s="122">
        <v>1.0</v>
      </c>
      <c r="G486" s="124">
        <f t="shared" si="75"/>
        <v>14000</v>
      </c>
      <c r="H486" s="126" t="str">
        <f t="array" ref="H486">INDEX('Panduan Gaji'!$Q:$Q,MATCH(D486,'Panduan Gaji'!$C:$C,0))</f>
        <v>GS</v>
      </c>
      <c r="I486" s="128" t="s">
        <v>138</v>
      </c>
      <c r="J486" s="308">
        <v>0.4166666666666667</v>
      </c>
      <c r="K486" s="308">
        <v>0.9166666666666666</v>
      </c>
      <c r="L486" s="145" t="s">
        <v>194</v>
      </c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ht="13.5" customHeight="1">
      <c r="A487" s="116">
        <f t="shared" si="69"/>
        <v>13</v>
      </c>
      <c r="B487" s="118">
        <v>46246.0</v>
      </c>
      <c r="C487" s="119"/>
      <c r="D487" s="120" t="str">
        <f t="shared" si="70"/>
        <v>Made</v>
      </c>
      <c r="E487" s="121">
        <f>SUMIFS(SSOD!$C:$C,SSOD!$B:$B,Hitungan!D487,SSOD!$A:$A,Hitungan!C487)</f>
        <v>0</v>
      </c>
      <c r="F487" s="122"/>
      <c r="G487" s="124">
        <f t="shared" si="75"/>
        <v>0</v>
      </c>
      <c r="H487" s="126" t="str">
        <f t="array" ref="H487">INDEX('Panduan Gaji'!$Q:$Q,MATCH(D487,'Panduan Gaji'!$C:$C,0))</f>
        <v>GS</v>
      </c>
      <c r="I487" s="128" t="s">
        <v>138</v>
      </c>
      <c r="J487" s="308"/>
      <c r="K487" s="308"/>
      <c r="L487" s="145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ht="13.5" customHeight="1">
      <c r="A488" s="116">
        <f t="shared" si="69"/>
        <v>13</v>
      </c>
      <c r="B488" s="118">
        <v>46247.0</v>
      </c>
      <c r="C488" s="119"/>
      <c r="D488" s="120" t="str">
        <f t="shared" si="70"/>
        <v>Made</v>
      </c>
      <c r="E488" s="121">
        <f>SUMIFS(SSOD!$C:$C,SSOD!$B:$B,Hitungan!D488,SSOD!$A:$A,Hitungan!C488)</f>
        <v>0</v>
      </c>
      <c r="F488" s="122"/>
      <c r="G488" s="124">
        <f t="shared" si="75"/>
        <v>0</v>
      </c>
      <c r="H488" s="126" t="str">
        <f t="array" ref="H488">INDEX('Panduan Gaji'!$Q:$Q,MATCH(D488,'Panduan Gaji'!$C:$C,0))</f>
        <v>GS</v>
      </c>
      <c r="I488" s="128" t="s">
        <v>138</v>
      </c>
      <c r="J488" s="308">
        <v>0.4166666666666667</v>
      </c>
      <c r="K488" s="308">
        <v>0.9166666666666666</v>
      </c>
      <c r="L488" s="145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ht="13.5" customHeight="1">
      <c r="A489" s="116">
        <f t="shared" si="69"/>
        <v>13</v>
      </c>
      <c r="B489" s="118">
        <v>46248.0</v>
      </c>
      <c r="C489" s="119"/>
      <c r="D489" s="120" t="str">
        <f t="shared" si="70"/>
        <v>Made</v>
      </c>
      <c r="E489" s="121">
        <f>SUMIFS(SSOD!$C:$C,SSOD!$B:$B,Hitungan!D489,SSOD!$A:$A,Hitungan!C489)</f>
        <v>0</v>
      </c>
      <c r="F489" s="122"/>
      <c r="G489" s="124">
        <f t="shared" si="75"/>
        <v>0</v>
      </c>
      <c r="H489" s="126" t="str">
        <f t="array" ref="H489">INDEX('Panduan Gaji'!$Q:$Q,MATCH(D489,'Panduan Gaji'!$C:$C,0))</f>
        <v>GS</v>
      </c>
      <c r="I489" s="128" t="s">
        <v>138</v>
      </c>
      <c r="J489" s="308"/>
      <c r="K489" s="310"/>
      <c r="L489" s="145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ht="13.5" customHeight="1">
      <c r="A490" s="116">
        <f t="shared" si="69"/>
        <v>13</v>
      </c>
      <c r="B490" s="118">
        <v>46249.0</v>
      </c>
      <c r="C490" s="119"/>
      <c r="D490" s="120" t="str">
        <f t="shared" si="70"/>
        <v>Made</v>
      </c>
      <c r="E490" s="121">
        <f>SUMIFS(SSOD!$C:$C,SSOD!$B:$B,Hitungan!D490,SSOD!$A:$A,Hitungan!C490)</f>
        <v>0</v>
      </c>
      <c r="F490" s="122"/>
      <c r="G490" s="124">
        <f t="shared" si="75"/>
        <v>0</v>
      </c>
      <c r="H490" s="126" t="str">
        <f t="array" ref="H490">INDEX('Panduan Gaji'!$Q:$Q,MATCH(D490,'Panduan Gaji'!$C:$C,0))</f>
        <v>GS</v>
      </c>
      <c r="I490" s="128" t="s">
        <v>138</v>
      </c>
      <c r="J490" s="308">
        <v>0.4194444444444445</v>
      </c>
      <c r="K490" s="308">
        <v>0.9166666666666666</v>
      </c>
      <c r="L490" s="145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ht="13.5" customHeight="1">
      <c r="A491" s="116">
        <f t="shared" si="69"/>
        <v>13</v>
      </c>
      <c r="B491" s="118">
        <v>46250.0</v>
      </c>
      <c r="C491" s="119"/>
      <c r="D491" s="120" t="str">
        <f t="shared" si="70"/>
        <v>Made</v>
      </c>
      <c r="E491" s="121">
        <f>SUMIFS(SSOD!$C:$C,SSOD!$B:$B,Hitungan!D491,SSOD!$A:$A,Hitungan!C491)</f>
        <v>0</v>
      </c>
      <c r="F491" s="122"/>
      <c r="G491" s="124">
        <f t="shared" si="75"/>
        <v>0</v>
      </c>
      <c r="H491" s="126" t="str">
        <f t="array" ref="H491">INDEX('Panduan Gaji'!$Q:$Q,MATCH(D491,'Panduan Gaji'!$C:$C,0))</f>
        <v>GS</v>
      </c>
      <c r="I491" s="128" t="s">
        <v>138</v>
      </c>
      <c r="J491" s="308">
        <v>0.4159722222222222</v>
      </c>
      <c r="K491" s="308">
        <v>0.9166666666666666</v>
      </c>
      <c r="L491" s="145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ht="13.5" customHeight="1">
      <c r="A492" s="116">
        <f t="shared" si="69"/>
        <v>13</v>
      </c>
      <c r="B492" s="118">
        <v>46251.0</v>
      </c>
      <c r="C492" s="119"/>
      <c r="D492" s="120" t="str">
        <f t="shared" si="70"/>
        <v>Made</v>
      </c>
      <c r="E492" s="121">
        <f>SUMIFS(SSOD!$C:$C,SSOD!$B:$B,Hitungan!D492,SSOD!$A:$A,Hitungan!C492)</f>
        <v>0</v>
      </c>
      <c r="F492" s="122"/>
      <c r="G492" s="124">
        <f t="shared" si="75"/>
        <v>0</v>
      </c>
      <c r="H492" s="126" t="str">
        <f t="array" ref="H492">INDEX('Panduan Gaji'!$Q:$Q,MATCH(D492,'Panduan Gaji'!$C:$C,0))</f>
        <v>GS</v>
      </c>
      <c r="I492" s="128" t="s">
        <v>138</v>
      </c>
      <c r="J492" s="308"/>
      <c r="K492" s="308"/>
      <c r="L492" s="119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ht="13.5" customHeight="1">
      <c r="A493" s="116">
        <f t="shared" si="69"/>
        <v>13</v>
      </c>
      <c r="B493" s="118">
        <v>46252.0</v>
      </c>
      <c r="C493" s="119"/>
      <c r="D493" s="120" t="str">
        <f t="shared" si="70"/>
        <v>Made</v>
      </c>
      <c r="E493" s="121">
        <f>SUMIFS(SSOD!$C:$C,SSOD!$B:$B,Hitungan!D493,SSOD!$A:$A,Hitungan!C493)</f>
        <v>0</v>
      </c>
      <c r="F493" s="122"/>
      <c r="G493" s="124">
        <f t="shared" si="75"/>
        <v>0</v>
      </c>
      <c r="H493" s="126" t="str">
        <f t="array" ref="H493">INDEX('Panduan Gaji'!$Q:$Q,MATCH(D493,'Panduan Gaji'!$C:$C,0))</f>
        <v>GS</v>
      </c>
      <c r="I493" s="128" t="s">
        <v>138</v>
      </c>
      <c r="J493" s="308"/>
      <c r="K493" s="308"/>
      <c r="L493" s="119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ht="13.5" customHeight="1">
      <c r="A494" s="116">
        <f t="shared" si="69"/>
        <v>13</v>
      </c>
      <c r="B494" s="118">
        <v>46253.0</v>
      </c>
      <c r="C494" s="119"/>
      <c r="D494" s="120" t="str">
        <f t="shared" si="70"/>
        <v>Made</v>
      </c>
      <c r="E494" s="121">
        <f>SUMIFS(SSOD!$C:$C,SSOD!$B:$B,Hitungan!D494,SSOD!$A:$A,Hitungan!C494)</f>
        <v>0</v>
      </c>
      <c r="F494" s="122"/>
      <c r="G494" s="124">
        <f t="shared" si="75"/>
        <v>0</v>
      </c>
      <c r="H494" s="126" t="str">
        <f t="array" ref="H494">INDEX('Panduan Gaji'!$Q:$Q,MATCH(D494,'Panduan Gaji'!$C:$C,0))</f>
        <v>GS</v>
      </c>
      <c r="I494" s="128" t="s">
        <v>138</v>
      </c>
      <c r="J494" s="308">
        <v>0.4159722222222222</v>
      </c>
      <c r="K494" s="308">
        <v>0.9166666666666666</v>
      </c>
      <c r="L494" s="119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ht="13.5" customHeight="1">
      <c r="A495" s="116">
        <f t="shared" si="69"/>
        <v>13</v>
      </c>
      <c r="B495" s="118">
        <v>46254.0</v>
      </c>
      <c r="C495" s="119"/>
      <c r="D495" s="120" t="str">
        <f t="shared" si="70"/>
        <v>Made</v>
      </c>
      <c r="E495" s="121">
        <f>SUMIFS(SSOD!$C:$C,SSOD!$B:$B,Hitungan!D495,SSOD!$A:$A,Hitungan!C495)</f>
        <v>0</v>
      </c>
      <c r="F495" s="122"/>
      <c r="G495" s="124">
        <f t="shared" si="75"/>
        <v>0</v>
      </c>
      <c r="H495" s="126" t="str">
        <f t="array" ref="H495">INDEX('Panduan Gaji'!$Q:$Q,MATCH(D495,'Panduan Gaji'!$C:$C,0))</f>
        <v>GS</v>
      </c>
      <c r="I495" s="128" t="s">
        <v>138</v>
      </c>
      <c r="J495" s="308">
        <v>0.41875</v>
      </c>
      <c r="K495" s="308">
        <v>0.9166666666666666</v>
      </c>
      <c r="L495" s="145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ht="13.5" customHeight="1">
      <c r="A496" s="116">
        <f t="shared" si="69"/>
        <v>13</v>
      </c>
      <c r="B496" s="118">
        <v>46255.0</v>
      </c>
      <c r="C496" s="119"/>
      <c r="D496" s="120" t="str">
        <f t="shared" si="70"/>
        <v>Made</v>
      </c>
      <c r="E496" s="121">
        <f>SUMIFS(SSOD!$C:$C,SSOD!$B:$B,Hitungan!D496,SSOD!$A:$A,Hitungan!C496)</f>
        <v>0</v>
      </c>
      <c r="F496" s="122"/>
      <c r="G496" s="124">
        <f t="shared" si="75"/>
        <v>0</v>
      </c>
      <c r="H496" s="126" t="str">
        <f t="array" ref="H496">INDEX('Panduan Gaji'!$Q:$Q,MATCH(D496,'Panduan Gaji'!$C:$C,0))</f>
        <v>GS</v>
      </c>
      <c r="I496" s="128" t="s">
        <v>138</v>
      </c>
      <c r="J496" s="308">
        <v>0.4138888888888889</v>
      </c>
      <c r="K496" s="308">
        <v>0.9166666666666666</v>
      </c>
      <c r="L496" s="119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ht="13.5" customHeight="1">
      <c r="A497" s="116">
        <f t="shared" si="69"/>
        <v>13</v>
      </c>
      <c r="B497" s="118">
        <v>46256.0</v>
      </c>
      <c r="C497" s="119" t="s">
        <v>33</v>
      </c>
      <c r="D497" s="120" t="str">
        <f t="shared" si="70"/>
        <v>Made</v>
      </c>
      <c r="E497" s="121">
        <v>200000.0</v>
      </c>
      <c r="F497" s="122">
        <v>1.0</v>
      </c>
      <c r="G497" s="124">
        <f t="shared" si="75"/>
        <v>200000</v>
      </c>
      <c r="H497" s="126" t="str">
        <f t="array" ref="H497">INDEX('Panduan Gaji'!$Q:$Q,MATCH(D497,'Panduan Gaji'!$C:$C,0))</f>
        <v>GS</v>
      </c>
      <c r="I497" s="128" t="s">
        <v>138</v>
      </c>
      <c r="J497" s="308">
        <v>0.4138888888888889</v>
      </c>
      <c r="K497" s="308">
        <v>0.9173611111111111</v>
      </c>
      <c r="L497" s="119" t="s">
        <v>169</v>
      </c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ht="13.5" customHeight="1">
      <c r="A498" s="116">
        <f t="shared" si="69"/>
        <v>13</v>
      </c>
      <c r="B498" s="118"/>
      <c r="C498" s="119" t="s">
        <v>33</v>
      </c>
      <c r="D498" s="120" t="str">
        <f t="shared" si="70"/>
        <v>Made</v>
      </c>
      <c r="E498" s="121">
        <v>15000.0</v>
      </c>
      <c r="F498" s="122">
        <v>1.0</v>
      </c>
      <c r="G498" s="124">
        <f t="shared" si="75"/>
        <v>15000</v>
      </c>
      <c r="H498" s="126" t="str">
        <f t="array" ref="H498">INDEX('Panduan Gaji'!$Q:$Q,MATCH(D498,'Panduan Gaji'!$C:$C,0))</f>
        <v>GS</v>
      </c>
      <c r="I498" s="128"/>
      <c r="J498" s="308"/>
      <c r="K498" s="308"/>
      <c r="L498" s="119" t="s">
        <v>195</v>
      </c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ht="13.5" customHeight="1">
      <c r="A499" s="116">
        <f t="shared" si="69"/>
        <v>13</v>
      </c>
      <c r="B499" s="118">
        <v>46257.0</v>
      </c>
      <c r="C499" s="119"/>
      <c r="D499" s="120" t="str">
        <f t="shared" si="70"/>
        <v>Made</v>
      </c>
      <c r="E499" s="121">
        <f>SUMIFS(SSOD!$C:$C,SSOD!$B:$B,Hitungan!D499,SSOD!$A:$A,Hitungan!C499)</f>
        <v>0</v>
      </c>
      <c r="F499" s="122"/>
      <c r="G499" s="124">
        <f t="shared" si="75"/>
        <v>0</v>
      </c>
      <c r="H499" s="126" t="str">
        <f t="array" ref="H499">INDEX('Panduan Gaji'!$Q:$Q,MATCH(D499,'Panduan Gaji'!$C:$C,0))</f>
        <v>GS</v>
      </c>
      <c r="I499" s="128" t="s">
        <v>138</v>
      </c>
      <c r="J499" s="308">
        <v>0.41875</v>
      </c>
      <c r="K499" s="308">
        <v>0.9180555555555555</v>
      </c>
      <c r="L499" s="119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ht="15.75" customHeight="1">
      <c r="A500" s="116">
        <f t="shared" si="69"/>
        <v>13</v>
      </c>
      <c r="B500" s="118">
        <v>46258.0</v>
      </c>
      <c r="C500" s="119"/>
      <c r="D500" s="120" t="str">
        <f t="shared" si="70"/>
        <v>Made</v>
      </c>
      <c r="E500" s="121">
        <f>SUMIFS(SSOD!$C:$C,SSOD!$B:$B,Hitungan!D500,SSOD!$A:$A,Hitungan!C500)</f>
        <v>0</v>
      </c>
      <c r="F500" s="122"/>
      <c r="G500" s="124">
        <f t="shared" si="75"/>
        <v>0</v>
      </c>
      <c r="H500" s="220" t="str">
        <f t="array" ref="H500">INDEX('Panduan Gaji'!$Q:$Q,MATCH(D500,'Panduan Gaji'!$C:$C,0))</f>
        <v>GS</v>
      </c>
      <c r="I500" s="128" t="s">
        <v>138</v>
      </c>
      <c r="J500" s="308">
        <v>0.4201388888888889</v>
      </c>
      <c r="K500" s="308"/>
      <c r="L500" s="119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 ht="13.5" hidden="1" customHeight="1">
      <c r="A501" s="26">
        <v>14.0</v>
      </c>
      <c r="B501" s="28"/>
      <c r="C501" s="30" t="s">
        <v>6</v>
      </c>
      <c r="D501" s="33" t="s">
        <v>79</v>
      </c>
      <c r="E501" s="42">
        <f>SUMIFS(SSOD!$C:$C,SSOD!$B:$B,Hitungan!D501,SSOD!$A:$A,Hitungan!C501)</f>
        <v>0</v>
      </c>
      <c r="F501" s="44">
        <v>1.0</v>
      </c>
      <c r="G501" s="47">
        <f t="shared" si="75"/>
        <v>0</v>
      </c>
      <c r="H501" s="51" t="str">
        <f t="array" ref="H501">INDEX('Panduan Gaji'!$Q:$Q,MATCH(D501,'Panduan Gaji'!$C:$C,0))</f>
        <v>GS</v>
      </c>
      <c r="I501" s="53"/>
      <c r="J501" s="54"/>
      <c r="K501" s="54"/>
      <c r="L501" s="55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ht="13.5" hidden="1" customHeight="1">
      <c r="A502" s="26">
        <f t="shared" ref="A502:A540" si="76">A501</f>
        <v>14</v>
      </c>
      <c r="B502" s="28"/>
      <c r="C502" s="30" t="s">
        <v>17</v>
      </c>
      <c r="D502" s="33" t="str">
        <f t="shared" ref="D502:D540" si="77">D501</f>
        <v>Nur Andika</v>
      </c>
      <c r="E502" s="42">
        <f>SUMIFS(SSOD!$C:$C,SSOD!$B:$B,Hitungan!D502,SSOD!$A:$A,Hitungan!C502)</f>
        <v>150000</v>
      </c>
      <c r="F502" s="44">
        <f t="shared" ref="F502:F504" si="78">SUMPRODUCT(--((($J$511:$J$540&lt;&gt;"")+($K$511:$K$540&lt;&gt;""))&gt;0))</f>
        <v>1</v>
      </c>
      <c r="G502" s="47">
        <f t="shared" si="75"/>
        <v>150000</v>
      </c>
      <c r="H502" s="51" t="str">
        <f t="array" ref="H502">INDEX('Panduan Gaji'!$Q:$Q,MATCH(D502,'Panduan Gaji'!$C:$C,0))</f>
        <v>GS</v>
      </c>
      <c r="I502" s="53"/>
      <c r="J502" s="54"/>
      <c r="K502" s="54"/>
      <c r="L502" s="55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 ht="13.5" hidden="1" customHeight="1">
      <c r="A503" s="26">
        <f t="shared" si="76"/>
        <v>14</v>
      </c>
      <c r="B503" s="28"/>
      <c r="C503" s="30" t="s">
        <v>7</v>
      </c>
      <c r="D503" s="33" t="str">
        <f t="shared" si="77"/>
        <v>Nur Andika</v>
      </c>
      <c r="E503" s="42">
        <f>SUMIFS(SSOD!$C:$C,SSOD!$B:$B,Hitungan!D503,SSOD!$A:$A,Hitungan!C503)</f>
        <v>0</v>
      </c>
      <c r="F503" s="44">
        <f t="shared" si="78"/>
        <v>1</v>
      </c>
      <c r="G503" s="47">
        <f t="shared" si="75"/>
        <v>0</v>
      </c>
      <c r="H503" s="51" t="str">
        <f t="array" ref="H503">INDEX('Panduan Gaji'!$Q:$Q,MATCH(D503,'Panduan Gaji'!$C:$C,0))</f>
        <v>GS</v>
      </c>
      <c r="I503" s="53"/>
      <c r="J503" s="88"/>
      <c r="K503" s="88"/>
      <c r="L503" s="55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ht="13.5" hidden="1" customHeight="1">
      <c r="A504" s="26">
        <f t="shared" si="76"/>
        <v>14</v>
      </c>
      <c r="B504" s="28"/>
      <c r="C504" s="30" t="s">
        <v>9</v>
      </c>
      <c r="D504" s="33" t="str">
        <f t="shared" si="77"/>
        <v>Nur Andika</v>
      </c>
      <c r="E504" s="42">
        <f>SUMIFS(SSOD!$C:$C,SSOD!$B:$B,Hitungan!D504,SSOD!$A:$A,Hitungan!C504)</f>
        <v>0</v>
      </c>
      <c r="F504" s="44">
        <f t="shared" si="78"/>
        <v>1</v>
      </c>
      <c r="G504" s="47">
        <f t="shared" si="75"/>
        <v>0</v>
      </c>
      <c r="H504" s="51" t="str">
        <f t="array" ref="H504">INDEX('Panduan Gaji'!$Q:$Q,MATCH(D504,'Panduan Gaji'!$C:$C,0))</f>
        <v>GS</v>
      </c>
      <c r="I504" s="53"/>
      <c r="J504" s="88"/>
      <c r="K504" s="88"/>
      <c r="L504" s="9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ht="15.75" hidden="1" customHeight="1">
      <c r="A505" s="26">
        <f t="shared" si="76"/>
        <v>14</v>
      </c>
      <c r="B505" s="28"/>
      <c r="C505" s="30" t="s">
        <v>39</v>
      </c>
      <c r="D505" s="33" t="str">
        <f t="shared" si="77"/>
        <v>Nur Andika</v>
      </c>
      <c r="E505" s="42"/>
      <c r="F505" s="44">
        <v>1.0</v>
      </c>
      <c r="G505" s="47">
        <f>F505*E505</f>
        <v>0</v>
      </c>
      <c r="H505" s="51" t="str">
        <f t="array" ref="H505">INDEX('Panduan Gaji'!$Q:$Q,MATCH(D505,'Panduan Gaji'!$C:$C,0))</f>
        <v>GS</v>
      </c>
      <c r="I505" s="53"/>
      <c r="J505" s="88"/>
      <c r="K505" s="88"/>
      <c r="L505" s="9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ht="15.75" hidden="1" customHeight="1">
      <c r="A506" s="26">
        <f t="shared" si="76"/>
        <v>14</v>
      </c>
      <c r="B506" s="28"/>
      <c r="C506" s="30" t="s">
        <v>12</v>
      </c>
      <c r="D506" s="33" t="str">
        <f t="shared" si="77"/>
        <v>Nur Andika</v>
      </c>
      <c r="E506" s="42">
        <f>SUMIFS(SSOD!$C:$C,SSOD!$B:$B,Hitungan!D506,SSOD!$A:$A,Hitungan!C506)</f>
        <v>15000</v>
      </c>
      <c r="F506" s="44">
        <f>SUMIF($C$511:$C$540,C506,$F$511:$F$540)</f>
        <v>0</v>
      </c>
      <c r="G506" s="47">
        <f t="shared" ref="G506:G507" si="79">E506*F506</f>
        <v>0</v>
      </c>
      <c r="H506" s="51" t="str">
        <f t="array" ref="H506">INDEX('Panduan Gaji'!$Q:$Q,MATCH(D506,'Panduan Gaji'!$C:$C,0))</f>
        <v>GS</v>
      </c>
      <c r="I506" s="53"/>
      <c r="J506" s="88"/>
      <c r="K506" s="88"/>
      <c r="L506" s="100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 ht="15.75" hidden="1" customHeight="1">
      <c r="A507" s="26">
        <f t="shared" si="76"/>
        <v>14</v>
      </c>
      <c r="B507" s="28"/>
      <c r="C507" s="102" t="s">
        <v>30</v>
      </c>
      <c r="D507" s="33" t="str">
        <f t="shared" si="77"/>
        <v>Nur Andika</v>
      </c>
      <c r="E507" s="42">
        <f>SUMIFS(SSOD!$C:$C,SSOD!$B:$B,Hitungan!D507,SSOD!$A:$A,Hitungan!C507)</f>
        <v>12500</v>
      </c>
      <c r="F507" s="44">
        <f t="shared" ref="F507:F508" si="80">COUNTIF($C$511:$C$540,C507)</f>
        <v>0</v>
      </c>
      <c r="G507" s="47">
        <f t="shared" si="79"/>
        <v>0</v>
      </c>
      <c r="H507" s="51" t="str">
        <f t="array" ref="H507">INDEX('Panduan Gaji'!$Q:$Q,MATCH(D507,'Panduan Gaji'!$C:$C,0))</f>
        <v>GS</v>
      </c>
      <c r="I507" s="53"/>
      <c r="J507" s="105"/>
      <c r="K507" s="105"/>
      <c r="L507" s="10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ht="15.75" hidden="1" customHeight="1">
      <c r="A508" s="26">
        <f t="shared" si="76"/>
        <v>14</v>
      </c>
      <c r="B508" s="28"/>
      <c r="C508" s="30" t="s">
        <v>33</v>
      </c>
      <c r="D508" s="33" t="str">
        <f t="shared" si="77"/>
        <v>Nur Andika</v>
      </c>
      <c r="E508" s="42"/>
      <c r="F508" s="44">
        <f t="shared" si="80"/>
        <v>0</v>
      </c>
      <c r="G508" s="47">
        <f>SUMIF($C$511:$C$540,C508,$E$511:$E$540)</f>
        <v>0</v>
      </c>
      <c r="H508" s="51" t="str">
        <f t="array" ref="H508">INDEX('Panduan Gaji'!$Q:$Q,MATCH(D508,'Panduan Gaji'!$C:$C,0))</f>
        <v>GS</v>
      </c>
      <c r="I508" s="53"/>
      <c r="J508" s="105"/>
      <c r="K508" s="105"/>
      <c r="L508" s="10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ht="15.75" hidden="1" customHeight="1">
      <c r="A509" s="26">
        <f t="shared" si="76"/>
        <v>14</v>
      </c>
      <c r="B509" s="28"/>
      <c r="C509" s="30" t="s">
        <v>83</v>
      </c>
      <c r="D509" s="33" t="str">
        <f t="shared" si="77"/>
        <v>Nur Andika</v>
      </c>
      <c r="E509" s="42"/>
      <c r="F509" s="44"/>
      <c r="G509" s="47"/>
      <c r="H509" s="51" t="str">
        <f t="array" ref="H509">INDEX('Panduan Gaji'!$Q:$Q,MATCH(D509,'Panduan Gaji'!$C:$C,0))</f>
        <v>GS</v>
      </c>
      <c r="I509" s="53"/>
      <c r="J509" s="105"/>
      <c r="K509" s="105"/>
      <c r="L509" s="10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ht="13.5" hidden="1" customHeight="1">
      <c r="A510" s="26">
        <f t="shared" si="76"/>
        <v>14</v>
      </c>
      <c r="B510" s="28"/>
      <c r="C510" s="30" t="s">
        <v>85</v>
      </c>
      <c r="D510" s="33" t="str">
        <f t="shared" si="77"/>
        <v>Nur Andika</v>
      </c>
      <c r="E510" s="42"/>
      <c r="F510" s="44"/>
      <c r="G510" s="47"/>
      <c r="H510" s="51" t="str">
        <f t="array" ref="H510">INDEX('Panduan Gaji'!$Q:$Q,MATCH(D510,'Panduan Gaji'!$C:$C,0))</f>
        <v>GS</v>
      </c>
      <c r="I510" s="53"/>
      <c r="J510" s="105"/>
      <c r="K510" s="105"/>
      <c r="L510" s="106"/>
      <c r="M510" s="56"/>
      <c r="N510" s="56"/>
      <c r="O510" s="22"/>
      <c r="P510" s="56"/>
      <c r="Q510" s="56"/>
      <c r="R510" s="56"/>
      <c r="S510" s="56"/>
      <c r="T510" s="56"/>
      <c r="U510" s="56"/>
      <c r="V510" s="56"/>
      <c r="W510" s="56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ht="13.5" hidden="1" customHeight="1">
      <c r="A511" s="116">
        <f t="shared" si="76"/>
        <v>14</v>
      </c>
      <c r="B511" s="118">
        <v>46229.0</v>
      </c>
      <c r="C511" s="119"/>
      <c r="D511" s="120" t="str">
        <f t="shared" si="77"/>
        <v>Nur Andika</v>
      </c>
      <c r="E511" s="121">
        <f>SUMIFS(SSOD!$C:$C,SSOD!$B:$B,Hitungan!D511,SSOD!$A:$A,Hitungan!C511)</f>
        <v>0</v>
      </c>
      <c r="F511" s="122"/>
      <c r="G511" s="124">
        <f t="shared" ref="G511:G540" si="81">E511*F511</f>
        <v>0</v>
      </c>
      <c r="H511" s="126" t="str">
        <f t="array" ref="H511">INDEX('Panduan Gaji'!$Q:$Q,MATCH(D511,'Panduan Gaji'!$C:$C,0))</f>
        <v>GS</v>
      </c>
      <c r="I511" s="128" t="s">
        <v>138</v>
      </c>
      <c r="J511" s="308">
        <v>0.4152777777777778</v>
      </c>
      <c r="K511" s="308">
        <v>0.9166666666666666</v>
      </c>
      <c r="L511" s="130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ht="13.5" hidden="1" customHeight="1">
      <c r="A512" s="116">
        <f t="shared" si="76"/>
        <v>14</v>
      </c>
      <c r="B512" s="118">
        <v>46230.0</v>
      </c>
      <c r="C512" s="119"/>
      <c r="D512" s="120" t="str">
        <f t="shared" si="77"/>
        <v>Nur Andika</v>
      </c>
      <c r="E512" s="121">
        <f>SUMIFS(SSOD!$C:$C,SSOD!$B:$B,Hitungan!D512,SSOD!$A:$A,Hitungan!C512)</f>
        <v>0</v>
      </c>
      <c r="F512" s="122"/>
      <c r="G512" s="124">
        <f t="shared" si="81"/>
        <v>0</v>
      </c>
      <c r="H512" s="126" t="str">
        <f t="array" ref="H512">INDEX('Panduan Gaji'!$Q:$Q,MATCH(D512,'Panduan Gaji'!$C:$C,0))</f>
        <v>GS</v>
      </c>
      <c r="I512" s="128" t="s">
        <v>138</v>
      </c>
      <c r="J512" s="308"/>
      <c r="K512" s="347"/>
      <c r="L512" s="138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 ht="13.5" hidden="1" customHeight="1">
      <c r="A513" s="116">
        <f t="shared" si="76"/>
        <v>14</v>
      </c>
      <c r="B513" s="118">
        <v>46231.0</v>
      </c>
      <c r="C513" s="119"/>
      <c r="D513" s="120" t="str">
        <f t="shared" si="77"/>
        <v>Nur Andika</v>
      </c>
      <c r="E513" s="121">
        <f>SUMIFS(SSOD!$C:$C,SSOD!$B:$B,Hitungan!D513,SSOD!$A:$A,Hitungan!C513)</f>
        <v>0</v>
      </c>
      <c r="F513" s="122"/>
      <c r="G513" s="124">
        <f t="shared" si="81"/>
        <v>0</v>
      </c>
      <c r="H513" s="126" t="str">
        <f t="array" ref="H513">INDEX('Panduan Gaji'!$Q:$Q,MATCH(D513,'Panduan Gaji'!$C:$C,0))</f>
        <v>GS</v>
      </c>
      <c r="I513" s="128" t="s">
        <v>138</v>
      </c>
      <c r="J513" s="308"/>
      <c r="K513" s="347"/>
      <c r="L513" s="145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ht="13.5" hidden="1" customHeight="1">
      <c r="A514" s="116">
        <f t="shared" si="76"/>
        <v>14</v>
      </c>
      <c r="B514" s="118">
        <v>46232.0</v>
      </c>
      <c r="C514" s="146"/>
      <c r="D514" s="120" t="str">
        <f t="shared" si="77"/>
        <v>Nur Andika</v>
      </c>
      <c r="E514" s="147">
        <f>SUMIFS(SSOD!$C:$C,SSOD!$B:$B,Hitungan!D514,SSOD!$A:$A,Hitungan!C514)</f>
        <v>0</v>
      </c>
      <c r="F514" s="148"/>
      <c r="G514" s="124">
        <f t="shared" si="81"/>
        <v>0</v>
      </c>
      <c r="H514" s="126" t="str">
        <f t="array" ref="H514">INDEX('Panduan Gaji'!$Q:$Q,MATCH(D514,'Panduan Gaji'!$C:$C,0))</f>
        <v>GS</v>
      </c>
      <c r="I514" s="128" t="s">
        <v>138</v>
      </c>
      <c r="J514" s="308"/>
      <c r="K514" s="347"/>
      <c r="L514" s="153"/>
      <c r="M514" s="16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 ht="13.5" hidden="1" customHeight="1">
      <c r="A515" s="116">
        <f t="shared" si="76"/>
        <v>14</v>
      </c>
      <c r="B515" s="118">
        <v>46233.0</v>
      </c>
      <c r="C515" s="119"/>
      <c r="D515" s="120" t="str">
        <f t="shared" si="77"/>
        <v>Nur Andika</v>
      </c>
      <c r="E515" s="121">
        <f>SUMIFS(SSOD!$C:$C,SSOD!$B:$B,Hitungan!D515,SSOD!$A:$A,Hitungan!C515)</f>
        <v>0</v>
      </c>
      <c r="F515" s="122"/>
      <c r="G515" s="124">
        <f t="shared" si="81"/>
        <v>0</v>
      </c>
      <c r="H515" s="126" t="str">
        <f t="array" ref="H515">INDEX('Panduan Gaji'!$Q:$Q,MATCH(D515,'Panduan Gaji'!$C:$C,0))</f>
        <v>GS</v>
      </c>
      <c r="I515" s="128" t="s">
        <v>138</v>
      </c>
      <c r="J515" s="308"/>
      <c r="K515" s="347"/>
      <c r="L515" s="164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ht="13.5" hidden="1" customHeight="1">
      <c r="A516" s="116">
        <f t="shared" si="76"/>
        <v>14</v>
      </c>
      <c r="B516" s="118">
        <v>46234.0</v>
      </c>
      <c r="C516" s="119"/>
      <c r="D516" s="120" t="str">
        <f t="shared" si="77"/>
        <v>Nur Andika</v>
      </c>
      <c r="E516" s="121">
        <f>SUMIFS(SSOD!$C:$C,SSOD!$B:$B,Hitungan!D516,SSOD!$A:$A,Hitungan!C516)</f>
        <v>0</v>
      </c>
      <c r="F516" s="122"/>
      <c r="G516" s="124">
        <f t="shared" si="81"/>
        <v>0</v>
      </c>
      <c r="H516" s="126" t="str">
        <f t="array" ref="H516">INDEX('Panduan Gaji'!$Q:$Q,MATCH(D516,'Panduan Gaji'!$C:$C,0))</f>
        <v>GS</v>
      </c>
      <c r="I516" s="128" t="s">
        <v>138</v>
      </c>
      <c r="J516" s="308"/>
      <c r="K516" s="348"/>
      <c r="L516" s="130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ht="13.5" hidden="1" customHeight="1">
      <c r="A517" s="116">
        <f t="shared" si="76"/>
        <v>14</v>
      </c>
      <c r="B517" s="118">
        <v>46235.0</v>
      </c>
      <c r="C517" s="119"/>
      <c r="D517" s="120" t="str">
        <f t="shared" si="77"/>
        <v>Nur Andika</v>
      </c>
      <c r="E517" s="121">
        <f>SUMIFS(SSOD!$C:$C,SSOD!$B:$B,Hitungan!D517,SSOD!$A:$A,Hitungan!C517)</f>
        <v>0</v>
      </c>
      <c r="F517" s="122"/>
      <c r="G517" s="124">
        <f t="shared" si="81"/>
        <v>0</v>
      </c>
      <c r="H517" s="126" t="str">
        <f t="array" ref="H517">INDEX('Panduan Gaji'!$Q:$Q,MATCH(D517,'Panduan Gaji'!$C:$C,0))</f>
        <v>GS</v>
      </c>
      <c r="I517" s="128" t="s">
        <v>138</v>
      </c>
      <c r="J517" s="309"/>
      <c r="K517" s="347"/>
      <c r="L517" s="145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ht="13.5" hidden="1" customHeight="1">
      <c r="A518" s="116">
        <f t="shared" si="76"/>
        <v>14</v>
      </c>
      <c r="B518" s="118">
        <v>46236.0</v>
      </c>
      <c r="C518" s="119"/>
      <c r="D518" s="120" t="str">
        <f t="shared" si="77"/>
        <v>Nur Andika</v>
      </c>
      <c r="E518" s="121">
        <v>0.0</v>
      </c>
      <c r="F518" s="122"/>
      <c r="G518" s="124">
        <f t="shared" si="81"/>
        <v>0</v>
      </c>
      <c r="H518" s="126" t="str">
        <f t="array" ref="H518">INDEX('Panduan Gaji'!$Q:$Q,MATCH(D518,'Panduan Gaji'!$C:$C,0))</f>
        <v>GS</v>
      </c>
      <c r="I518" s="128" t="s">
        <v>138</v>
      </c>
      <c r="J518" s="309"/>
      <c r="K518" s="347"/>
      <c r="L518" s="145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ht="13.5" hidden="1" customHeight="1">
      <c r="A519" s="116">
        <f t="shared" si="76"/>
        <v>14</v>
      </c>
      <c r="B519" s="118">
        <v>46237.0</v>
      </c>
      <c r="C519" s="119"/>
      <c r="D519" s="120" t="str">
        <f t="shared" si="77"/>
        <v>Nur Andika</v>
      </c>
      <c r="E519" s="121">
        <f>SUMIFS(SSOD!$C:$C,SSOD!$B:$B,Hitungan!D519,SSOD!$A:$A,Hitungan!C519)</f>
        <v>0</v>
      </c>
      <c r="F519" s="122"/>
      <c r="G519" s="124">
        <f t="shared" si="81"/>
        <v>0</v>
      </c>
      <c r="H519" s="126" t="str">
        <f t="array" ref="H519">INDEX('Panduan Gaji'!$Q:$Q,MATCH(D519,'Panduan Gaji'!$C:$C,0))</f>
        <v>GS</v>
      </c>
      <c r="I519" s="128" t="s">
        <v>138</v>
      </c>
      <c r="J519" s="309"/>
      <c r="K519" s="347"/>
      <c r="L519" s="145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ht="13.5" hidden="1" customHeight="1">
      <c r="A520" s="116">
        <f t="shared" si="76"/>
        <v>14</v>
      </c>
      <c r="B520" s="118">
        <v>46238.0</v>
      </c>
      <c r="C520" s="181"/>
      <c r="D520" s="120" t="str">
        <f t="shared" si="77"/>
        <v>Nur Andika</v>
      </c>
      <c r="E520" s="121">
        <f>SUMIFS(SSOD!$C:$C,SSOD!$B:$B,Hitungan!D520,SSOD!$A:$A,Hitungan!C520)</f>
        <v>0</v>
      </c>
      <c r="F520" s="182"/>
      <c r="G520" s="52">
        <f t="shared" si="81"/>
        <v>0</v>
      </c>
      <c r="H520" s="126" t="str">
        <f t="array" ref="H520">INDEX('Panduan Gaji'!$Q:$Q,MATCH(D520,'Panduan Gaji'!$C:$C,0))</f>
        <v>GS</v>
      </c>
      <c r="I520" s="128" t="s">
        <v>138</v>
      </c>
      <c r="J520" s="309"/>
      <c r="K520" s="347"/>
      <c r="L520" s="119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ht="13.5" hidden="1" customHeight="1">
      <c r="A521" s="116">
        <f t="shared" si="76"/>
        <v>14</v>
      </c>
      <c r="B521" s="118">
        <v>46239.0</v>
      </c>
      <c r="C521" s="119"/>
      <c r="D521" s="120" t="str">
        <f t="shared" si="77"/>
        <v>Nur Andika</v>
      </c>
      <c r="E521" s="121">
        <f>SUMIFS(SSOD!$C:$C,SSOD!$B:$B,Hitungan!D521,SSOD!$A:$A,Hitungan!C521)</f>
        <v>0</v>
      </c>
      <c r="F521" s="122"/>
      <c r="G521" s="124">
        <f t="shared" si="81"/>
        <v>0</v>
      </c>
      <c r="H521" s="126" t="str">
        <f t="array" ref="H521">INDEX('Panduan Gaji'!$Q:$Q,MATCH(D521,'Panduan Gaji'!$C:$C,0))</f>
        <v>GS</v>
      </c>
      <c r="I521" s="128" t="s">
        <v>138</v>
      </c>
      <c r="J521" s="309"/>
      <c r="K521" s="347"/>
      <c r="L521" s="145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ht="13.5" hidden="1" customHeight="1">
      <c r="A522" s="116">
        <f t="shared" si="76"/>
        <v>14</v>
      </c>
      <c r="B522" s="118">
        <v>46240.0</v>
      </c>
      <c r="C522" s="119"/>
      <c r="D522" s="120" t="str">
        <f t="shared" si="77"/>
        <v>Nur Andika</v>
      </c>
      <c r="E522" s="121">
        <f>SUMIFS(SSOD!$C:$C,SSOD!$B:$B,Hitungan!D522,SSOD!$A:$A,Hitungan!C522)</f>
        <v>0</v>
      </c>
      <c r="F522" s="122"/>
      <c r="G522" s="124">
        <f t="shared" si="81"/>
        <v>0</v>
      </c>
      <c r="H522" s="126" t="str">
        <f t="array" ref="H522">INDEX('Panduan Gaji'!$Q:$Q,MATCH(D522,'Panduan Gaji'!$C:$C,0))</f>
        <v>GS</v>
      </c>
      <c r="I522" s="128" t="s">
        <v>138</v>
      </c>
      <c r="J522" s="308"/>
      <c r="K522" s="347"/>
      <c r="L522" s="145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ht="13.5" hidden="1" customHeight="1">
      <c r="A523" s="116">
        <f t="shared" si="76"/>
        <v>14</v>
      </c>
      <c r="B523" s="118">
        <v>46241.0</v>
      </c>
      <c r="C523" s="119"/>
      <c r="D523" s="120" t="str">
        <f t="shared" si="77"/>
        <v>Nur Andika</v>
      </c>
      <c r="E523" s="121">
        <f>SUMIFS(SSOD!$C:$C,SSOD!$B:$B,Hitungan!D523,SSOD!$A:$A,Hitungan!C523)</f>
        <v>0</v>
      </c>
      <c r="F523" s="122"/>
      <c r="G523" s="124">
        <f t="shared" si="81"/>
        <v>0</v>
      </c>
      <c r="H523" s="126" t="str">
        <f t="array" ref="H523">INDEX('Panduan Gaji'!$Q:$Q,MATCH(D523,'Panduan Gaji'!$C:$C,0))</f>
        <v>GS</v>
      </c>
      <c r="I523" s="128" t="s">
        <v>138</v>
      </c>
      <c r="J523" s="308"/>
      <c r="K523" s="348"/>
      <c r="L523" s="119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ht="13.5" hidden="1" customHeight="1">
      <c r="A524" s="116">
        <f t="shared" si="76"/>
        <v>14</v>
      </c>
      <c r="B524" s="118">
        <v>46242.0</v>
      </c>
      <c r="C524" s="119"/>
      <c r="D524" s="120" t="str">
        <f t="shared" si="77"/>
        <v>Nur Andika</v>
      </c>
      <c r="E524" s="121">
        <f>SUMIFS(SSOD!$C:$C,SSOD!$B:$B,Hitungan!D524,SSOD!$A:$A,Hitungan!C524)</f>
        <v>0</v>
      </c>
      <c r="F524" s="122"/>
      <c r="G524" s="124">
        <f t="shared" si="81"/>
        <v>0</v>
      </c>
      <c r="H524" s="126" t="str">
        <f t="array" ref="H524">INDEX('Panduan Gaji'!$Q:$Q,MATCH(D524,'Panduan Gaji'!$C:$C,0))</f>
        <v>GS</v>
      </c>
      <c r="I524" s="128" t="s">
        <v>138</v>
      </c>
      <c r="J524" s="309"/>
      <c r="K524" s="349"/>
      <c r="L524" s="187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ht="13.5" hidden="1" customHeight="1">
      <c r="A525" s="116">
        <f t="shared" si="76"/>
        <v>14</v>
      </c>
      <c r="B525" s="118">
        <v>46243.0</v>
      </c>
      <c r="C525" s="119"/>
      <c r="D525" s="120" t="str">
        <f t="shared" si="77"/>
        <v>Nur Andika</v>
      </c>
      <c r="E525" s="121">
        <f>SUMIFS(SSOD!$C:$C,SSOD!$B:$B,Hitungan!D525,SSOD!$A:$A,Hitungan!C525)</f>
        <v>0</v>
      </c>
      <c r="F525" s="122"/>
      <c r="G525" s="124">
        <f t="shared" si="81"/>
        <v>0</v>
      </c>
      <c r="H525" s="126" t="str">
        <f t="array" ref="H525">INDEX('Panduan Gaji'!$Q:$Q,MATCH(D525,'Panduan Gaji'!$C:$C,0))</f>
        <v>GS</v>
      </c>
      <c r="I525" s="128" t="s">
        <v>138</v>
      </c>
      <c r="J525" s="309"/>
      <c r="K525" s="349"/>
      <c r="L525" s="187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ht="13.5" hidden="1" customHeight="1">
      <c r="A526" s="116">
        <f t="shared" si="76"/>
        <v>14</v>
      </c>
      <c r="B526" s="118">
        <v>46244.0</v>
      </c>
      <c r="C526" s="119"/>
      <c r="D526" s="120" t="str">
        <f t="shared" si="77"/>
        <v>Nur Andika</v>
      </c>
      <c r="E526" s="121">
        <f>SUMIFS(SSOD!$C:$C,SSOD!$B:$B,Hitungan!D526,SSOD!$A:$A,Hitungan!C526)</f>
        <v>0</v>
      </c>
      <c r="F526" s="122"/>
      <c r="G526" s="124">
        <f t="shared" si="81"/>
        <v>0</v>
      </c>
      <c r="H526" s="126" t="str">
        <f t="array" ref="H526">INDEX('Panduan Gaji'!$Q:$Q,MATCH(D526,'Panduan Gaji'!$C:$C,0))</f>
        <v>GS</v>
      </c>
      <c r="I526" s="128" t="s">
        <v>138</v>
      </c>
      <c r="J526" s="309"/>
      <c r="K526" s="349"/>
      <c r="L526" s="187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ht="13.5" hidden="1" customHeight="1">
      <c r="A527" s="116">
        <f t="shared" si="76"/>
        <v>14</v>
      </c>
      <c r="B527" s="118">
        <v>46245.0</v>
      </c>
      <c r="C527" s="119"/>
      <c r="D527" s="120" t="str">
        <f t="shared" si="77"/>
        <v>Nur Andika</v>
      </c>
      <c r="E527" s="121">
        <f>SUMIFS(SSOD!$C:$C,SSOD!$B:$B,Hitungan!D527,SSOD!$A:$A,Hitungan!C527)</f>
        <v>0</v>
      </c>
      <c r="F527" s="122"/>
      <c r="G527" s="124">
        <f t="shared" si="81"/>
        <v>0</v>
      </c>
      <c r="H527" s="126" t="str">
        <f t="array" ref="H527">INDEX('Panduan Gaji'!$Q:$Q,MATCH(D527,'Panduan Gaji'!$C:$C,0))</f>
        <v>GS</v>
      </c>
      <c r="I527" s="128" t="s">
        <v>138</v>
      </c>
      <c r="J527" s="308"/>
      <c r="K527" s="347"/>
      <c r="L527" s="145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ht="13.5" hidden="1" customHeight="1">
      <c r="A528" s="116">
        <f t="shared" si="76"/>
        <v>14</v>
      </c>
      <c r="B528" s="118">
        <v>46246.0</v>
      </c>
      <c r="C528" s="119"/>
      <c r="D528" s="120" t="str">
        <f t="shared" si="77"/>
        <v>Nur Andika</v>
      </c>
      <c r="E528" s="121">
        <f>SUMIFS(SSOD!$C:$C,SSOD!$B:$B,Hitungan!D528,SSOD!$A:$A,Hitungan!C528)</f>
        <v>0</v>
      </c>
      <c r="F528" s="122"/>
      <c r="G528" s="124">
        <f t="shared" si="81"/>
        <v>0</v>
      </c>
      <c r="H528" s="126" t="str">
        <f t="array" ref="H528">INDEX('Panduan Gaji'!$Q:$Q,MATCH(D528,'Panduan Gaji'!$C:$C,0))</f>
        <v>GS</v>
      </c>
      <c r="I528" s="128" t="s">
        <v>138</v>
      </c>
      <c r="J528" s="308"/>
      <c r="K528" s="347"/>
      <c r="L528" s="145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ht="13.5" hidden="1" customHeight="1">
      <c r="A529" s="116">
        <f t="shared" si="76"/>
        <v>14</v>
      </c>
      <c r="B529" s="118">
        <v>46247.0</v>
      </c>
      <c r="C529" s="119"/>
      <c r="D529" s="120" t="str">
        <f t="shared" si="77"/>
        <v>Nur Andika</v>
      </c>
      <c r="E529" s="121">
        <f>SUMIFS(SSOD!$C:$C,SSOD!$B:$B,Hitungan!D529,SSOD!$A:$A,Hitungan!C529)</f>
        <v>0</v>
      </c>
      <c r="F529" s="122"/>
      <c r="G529" s="124">
        <f t="shared" si="81"/>
        <v>0</v>
      </c>
      <c r="H529" s="126" t="str">
        <f t="array" ref="H529">INDEX('Panduan Gaji'!$Q:$Q,MATCH(D529,'Panduan Gaji'!$C:$C,0))</f>
        <v>GS</v>
      </c>
      <c r="I529" s="128" t="s">
        <v>138</v>
      </c>
      <c r="J529" s="308"/>
      <c r="K529" s="347"/>
      <c r="L529" s="145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ht="13.5" hidden="1" customHeight="1">
      <c r="A530" s="116">
        <f t="shared" si="76"/>
        <v>14</v>
      </c>
      <c r="B530" s="118">
        <v>46248.0</v>
      </c>
      <c r="C530" s="119"/>
      <c r="D530" s="120" t="str">
        <f t="shared" si="77"/>
        <v>Nur Andika</v>
      </c>
      <c r="E530" s="121">
        <f>SUMIFS(SSOD!$C:$C,SSOD!$B:$B,Hitungan!D530,SSOD!$A:$A,Hitungan!C530)</f>
        <v>0</v>
      </c>
      <c r="F530" s="122"/>
      <c r="G530" s="124">
        <f t="shared" si="81"/>
        <v>0</v>
      </c>
      <c r="H530" s="126" t="str">
        <f t="array" ref="H530">INDEX('Panduan Gaji'!$Q:$Q,MATCH(D530,'Panduan Gaji'!$C:$C,0))</f>
        <v>GS</v>
      </c>
      <c r="I530" s="128" t="s">
        <v>138</v>
      </c>
      <c r="J530" s="308"/>
      <c r="K530" s="348"/>
      <c r="L530" s="145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ht="13.5" hidden="1" customHeight="1">
      <c r="A531" s="116">
        <f t="shared" si="76"/>
        <v>14</v>
      </c>
      <c r="B531" s="118">
        <v>46249.0</v>
      </c>
      <c r="C531" s="119"/>
      <c r="D531" s="120" t="str">
        <f t="shared" si="77"/>
        <v>Nur Andika</v>
      </c>
      <c r="E531" s="121">
        <f>SUMIFS(SSOD!$C:$C,SSOD!$B:$B,Hitungan!D531,SSOD!$A:$A,Hitungan!C531)</f>
        <v>0</v>
      </c>
      <c r="F531" s="122"/>
      <c r="G531" s="124">
        <f t="shared" si="81"/>
        <v>0</v>
      </c>
      <c r="H531" s="126" t="str">
        <f t="array" ref="H531">INDEX('Panduan Gaji'!$Q:$Q,MATCH(D531,'Panduan Gaji'!$C:$C,0))</f>
        <v>GS</v>
      </c>
      <c r="I531" s="128" t="s">
        <v>138</v>
      </c>
      <c r="J531" s="308"/>
      <c r="K531" s="347"/>
      <c r="L531" s="145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ht="13.5" hidden="1" customHeight="1">
      <c r="A532" s="116">
        <f t="shared" si="76"/>
        <v>14</v>
      </c>
      <c r="B532" s="118">
        <v>46250.0</v>
      </c>
      <c r="C532" s="119"/>
      <c r="D532" s="120" t="str">
        <f t="shared" si="77"/>
        <v>Nur Andika</v>
      </c>
      <c r="E532" s="121">
        <f>SUMIFS(SSOD!$C:$C,SSOD!$B:$B,Hitungan!D532,SSOD!$A:$A,Hitungan!C532)</f>
        <v>0</v>
      </c>
      <c r="F532" s="122"/>
      <c r="G532" s="124">
        <f t="shared" si="81"/>
        <v>0</v>
      </c>
      <c r="H532" s="126" t="str">
        <f t="array" ref="H532">INDEX('Panduan Gaji'!$Q:$Q,MATCH(D532,'Panduan Gaji'!$C:$C,0))</f>
        <v>GS</v>
      </c>
      <c r="I532" s="128" t="s">
        <v>138</v>
      </c>
      <c r="J532" s="308"/>
      <c r="K532" s="347"/>
      <c r="L532" s="145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ht="13.5" hidden="1" customHeight="1">
      <c r="A533" s="116">
        <f t="shared" si="76"/>
        <v>14</v>
      </c>
      <c r="B533" s="118">
        <v>46251.0</v>
      </c>
      <c r="C533" s="119"/>
      <c r="D533" s="120" t="str">
        <f t="shared" si="77"/>
        <v>Nur Andika</v>
      </c>
      <c r="E533" s="121">
        <f>SUMIFS(SSOD!$C:$C,SSOD!$B:$B,Hitungan!D533,SSOD!$A:$A,Hitungan!C533)</f>
        <v>0</v>
      </c>
      <c r="F533" s="122"/>
      <c r="G533" s="124">
        <f t="shared" si="81"/>
        <v>0</v>
      </c>
      <c r="H533" s="126" t="str">
        <f t="array" ref="H533">INDEX('Panduan Gaji'!$Q:$Q,MATCH(D533,'Panduan Gaji'!$C:$C,0))</f>
        <v>GS</v>
      </c>
      <c r="I533" s="128" t="s">
        <v>138</v>
      </c>
      <c r="J533" s="308"/>
      <c r="K533" s="347"/>
      <c r="L533" s="119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ht="13.5" hidden="1" customHeight="1">
      <c r="A534" s="116">
        <f t="shared" si="76"/>
        <v>14</v>
      </c>
      <c r="B534" s="118">
        <v>46252.0</v>
      </c>
      <c r="C534" s="119"/>
      <c r="D534" s="120" t="str">
        <f t="shared" si="77"/>
        <v>Nur Andika</v>
      </c>
      <c r="E534" s="121">
        <f>SUMIFS(SSOD!$C:$C,SSOD!$B:$B,Hitungan!D534,SSOD!$A:$A,Hitungan!C534)</f>
        <v>0</v>
      </c>
      <c r="F534" s="122"/>
      <c r="G534" s="124">
        <f t="shared" si="81"/>
        <v>0</v>
      </c>
      <c r="H534" s="126" t="str">
        <f t="array" ref="H534">INDEX('Panduan Gaji'!$Q:$Q,MATCH(D534,'Panduan Gaji'!$C:$C,0))</f>
        <v>GS</v>
      </c>
      <c r="I534" s="128" t="s">
        <v>138</v>
      </c>
      <c r="J534" s="308"/>
      <c r="K534" s="347"/>
      <c r="L534" s="119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ht="13.5" hidden="1" customHeight="1">
      <c r="A535" s="116">
        <f t="shared" si="76"/>
        <v>14</v>
      </c>
      <c r="B535" s="118">
        <v>46253.0</v>
      </c>
      <c r="C535" s="119"/>
      <c r="D535" s="120" t="str">
        <f t="shared" si="77"/>
        <v>Nur Andika</v>
      </c>
      <c r="E535" s="121">
        <f>SUMIFS(SSOD!$C:$C,SSOD!$B:$B,Hitungan!D535,SSOD!$A:$A,Hitungan!C535)</f>
        <v>0</v>
      </c>
      <c r="F535" s="122"/>
      <c r="G535" s="124">
        <f t="shared" si="81"/>
        <v>0</v>
      </c>
      <c r="H535" s="126" t="str">
        <f t="array" ref="H535">INDEX('Panduan Gaji'!$Q:$Q,MATCH(D535,'Panduan Gaji'!$C:$C,0))</f>
        <v>GS</v>
      </c>
      <c r="I535" s="128" t="s">
        <v>138</v>
      </c>
      <c r="J535" s="308"/>
      <c r="K535" s="347"/>
      <c r="L535" s="119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ht="13.5" hidden="1" customHeight="1">
      <c r="A536" s="116">
        <f t="shared" si="76"/>
        <v>14</v>
      </c>
      <c r="B536" s="118">
        <v>46254.0</v>
      </c>
      <c r="C536" s="119"/>
      <c r="D536" s="120" t="str">
        <f t="shared" si="77"/>
        <v>Nur Andika</v>
      </c>
      <c r="E536" s="121">
        <f>SUMIFS(SSOD!$C:$C,SSOD!$B:$B,Hitungan!D536,SSOD!$A:$A,Hitungan!C536)</f>
        <v>0</v>
      </c>
      <c r="F536" s="122"/>
      <c r="G536" s="124">
        <f t="shared" si="81"/>
        <v>0</v>
      </c>
      <c r="H536" s="126" t="str">
        <f t="array" ref="H536">INDEX('Panduan Gaji'!$Q:$Q,MATCH(D536,'Panduan Gaji'!$C:$C,0))</f>
        <v>GS</v>
      </c>
      <c r="I536" s="128" t="s">
        <v>138</v>
      </c>
      <c r="J536" s="308"/>
      <c r="K536" s="347"/>
      <c r="L536" s="145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ht="13.5" hidden="1" customHeight="1">
      <c r="A537" s="116">
        <f t="shared" si="76"/>
        <v>14</v>
      </c>
      <c r="B537" s="118">
        <v>46255.0</v>
      </c>
      <c r="C537" s="119"/>
      <c r="D537" s="120" t="str">
        <f t="shared" si="77"/>
        <v>Nur Andika</v>
      </c>
      <c r="E537" s="121">
        <f>SUMIFS(SSOD!$C:$C,SSOD!$B:$B,Hitungan!D537,SSOD!$A:$A,Hitungan!C537)</f>
        <v>0</v>
      </c>
      <c r="F537" s="122"/>
      <c r="G537" s="124">
        <f t="shared" si="81"/>
        <v>0</v>
      </c>
      <c r="H537" s="126" t="str">
        <f t="array" ref="H537">INDEX('Panduan Gaji'!$Q:$Q,MATCH(D537,'Panduan Gaji'!$C:$C,0))</f>
        <v>GS</v>
      </c>
      <c r="I537" s="128" t="s">
        <v>138</v>
      </c>
      <c r="J537" s="308"/>
      <c r="K537" s="347"/>
      <c r="L537" s="119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ht="13.5" hidden="1" customHeight="1">
      <c r="A538" s="116">
        <f t="shared" si="76"/>
        <v>14</v>
      </c>
      <c r="B538" s="118">
        <v>46256.0</v>
      </c>
      <c r="C538" s="119"/>
      <c r="D538" s="120" t="str">
        <f t="shared" si="77"/>
        <v>Nur Andika</v>
      </c>
      <c r="E538" s="121">
        <f>SUMIFS(SSOD!$C:$C,SSOD!$B:$B,Hitungan!D538,SSOD!$A:$A,Hitungan!C538)</f>
        <v>0</v>
      </c>
      <c r="F538" s="122"/>
      <c r="G538" s="124">
        <f t="shared" si="81"/>
        <v>0</v>
      </c>
      <c r="H538" s="126" t="str">
        <f t="array" ref="H538">INDEX('Panduan Gaji'!$Q:$Q,MATCH(D538,'Panduan Gaji'!$C:$C,0))</f>
        <v>GS</v>
      </c>
      <c r="I538" s="128" t="s">
        <v>138</v>
      </c>
      <c r="J538" s="308"/>
      <c r="K538" s="347"/>
      <c r="L538" s="119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ht="13.5" hidden="1" customHeight="1">
      <c r="A539" s="116">
        <f t="shared" si="76"/>
        <v>14</v>
      </c>
      <c r="B539" s="118">
        <v>46257.0</v>
      </c>
      <c r="C539" s="119"/>
      <c r="D539" s="120" t="str">
        <f t="shared" si="77"/>
        <v>Nur Andika</v>
      </c>
      <c r="E539" s="121">
        <f>SUMIFS(SSOD!$C:$C,SSOD!$B:$B,Hitungan!D539,SSOD!$A:$A,Hitungan!C539)</f>
        <v>0</v>
      </c>
      <c r="F539" s="122"/>
      <c r="G539" s="124">
        <f t="shared" si="81"/>
        <v>0</v>
      </c>
      <c r="H539" s="126" t="str">
        <f t="array" ref="H539">INDEX('Panduan Gaji'!$Q:$Q,MATCH(D539,'Panduan Gaji'!$C:$C,0))</f>
        <v>GS</v>
      </c>
      <c r="I539" s="128" t="s">
        <v>138</v>
      </c>
      <c r="J539" s="308"/>
      <c r="K539" s="347"/>
      <c r="L539" s="119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ht="15.75" hidden="1" customHeight="1">
      <c r="A540" s="116">
        <f t="shared" si="76"/>
        <v>14</v>
      </c>
      <c r="B540" s="118">
        <v>46258.0</v>
      </c>
      <c r="C540" s="119"/>
      <c r="D540" s="120" t="str">
        <f t="shared" si="77"/>
        <v>Nur Andika</v>
      </c>
      <c r="E540" s="121">
        <f>SUMIFS(SSOD!$C:$C,SSOD!$B:$B,Hitungan!D540,SSOD!$A:$A,Hitungan!C540)</f>
        <v>0</v>
      </c>
      <c r="F540" s="122"/>
      <c r="G540" s="124">
        <f t="shared" si="81"/>
        <v>0</v>
      </c>
      <c r="H540" s="220" t="str">
        <f t="array" ref="H540">INDEX('Panduan Gaji'!$Q:$Q,MATCH(D540,'Panduan Gaji'!$C:$C,0))</f>
        <v>GS</v>
      </c>
      <c r="I540" s="128" t="s">
        <v>138</v>
      </c>
      <c r="J540" s="308"/>
      <c r="K540" s="347"/>
      <c r="L540" s="119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ht="15.75" hidden="1" customHeight="1">
      <c r="A541" s="222"/>
      <c r="B541" s="223"/>
      <c r="C541" s="224"/>
      <c r="D541" s="225"/>
      <c r="E541" s="226"/>
      <c r="F541" s="227"/>
      <c r="G541" s="228"/>
      <c r="H541" s="229"/>
      <c r="I541" s="22"/>
      <c r="J541" s="230"/>
      <c r="K541" s="230"/>
      <c r="L541" s="224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ht="13.5" hidden="1" customHeight="1">
      <c r="A542" s="26">
        <v>15.0</v>
      </c>
      <c r="B542" s="28"/>
      <c r="C542" s="30" t="s">
        <v>6</v>
      </c>
      <c r="D542" s="33" t="s">
        <v>124</v>
      </c>
      <c r="E542" s="42">
        <f>SUMIFS(SSOD!$C:$C,SSOD!$B:$B,Hitungan!D542,SSOD!$A:$A,Hitungan!C542)</f>
        <v>2250000</v>
      </c>
      <c r="F542" s="44">
        <v>1.0</v>
      </c>
      <c r="G542" s="47">
        <f t="shared" ref="G542:G545" si="82">E542*F542</f>
        <v>2250000</v>
      </c>
      <c r="H542" s="51" t="str">
        <f t="array" ref="H542">INDEX('Panduan Gaji'!$Q:$Q,MATCH(D542,'Panduan Gaji'!$C:$C,0))</f>
        <v>Fatgai</v>
      </c>
      <c r="I542" s="53"/>
      <c r="J542" s="54"/>
      <c r="K542" s="54"/>
      <c r="L542" s="55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ht="13.5" hidden="1" customHeight="1">
      <c r="A543" s="26">
        <f t="shared" ref="A543:A581" si="83">A542</f>
        <v>15</v>
      </c>
      <c r="B543" s="28"/>
      <c r="C543" s="30" t="s">
        <v>17</v>
      </c>
      <c r="D543" s="33" t="str">
        <f t="shared" ref="D543:D581" si="84">D542</f>
        <v>Bulan</v>
      </c>
      <c r="E543" s="42">
        <f>SUMIFS(SSOD!$C:$C,SSOD!$B:$B,Hitungan!D543,SSOD!$A:$A,Hitungan!C543)</f>
        <v>0</v>
      </c>
      <c r="F543" s="44"/>
      <c r="G543" s="47">
        <f t="shared" si="82"/>
        <v>0</v>
      </c>
      <c r="H543" s="51" t="str">
        <f t="array" ref="H543">INDEX('Panduan Gaji'!$Q:$Q,MATCH(D543,'Panduan Gaji'!$C:$C,0))</f>
        <v>Fatgai</v>
      </c>
      <c r="I543" s="53"/>
      <c r="J543" s="54"/>
      <c r="K543" s="54"/>
      <c r="L543" s="55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ht="13.5" hidden="1" customHeight="1">
      <c r="A544" s="26">
        <f t="shared" si="83"/>
        <v>15</v>
      </c>
      <c r="B544" s="28"/>
      <c r="C544" s="30" t="s">
        <v>7</v>
      </c>
      <c r="D544" s="33" t="str">
        <f t="shared" si="84"/>
        <v>Bulan</v>
      </c>
      <c r="E544" s="42">
        <f>SUMIFS(SSOD!$C:$C,SSOD!$B:$B,Hitungan!D544,SSOD!$A:$A,Hitungan!C544)</f>
        <v>31500</v>
      </c>
      <c r="F544" s="44">
        <f t="shared" ref="F544:F545" si="85">SUMPRODUCT(--((($J$552:$J$581&lt;&gt;"")+($K$552:$K$581&lt;&gt;""))&gt;0))</f>
        <v>26</v>
      </c>
      <c r="G544" s="47">
        <f t="shared" si="82"/>
        <v>819000</v>
      </c>
      <c r="H544" s="51" t="str">
        <f t="array" ref="H544">INDEX('Panduan Gaji'!$Q:$Q,MATCH(D544,'Panduan Gaji'!$C:$C,0))</f>
        <v>Fatgai</v>
      </c>
      <c r="I544" s="53"/>
      <c r="J544" s="88"/>
      <c r="K544" s="88"/>
      <c r="L544" s="55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ht="13.5" hidden="1" customHeight="1">
      <c r="A545" s="26">
        <f t="shared" si="83"/>
        <v>15</v>
      </c>
      <c r="B545" s="28"/>
      <c r="C545" s="30" t="s">
        <v>9</v>
      </c>
      <c r="D545" s="33" t="str">
        <f t="shared" si="84"/>
        <v>Bulan</v>
      </c>
      <c r="E545" s="42">
        <f>SUMIFS(SSOD!$C:$C,SSOD!$B:$B,Hitungan!D545,SSOD!$A:$A,Hitungan!C545)</f>
        <v>57000</v>
      </c>
      <c r="F545" s="44">
        <f t="shared" si="85"/>
        <v>26</v>
      </c>
      <c r="G545" s="47">
        <f t="shared" si="82"/>
        <v>1482000</v>
      </c>
      <c r="H545" s="51" t="str">
        <f t="array" ref="H545">INDEX('Panduan Gaji'!$Q:$Q,MATCH(D545,'Panduan Gaji'!$C:$C,0))</f>
        <v>Fatgai</v>
      </c>
      <c r="I545" s="53"/>
      <c r="J545" s="88"/>
      <c r="K545" s="88"/>
      <c r="L545" s="9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ht="15.75" hidden="1" customHeight="1">
      <c r="A546" s="26">
        <f t="shared" si="83"/>
        <v>15</v>
      </c>
      <c r="B546" s="28"/>
      <c r="C546" s="30" t="s">
        <v>39</v>
      </c>
      <c r="D546" s="33" t="str">
        <f t="shared" si="84"/>
        <v>Bulan</v>
      </c>
      <c r="E546" s="350">
        <v>217181.0</v>
      </c>
      <c r="F546" s="44">
        <v>1.0</v>
      </c>
      <c r="G546" s="47">
        <f>F546*E546</f>
        <v>217181</v>
      </c>
      <c r="H546" s="51" t="str">
        <f t="array" ref="H546">INDEX('Panduan Gaji'!$Q:$Q,MATCH(D546,'Panduan Gaji'!$C:$C,0))</f>
        <v>Fatgai</v>
      </c>
      <c r="I546" s="53"/>
      <c r="J546" s="88"/>
      <c r="K546" s="88"/>
      <c r="L546" s="9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ht="15.75" hidden="1" customHeight="1">
      <c r="A547" s="26">
        <f t="shared" si="83"/>
        <v>15</v>
      </c>
      <c r="B547" s="28"/>
      <c r="C547" s="30" t="s">
        <v>12</v>
      </c>
      <c r="D547" s="33" t="str">
        <f t="shared" si="84"/>
        <v>Bulan</v>
      </c>
      <c r="E547" s="42">
        <f>SUMIFS(SSOD!$C:$C,SSOD!$B:$B,Hitungan!D547,SSOD!$A:$A,Hitungan!C547)</f>
        <v>19000</v>
      </c>
      <c r="F547" s="44">
        <f>SUMIF($C$552:$C$581,C547,$F$552:$F$581)</f>
        <v>0</v>
      </c>
      <c r="G547" s="47">
        <f t="shared" ref="G547:G548" si="86">E547*F547</f>
        <v>0</v>
      </c>
      <c r="H547" s="51" t="str">
        <f t="array" ref="H547">INDEX('Panduan Gaji'!$Q:$Q,MATCH(D547,'Panduan Gaji'!$C:$C,0))</f>
        <v>Fatgai</v>
      </c>
      <c r="I547" s="53"/>
      <c r="J547" s="88"/>
      <c r="K547" s="88"/>
      <c r="L547" s="100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ht="15.75" hidden="1" customHeight="1">
      <c r="A548" s="26">
        <f t="shared" si="83"/>
        <v>15</v>
      </c>
      <c r="B548" s="28"/>
      <c r="C548" s="102" t="s">
        <v>30</v>
      </c>
      <c r="D548" s="33" t="str">
        <f t="shared" si="84"/>
        <v>Bulan</v>
      </c>
      <c r="E548" s="42">
        <f>SUMIFS(SSOD!$C:$C,SSOD!$B:$B,Hitungan!D548,SSOD!$A:$A,Hitungan!C548)</f>
        <v>19000</v>
      </c>
      <c r="F548" s="44">
        <f t="shared" ref="F548:F549" si="87">COUNTIF($C$552:$C$581,C548)</f>
        <v>2</v>
      </c>
      <c r="G548" s="47">
        <f t="shared" si="86"/>
        <v>38000</v>
      </c>
      <c r="H548" s="51" t="str">
        <f t="array" ref="H548">INDEX('Panduan Gaji'!$Q:$Q,MATCH(D548,'Panduan Gaji'!$C:$C,0))</f>
        <v>Fatgai</v>
      </c>
      <c r="I548" s="53"/>
      <c r="J548" s="105"/>
      <c r="K548" s="105"/>
      <c r="L548" s="10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ht="15.75" hidden="1" customHeight="1">
      <c r="A549" s="26">
        <f t="shared" si="83"/>
        <v>15</v>
      </c>
      <c r="B549" s="28"/>
      <c r="C549" s="30" t="s">
        <v>33</v>
      </c>
      <c r="D549" s="33" t="str">
        <f t="shared" si="84"/>
        <v>Bulan</v>
      </c>
      <c r="E549" s="42"/>
      <c r="F549" s="44">
        <f t="shared" si="87"/>
        <v>0</v>
      </c>
      <c r="G549" s="47">
        <f>SUMIF($C$552:$C$581,C549,$E$552:$E$581)</f>
        <v>0</v>
      </c>
      <c r="H549" s="51" t="str">
        <f t="array" ref="H549">INDEX('Panduan Gaji'!$Q:$Q,MATCH(D549,'Panduan Gaji'!$C:$C,0))</f>
        <v>Fatgai</v>
      </c>
      <c r="I549" s="53"/>
      <c r="J549" s="105"/>
      <c r="K549" s="105"/>
      <c r="L549" s="10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ht="15.75" hidden="1" customHeight="1">
      <c r="A550" s="26">
        <f t="shared" si="83"/>
        <v>15</v>
      </c>
      <c r="B550" s="28"/>
      <c r="C550" s="30" t="s">
        <v>83</v>
      </c>
      <c r="D550" s="33" t="str">
        <f t="shared" si="84"/>
        <v>Bulan</v>
      </c>
      <c r="E550" s="42"/>
      <c r="F550" s="44"/>
      <c r="G550" s="47"/>
      <c r="H550" s="51" t="str">
        <f t="array" ref="H550">INDEX('Panduan Gaji'!$Q:$Q,MATCH(D550,'Panduan Gaji'!$C:$C,0))</f>
        <v>Fatgai</v>
      </c>
      <c r="I550" s="53"/>
      <c r="J550" s="105"/>
      <c r="K550" s="105"/>
      <c r="L550" s="10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ht="13.5" hidden="1" customHeight="1">
      <c r="A551" s="26">
        <f t="shared" si="83"/>
        <v>15</v>
      </c>
      <c r="B551" s="28"/>
      <c r="C551" s="30" t="s">
        <v>85</v>
      </c>
      <c r="D551" s="33" t="str">
        <f t="shared" si="84"/>
        <v>Bulan</v>
      </c>
      <c r="E551" s="42"/>
      <c r="F551" s="44"/>
      <c r="G551" s="47"/>
      <c r="H551" s="51" t="str">
        <f t="array" ref="H551">INDEX('Panduan Gaji'!$Q:$Q,MATCH(D551,'Panduan Gaji'!$C:$C,0))</f>
        <v>Fatgai</v>
      </c>
      <c r="I551" s="53"/>
      <c r="J551" s="105"/>
      <c r="K551" s="105"/>
      <c r="L551" s="106"/>
      <c r="M551" s="56"/>
      <c r="N551" s="56"/>
      <c r="O551" s="22"/>
      <c r="P551" s="56"/>
      <c r="Q551" s="56"/>
      <c r="R551" s="56"/>
      <c r="S551" s="56"/>
      <c r="T551" s="56"/>
      <c r="U551" s="56"/>
      <c r="V551" s="56"/>
      <c r="W551" s="56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ht="13.5" hidden="1" customHeight="1">
      <c r="A552" s="116">
        <f t="shared" si="83"/>
        <v>15</v>
      </c>
      <c r="B552" s="118">
        <v>46229.0</v>
      </c>
      <c r="C552" s="119"/>
      <c r="D552" s="120" t="str">
        <f t="shared" si="84"/>
        <v>Bulan</v>
      </c>
      <c r="E552" s="121">
        <f>SUMIFS(SSOD!$C:$C,SSOD!$B:$B,Hitungan!D552,SSOD!$A:$A,Hitungan!C552)</f>
        <v>0</v>
      </c>
      <c r="F552" s="122"/>
      <c r="G552" s="124">
        <f t="shared" ref="G552:G581" si="88">E552*F552</f>
        <v>0</v>
      </c>
      <c r="H552" s="126" t="str">
        <f t="array" ref="H552">INDEX('Panduan Gaji'!$Q:$Q,MATCH(D552,'Panduan Gaji'!$C:$C,0))</f>
        <v>Fatgai</v>
      </c>
      <c r="I552" s="128" t="s">
        <v>138</v>
      </c>
      <c r="J552" s="308">
        <v>0.4166666666666667</v>
      </c>
      <c r="K552" s="308">
        <v>0.9173611111111111</v>
      </c>
      <c r="L552" s="130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ht="13.5" hidden="1" customHeight="1">
      <c r="A553" s="116">
        <f t="shared" si="83"/>
        <v>15</v>
      </c>
      <c r="B553" s="118">
        <v>46230.0</v>
      </c>
      <c r="C553" s="119"/>
      <c r="D553" s="120" t="str">
        <f t="shared" si="84"/>
        <v>Bulan</v>
      </c>
      <c r="E553" s="121">
        <f>SUMIFS(SSOD!$C:$C,SSOD!$B:$B,Hitungan!D553,SSOD!$A:$A,Hitungan!C553)</f>
        <v>0</v>
      </c>
      <c r="F553" s="122"/>
      <c r="G553" s="124">
        <f t="shared" si="88"/>
        <v>0</v>
      </c>
      <c r="H553" s="126" t="str">
        <f t="array" ref="H553">INDEX('Panduan Gaji'!$Q:$Q,MATCH(D553,'Panduan Gaji'!$C:$C,0))</f>
        <v>Fatgai</v>
      </c>
      <c r="I553" s="128" t="s">
        <v>138</v>
      </c>
      <c r="J553" s="129"/>
      <c r="K553" s="137"/>
      <c r="L553" s="138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ht="13.5" hidden="1" customHeight="1">
      <c r="A554" s="116">
        <f t="shared" si="83"/>
        <v>15</v>
      </c>
      <c r="B554" s="118">
        <v>46231.0</v>
      </c>
      <c r="C554" s="119"/>
      <c r="D554" s="120" t="str">
        <f t="shared" si="84"/>
        <v>Bulan</v>
      </c>
      <c r="E554" s="121">
        <f>SUMIFS(SSOD!$C:$C,SSOD!$B:$B,Hitungan!D554,SSOD!$A:$A,Hitungan!C554)</f>
        <v>0</v>
      </c>
      <c r="F554" s="122"/>
      <c r="G554" s="124">
        <f t="shared" si="88"/>
        <v>0</v>
      </c>
      <c r="H554" s="126" t="str">
        <f t="array" ref="H554">INDEX('Panduan Gaji'!$Q:$Q,MATCH(D554,'Panduan Gaji'!$C:$C,0))</f>
        <v>Fatgai</v>
      </c>
      <c r="I554" s="128" t="s">
        <v>138</v>
      </c>
      <c r="J554" s="308">
        <v>0.4166666666666667</v>
      </c>
      <c r="K554" s="308">
        <v>0.9173611111111111</v>
      </c>
      <c r="L554" s="145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ht="13.5" hidden="1" customHeight="1">
      <c r="A555" s="116">
        <f t="shared" si="83"/>
        <v>15</v>
      </c>
      <c r="B555" s="118">
        <v>46232.0</v>
      </c>
      <c r="C555" s="146"/>
      <c r="D555" s="120" t="str">
        <f t="shared" si="84"/>
        <v>Bulan</v>
      </c>
      <c r="E555" s="147">
        <f>SUMIFS(SSOD!$C:$C,SSOD!$B:$B,Hitungan!D555,SSOD!$A:$A,Hitungan!C555)</f>
        <v>0</v>
      </c>
      <c r="F555" s="148"/>
      <c r="G555" s="124">
        <f t="shared" si="88"/>
        <v>0</v>
      </c>
      <c r="H555" s="126" t="str">
        <f t="array" ref="H555">INDEX('Panduan Gaji'!$Q:$Q,MATCH(D555,'Panduan Gaji'!$C:$C,0))</f>
        <v>Fatgai</v>
      </c>
      <c r="I555" s="128" t="s">
        <v>138</v>
      </c>
      <c r="J555" s="308">
        <v>0.41875</v>
      </c>
      <c r="K555" s="308">
        <v>0.9180555555555555</v>
      </c>
      <c r="L555" s="153"/>
      <c r="M555" s="16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ht="13.5" hidden="1" customHeight="1">
      <c r="A556" s="116">
        <f t="shared" si="83"/>
        <v>15</v>
      </c>
      <c r="B556" s="118">
        <v>46233.0</v>
      </c>
      <c r="C556" s="119"/>
      <c r="D556" s="120" t="str">
        <f t="shared" si="84"/>
        <v>Bulan</v>
      </c>
      <c r="E556" s="121">
        <f>SUMIFS(SSOD!$C:$C,SSOD!$B:$B,Hitungan!D556,SSOD!$A:$A,Hitungan!C556)</f>
        <v>0</v>
      </c>
      <c r="F556" s="122"/>
      <c r="G556" s="124">
        <f t="shared" si="88"/>
        <v>0</v>
      </c>
      <c r="H556" s="126" t="str">
        <f t="array" ref="H556">INDEX('Panduan Gaji'!$Q:$Q,MATCH(D556,'Panduan Gaji'!$C:$C,0))</f>
        <v>Fatgai</v>
      </c>
      <c r="I556" s="128" t="s">
        <v>138</v>
      </c>
      <c r="J556" s="308">
        <v>0.41875</v>
      </c>
      <c r="K556" s="308">
        <v>0.9173611111111111</v>
      </c>
      <c r="L556" s="164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ht="13.5" hidden="1" customHeight="1">
      <c r="A557" s="116">
        <f t="shared" si="83"/>
        <v>15</v>
      </c>
      <c r="B557" s="118">
        <v>46234.0</v>
      </c>
      <c r="C557" s="119"/>
      <c r="D557" s="120" t="str">
        <f t="shared" si="84"/>
        <v>Bulan</v>
      </c>
      <c r="E557" s="121">
        <f>SUMIFS(SSOD!$C:$C,SSOD!$B:$B,Hitungan!D557,SSOD!$A:$A,Hitungan!C557)</f>
        <v>0</v>
      </c>
      <c r="F557" s="122"/>
      <c r="G557" s="124">
        <f t="shared" si="88"/>
        <v>0</v>
      </c>
      <c r="H557" s="126" t="str">
        <f t="array" ref="H557">INDEX('Panduan Gaji'!$Q:$Q,MATCH(D557,'Panduan Gaji'!$C:$C,0))</f>
        <v>Fatgai</v>
      </c>
      <c r="I557" s="128" t="s">
        <v>138</v>
      </c>
      <c r="J557" s="308">
        <v>0.4180555555555556</v>
      </c>
      <c r="K557" s="308">
        <v>0.9180555555555555</v>
      </c>
      <c r="L557" s="130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ht="13.5" hidden="1" customHeight="1">
      <c r="A558" s="116">
        <f t="shared" si="83"/>
        <v>15</v>
      </c>
      <c r="B558" s="118">
        <v>46235.0</v>
      </c>
      <c r="C558" s="119"/>
      <c r="D558" s="120" t="str">
        <f t="shared" si="84"/>
        <v>Bulan</v>
      </c>
      <c r="E558" s="121">
        <f>SUMIFS(SSOD!$C:$C,SSOD!$B:$B,Hitungan!D558,SSOD!$A:$A,Hitungan!C558)</f>
        <v>0</v>
      </c>
      <c r="F558" s="122"/>
      <c r="G558" s="124">
        <f t="shared" si="88"/>
        <v>0</v>
      </c>
      <c r="H558" s="126" t="str">
        <f t="array" ref="H558">INDEX('Panduan Gaji'!$Q:$Q,MATCH(D558,'Panduan Gaji'!$C:$C,0))</f>
        <v>Fatgai</v>
      </c>
      <c r="I558" s="128" t="s">
        <v>138</v>
      </c>
      <c r="J558" s="309">
        <v>0.4166666666666667</v>
      </c>
      <c r="K558" s="308">
        <v>0.9215277777777777</v>
      </c>
      <c r="L558" s="145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ht="13.5" hidden="1" customHeight="1">
      <c r="A559" s="116">
        <f t="shared" si="83"/>
        <v>15</v>
      </c>
      <c r="B559" s="118">
        <v>46236.0</v>
      </c>
      <c r="C559" s="119"/>
      <c r="D559" s="120" t="str">
        <f t="shared" si="84"/>
        <v>Bulan</v>
      </c>
      <c r="E559" s="121">
        <v>0.0</v>
      </c>
      <c r="F559" s="122"/>
      <c r="G559" s="124">
        <f t="shared" si="88"/>
        <v>0</v>
      </c>
      <c r="H559" s="126" t="str">
        <f t="array" ref="H559">INDEX('Panduan Gaji'!$Q:$Q,MATCH(D559,'Panduan Gaji'!$C:$C,0))</f>
        <v>Fatgai</v>
      </c>
      <c r="I559" s="128" t="s">
        <v>138</v>
      </c>
      <c r="J559" s="309">
        <v>0.4159722222222222</v>
      </c>
      <c r="K559" s="308">
        <v>0.9256944444444445</v>
      </c>
      <c r="L559" s="145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ht="13.5" hidden="1" customHeight="1">
      <c r="A560" s="116">
        <f t="shared" si="83"/>
        <v>15</v>
      </c>
      <c r="B560" s="118">
        <v>46237.0</v>
      </c>
      <c r="C560" s="119"/>
      <c r="D560" s="120" t="str">
        <f t="shared" si="84"/>
        <v>Bulan</v>
      </c>
      <c r="E560" s="121">
        <f>SUMIFS(SSOD!$C:$C,SSOD!$B:$B,Hitungan!D560,SSOD!$A:$A,Hitungan!C560)</f>
        <v>0</v>
      </c>
      <c r="F560" s="122"/>
      <c r="G560" s="124">
        <f t="shared" si="88"/>
        <v>0</v>
      </c>
      <c r="H560" s="126" t="str">
        <f t="array" ref="H560">INDEX('Panduan Gaji'!$Q:$Q,MATCH(D560,'Panduan Gaji'!$C:$C,0))</f>
        <v>Fatgai</v>
      </c>
      <c r="I560" s="128" t="s">
        <v>138</v>
      </c>
      <c r="J560" s="309"/>
      <c r="K560" s="308"/>
      <c r="L560" s="145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ht="13.5" hidden="1" customHeight="1">
      <c r="A561" s="116">
        <f t="shared" si="83"/>
        <v>15</v>
      </c>
      <c r="B561" s="118">
        <v>46238.0</v>
      </c>
      <c r="C561" s="181"/>
      <c r="D561" s="120" t="str">
        <f t="shared" si="84"/>
        <v>Bulan</v>
      </c>
      <c r="E561" s="121">
        <f>SUMIFS(SSOD!$C:$C,SSOD!$B:$B,Hitungan!D561,SSOD!$A:$A,Hitungan!C561)</f>
        <v>0</v>
      </c>
      <c r="F561" s="182"/>
      <c r="G561" s="52">
        <f t="shared" si="88"/>
        <v>0</v>
      </c>
      <c r="H561" s="126" t="str">
        <f t="array" ref="H561">INDEX('Panduan Gaji'!$Q:$Q,MATCH(D561,'Panduan Gaji'!$C:$C,0))</f>
        <v>Fatgai</v>
      </c>
      <c r="I561" s="128" t="s">
        <v>138</v>
      </c>
      <c r="J561" s="309">
        <v>0.41875</v>
      </c>
      <c r="K561" s="308">
        <v>0.9173611111111111</v>
      </c>
      <c r="L561" s="119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ht="13.5" hidden="1" customHeight="1">
      <c r="A562" s="116">
        <f t="shared" si="83"/>
        <v>15</v>
      </c>
      <c r="B562" s="118">
        <v>46239.0</v>
      </c>
      <c r="C562" s="119"/>
      <c r="D562" s="120" t="str">
        <f t="shared" si="84"/>
        <v>Bulan</v>
      </c>
      <c r="E562" s="121">
        <f>SUMIFS(SSOD!$C:$C,SSOD!$B:$B,Hitungan!D562,SSOD!$A:$A,Hitungan!C562)</f>
        <v>0</v>
      </c>
      <c r="F562" s="122"/>
      <c r="G562" s="124">
        <f t="shared" si="88"/>
        <v>0</v>
      </c>
      <c r="H562" s="126" t="str">
        <f t="array" ref="H562">INDEX('Panduan Gaji'!$Q:$Q,MATCH(D562,'Panduan Gaji'!$C:$C,0))</f>
        <v>Fatgai</v>
      </c>
      <c r="I562" s="128" t="s">
        <v>138</v>
      </c>
      <c r="J562" s="309">
        <v>0.4138888888888889</v>
      </c>
      <c r="K562" s="308">
        <v>0.9173611111111111</v>
      </c>
      <c r="L562" s="145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ht="13.5" hidden="1" customHeight="1">
      <c r="A563" s="116">
        <f t="shared" si="83"/>
        <v>15</v>
      </c>
      <c r="B563" s="118">
        <v>46240.0</v>
      </c>
      <c r="C563" s="119"/>
      <c r="D563" s="120" t="str">
        <f t="shared" si="84"/>
        <v>Bulan</v>
      </c>
      <c r="E563" s="121">
        <f>SUMIFS(SSOD!$C:$C,SSOD!$B:$B,Hitungan!D563,SSOD!$A:$A,Hitungan!C563)</f>
        <v>0</v>
      </c>
      <c r="F563" s="122"/>
      <c r="G563" s="124">
        <f t="shared" si="88"/>
        <v>0</v>
      </c>
      <c r="H563" s="126" t="str">
        <f t="array" ref="H563">INDEX('Panduan Gaji'!$Q:$Q,MATCH(D563,'Panduan Gaji'!$C:$C,0))</f>
        <v>Fatgai</v>
      </c>
      <c r="I563" s="128" t="s">
        <v>138</v>
      </c>
      <c r="J563" s="308">
        <v>0.4173611111111111</v>
      </c>
      <c r="K563" s="308">
        <v>0.9173611111111111</v>
      </c>
      <c r="L563" s="145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ht="13.5" hidden="1" customHeight="1">
      <c r="A564" s="116">
        <f t="shared" si="83"/>
        <v>15</v>
      </c>
      <c r="B564" s="118">
        <v>46241.0</v>
      </c>
      <c r="C564" s="119"/>
      <c r="D564" s="120" t="str">
        <f t="shared" si="84"/>
        <v>Bulan</v>
      </c>
      <c r="E564" s="121">
        <f>SUMIFS(SSOD!$C:$C,SSOD!$B:$B,Hitungan!D564,SSOD!$A:$A,Hitungan!C564)</f>
        <v>0</v>
      </c>
      <c r="F564" s="122"/>
      <c r="G564" s="124">
        <f t="shared" si="88"/>
        <v>0</v>
      </c>
      <c r="H564" s="126" t="str">
        <f t="array" ref="H564">INDEX('Panduan Gaji'!$Q:$Q,MATCH(D564,'Panduan Gaji'!$C:$C,0))</f>
        <v>Fatgai</v>
      </c>
      <c r="I564" s="128" t="s">
        <v>138</v>
      </c>
      <c r="J564" s="308">
        <v>0.4159722222222222</v>
      </c>
      <c r="K564" s="310">
        <v>0.9173611111111111</v>
      </c>
      <c r="L564" s="119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ht="13.5" hidden="1" customHeight="1">
      <c r="A565" s="116">
        <f t="shared" si="83"/>
        <v>15</v>
      </c>
      <c r="B565" s="118">
        <v>46242.0</v>
      </c>
      <c r="C565" s="119"/>
      <c r="D565" s="120" t="str">
        <f t="shared" si="84"/>
        <v>Bulan</v>
      </c>
      <c r="E565" s="121">
        <f>SUMIFS(SSOD!$C:$C,SSOD!$B:$B,Hitungan!D565,SSOD!$A:$A,Hitungan!C565)</f>
        <v>0</v>
      </c>
      <c r="F565" s="122"/>
      <c r="G565" s="124">
        <f t="shared" si="88"/>
        <v>0</v>
      </c>
      <c r="H565" s="126" t="str">
        <f t="array" ref="H565">INDEX('Panduan Gaji'!$Q:$Q,MATCH(D565,'Panduan Gaji'!$C:$C,0))</f>
        <v>Fatgai</v>
      </c>
      <c r="I565" s="128" t="s">
        <v>138</v>
      </c>
      <c r="J565" s="309">
        <v>0.4159722222222222</v>
      </c>
      <c r="K565" s="309">
        <v>0.9180555555555555</v>
      </c>
      <c r="L565" s="187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ht="13.5" hidden="1" customHeight="1">
      <c r="A566" s="116">
        <f t="shared" si="83"/>
        <v>15</v>
      </c>
      <c r="B566" s="118">
        <v>46243.0</v>
      </c>
      <c r="C566" s="119"/>
      <c r="D566" s="120" t="str">
        <f t="shared" si="84"/>
        <v>Bulan</v>
      </c>
      <c r="E566" s="121">
        <f>SUMIFS(SSOD!$C:$C,SSOD!$B:$B,Hitungan!D566,SSOD!$A:$A,Hitungan!C566)</f>
        <v>0</v>
      </c>
      <c r="F566" s="122"/>
      <c r="G566" s="124">
        <f t="shared" si="88"/>
        <v>0</v>
      </c>
      <c r="H566" s="126" t="str">
        <f t="array" ref="H566">INDEX('Panduan Gaji'!$Q:$Q,MATCH(D566,'Panduan Gaji'!$C:$C,0))</f>
        <v>Fatgai</v>
      </c>
      <c r="I566" s="128" t="s">
        <v>138</v>
      </c>
      <c r="J566" s="309">
        <v>0.4125</v>
      </c>
      <c r="K566" s="309">
        <v>0.9180555555555555</v>
      </c>
      <c r="L566" s="187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ht="13.5" hidden="1" customHeight="1">
      <c r="A567" s="116">
        <f t="shared" si="83"/>
        <v>15</v>
      </c>
      <c r="B567" s="118">
        <v>46244.0</v>
      </c>
      <c r="C567" s="119"/>
      <c r="D567" s="120" t="str">
        <f t="shared" si="84"/>
        <v>Bulan</v>
      </c>
      <c r="E567" s="121">
        <f>SUMIFS(SSOD!$C:$C,SSOD!$B:$B,Hitungan!D567,SSOD!$A:$A,Hitungan!C567)</f>
        <v>0</v>
      </c>
      <c r="F567" s="122"/>
      <c r="G567" s="124">
        <f t="shared" si="88"/>
        <v>0</v>
      </c>
      <c r="H567" s="126" t="str">
        <f t="array" ref="H567">INDEX('Panduan Gaji'!$Q:$Q,MATCH(D567,'Panduan Gaji'!$C:$C,0))</f>
        <v>Fatgai</v>
      </c>
      <c r="I567" s="128" t="s">
        <v>138</v>
      </c>
      <c r="J567" s="309"/>
      <c r="K567" s="309"/>
      <c r="L567" s="187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ht="13.5" hidden="1" customHeight="1">
      <c r="A568" s="116">
        <f t="shared" si="83"/>
        <v>15</v>
      </c>
      <c r="B568" s="118">
        <v>46245.0</v>
      </c>
      <c r="C568" s="119"/>
      <c r="D568" s="120" t="str">
        <f t="shared" si="84"/>
        <v>Bulan</v>
      </c>
      <c r="E568" s="121">
        <f>SUMIFS(SSOD!$C:$C,SSOD!$B:$B,Hitungan!D568,SSOD!$A:$A,Hitungan!C568)</f>
        <v>0</v>
      </c>
      <c r="F568" s="122"/>
      <c r="G568" s="124">
        <f t="shared" si="88"/>
        <v>0</v>
      </c>
      <c r="H568" s="126" t="str">
        <f t="array" ref="H568">INDEX('Panduan Gaji'!$Q:$Q,MATCH(D568,'Panduan Gaji'!$C:$C,0))</f>
        <v>Fatgai</v>
      </c>
      <c r="I568" s="128" t="s">
        <v>138</v>
      </c>
      <c r="J568" s="308">
        <v>0.4201388888888889</v>
      </c>
      <c r="K568" s="308">
        <v>0.9173611111111111</v>
      </c>
      <c r="L568" s="145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ht="13.5" hidden="1" customHeight="1">
      <c r="A569" s="116">
        <f t="shared" si="83"/>
        <v>15</v>
      </c>
      <c r="B569" s="118">
        <v>46246.0</v>
      </c>
      <c r="C569" s="119"/>
      <c r="D569" s="120" t="str">
        <f t="shared" si="84"/>
        <v>Bulan</v>
      </c>
      <c r="E569" s="121">
        <f>SUMIFS(SSOD!$C:$C,SSOD!$B:$B,Hitungan!D569,SSOD!$A:$A,Hitungan!C569)</f>
        <v>0</v>
      </c>
      <c r="F569" s="122"/>
      <c r="G569" s="124">
        <f t="shared" si="88"/>
        <v>0</v>
      </c>
      <c r="H569" s="126" t="str">
        <f t="array" ref="H569">INDEX('Panduan Gaji'!$Q:$Q,MATCH(D569,'Panduan Gaji'!$C:$C,0))</f>
        <v>Fatgai</v>
      </c>
      <c r="I569" s="128" t="s">
        <v>138</v>
      </c>
      <c r="J569" s="308">
        <v>0.4194444444444445</v>
      </c>
      <c r="K569" s="308">
        <v>0.9180555555555555</v>
      </c>
      <c r="L569" s="145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ht="13.5" hidden="1" customHeight="1">
      <c r="A570" s="116">
        <f t="shared" si="83"/>
        <v>15</v>
      </c>
      <c r="B570" s="118">
        <v>46247.0</v>
      </c>
      <c r="C570" s="119" t="s">
        <v>30</v>
      </c>
      <c r="D570" s="120" t="str">
        <f t="shared" si="84"/>
        <v>Bulan</v>
      </c>
      <c r="E570" s="121">
        <f>SUMIFS(SSOD!$C:$C,SSOD!$B:$B,Hitungan!D570,SSOD!$A:$A,Hitungan!C570)</f>
        <v>19000</v>
      </c>
      <c r="F570" s="122">
        <v>1.0</v>
      </c>
      <c r="G570" s="124">
        <f t="shared" si="88"/>
        <v>19000</v>
      </c>
      <c r="H570" s="126" t="str">
        <f t="array" ref="H570">INDEX('Panduan Gaji'!$Q:$Q,MATCH(D570,'Panduan Gaji'!$C:$C,0))</f>
        <v>Fatgai</v>
      </c>
      <c r="I570" s="128" t="s">
        <v>138</v>
      </c>
      <c r="J570" s="312">
        <v>0.4222222222222222</v>
      </c>
      <c r="K570" s="308">
        <v>0.9173611111111111</v>
      </c>
      <c r="L570" s="145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ht="13.5" hidden="1" customHeight="1">
      <c r="A571" s="116">
        <f t="shared" si="83"/>
        <v>15</v>
      </c>
      <c r="B571" s="118">
        <v>46248.0</v>
      </c>
      <c r="C571" s="119"/>
      <c r="D571" s="120" t="str">
        <f t="shared" si="84"/>
        <v>Bulan</v>
      </c>
      <c r="E571" s="121">
        <f>SUMIFS(SSOD!$C:$C,SSOD!$B:$B,Hitungan!D571,SSOD!$A:$A,Hitungan!C571)</f>
        <v>0</v>
      </c>
      <c r="F571" s="122"/>
      <c r="G571" s="124">
        <f t="shared" si="88"/>
        <v>0</v>
      </c>
      <c r="H571" s="126" t="str">
        <f t="array" ref="H571">INDEX('Panduan Gaji'!$Q:$Q,MATCH(D571,'Panduan Gaji'!$C:$C,0))</f>
        <v>Fatgai</v>
      </c>
      <c r="I571" s="128" t="s">
        <v>138</v>
      </c>
      <c r="J571" s="308">
        <v>0.4138888888888889</v>
      </c>
      <c r="K571" s="310">
        <v>0.9208333333333333</v>
      </c>
      <c r="L571" s="145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ht="13.5" hidden="1" customHeight="1">
      <c r="A572" s="116">
        <f t="shared" si="83"/>
        <v>15</v>
      </c>
      <c r="B572" s="118">
        <v>46249.0</v>
      </c>
      <c r="C572" s="119" t="s">
        <v>30</v>
      </c>
      <c r="D572" s="120" t="str">
        <f t="shared" si="84"/>
        <v>Bulan</v>
      </c>
      <c r="E572" s="121">
        <f>SUMIFS(SSOD!$C:$C,SSOD!$B:$B,Hitungan!D572,SSOD!$A:$A,Hitungan!C572)</f>
        <v>19000</v>
      </c>
      <c r="F572" s="122">
        <v>1.0</v>
      </c>
      <c r="G572" s="124">
        <f t="shared" si="88"/>
        <v>19000</v>
      </c>
      <c r="H572" s="126" t="str">
        <f t="array" ref="H572">INDEX('Panduan Gaji'!$Q:$Q,MATCH(D572,'Panduan Gaji'!$C:$C,0))</f>
        <v>Fatgai</v>
      </c>
      <c r="I572" s="128" t="s">
        <v>138</v>
      </c>
      <c r="J572" s="312">
        <v>0.4243055555555555</v>
      </c>
      <c r="K572" s="308">
        <v>0.91875</v>
      </c>
      <c r="L572" s="145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ht="13.5" hidden="1" customHeight="1">
      <c r="A573" s="116">
        <f t="shared" si="83"/>
        <v>15</v>
      </c>
      <c r="B573" s="118">
        <v>46250.0</v>
      </c>
      <c r="C573" s="119"/>
      <c r="D573" s="120" t="str">
        <f t="shared" si="84"/>
        <v>Bulan</v>
      </c>
      <c r="E573" s="121">
        <f>SUMIFS(SSOD!$C:$C,SSOD!$B:$B,Hitungan!D573,SSOD!$A:$A,Hitungan!C573)</f>
        <v>0</v>
      </c>
      <c r="F573" s="122"/>
      <c r="G573" s="124">
        <f t="shared" si="88"/>
        <v>0</v>
      </c>
      <c r="H573" s="126" t="str">
        <f t="array" ref="H573">INDEX('Panduan Gaji'!$Q:$Q,MATCH(D573,'Panduan Gaji'!$C:$C,0))</f>
        <v>Fatgai</v>
      </c>
      <c r="I573" s="128" t="s">
        <v>138</v>
      </c>
      <c r="J573" s="308">
        <v>0.4159722222222222</v>
      </c>
      <c r="K573" s="308">
        <v>0.9180555555555555</v>
      </c>
      <c r="L573" s="145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ht="13.5" hidden="1" customHeight="1">
      <c r="A574" s="116">
        <f t="shared" si="83"/>
        <v>15</v>
      </c>
      <c r="B574" s="118">
        <v>46251.0</v>
      </c>
      <c r="C574" s="119"/>
      <c r="D574" s="120" t="str">
        <f t="shared" si="84"/>
        <v>Bulan</v>
      </c>
      <c r="E574" s="121">
        <f>SUMIFS(SSOD!$C:$C,SSOD!$B:$B,Hitungan!D574,SSOD!$A:$A,Hitungan!C574)</f>
        <v>0</v>
      </c>
      <c r="F574" s="122"/>
      <c r="G574" s="124">
        <f t="shared" si="88"/>
        <v>0</v>
      </c>
      <c r="H574" s="126" t="str">
        <f t="array" ref="H574">INDEX('Panduan Gaji'!$Q:$Q,MATCH(D574,'Panduan Gaji'!$C:$C,0))</f>
        <v>Fatgai</v>
      </c>
      <c r="I574" s="128" t="s">
        <v>138</v>
      </c>
      <c r="J574" s="308"/>
      <c r="K574" s="308"/>
      <c r="L574" s="119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ht="13.5" hidden="1" customHeight="1">
      <c r="A575" s="116">
        <f t="shared" si="83"/>
        <v>15</v>
      </c>
      <c r="B575" s="118">
        <v>46252.0</v>
      </c>
      <c r="C575" s="119"/>
      <c r="D575" s="120" t="str">
        <f t="shared" si="84"/>
        <v>Bulan</v>
      </c>
      <c r="E575" s="121">
        <f>SUMIFS(SSOD!$C:$C,SSOD!$B:$B,Hitungan!D575,SSOD!$A:$A,Hitungan!C575)</f>
        <v>0</v>
      </c>
      <c r="F575" s="122"/>
      <c r="G575" s="124">
        <f t="shared" si="88"/>
        <v>0</v>
      </c>
      <c r="H575" s="126" t="str">
        <f t="array" ref="H575">INDEX('Panduan Gaji'!$Q:$Q,MATCH(D575,'Panduan Gaji'!$C:$C,0))</f>
        <v>Fatgai</v>
      </c>
      <c r="I575" s="128" t="s">
        <v>138</v>
      </c>
      <c r="J575" s="308">
        <v>0.4173611111111111</v>
      </c>
      <c r="K575" s="308">
        <v>0.9173611111111111</v>
      </c>
      <c r="L575" s="119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ht="13.5" hidden="1" customHeight="1">
      <c r="A576" s="116">
        <f t="shared" si="83"/>
        <v>15</v>
      </c>
      <c r="B576" s="118">
        <v>46253.0</v>
      </c>
      <c r="C576" s="119"/>
      <c r="D576" s="120" t="str">
        <f t="shared" si="84"/>
        <v>Bulan</v>
      </c>
      <c r="E576" s="121">
        <f>SUMIFS(SSOD!$C:$C,SSOD!$B:$B,Hitungan!D576,SSOD!$A:$A,Hitungan!C576)</f>
        <v>0</v>
      </c>
      <c r="F576" s="122"/>
      <c r="G576" s="124">
        <f t="shared" si="88"/>
        <v>0</v>
      </c>
      <c r="H576" s="126" t="str">
        <f t="array" ref="H576">INDEX('Panduan Gaji'!$Q:$Q,MATCH(D576,'Panduan Gaji'!$C:$C,0))</f>
        <v>Fatgai</v>
      </c>
      <c r="I576" s="128" t="s">
        <v>138</v>
      </c>
      <c r="J576" s="308">
        <v>0.4118055555555555</v>
      </c>
      <c r="K576" s="308">
        <v>0.9173611111111111</v>
      </c>
      <c r="L576" s="119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ht="13.5" hidden="1" customHeight="1">
      <c r="A577" s="116">
        <f t="shared" si="83"/>
        <v>15</v>
      </c>
      <c r="B577" s="118">
        <v>46254.0</v>
      </c>
      <c r="C577" s="119"/>
      <c r="D577" s="120" t="str">
        <f t="shared" si="84"/>
        <v>Bulan</v>
      </c>
      <c r="E577" s="121">
        <f>SUMIFS(SSOD!$C:$C,SSOD!$B:$B,Hitungan!D577,SSOD!$A:$A,Hitungan!C577)</f>
        <v>0</v>
      </c>
      <c r="F577" s="122"/>
      <c r="G577" s="124">
        <f t="shared" si="88"/>
        <v>0</v>
      </c>
      <c r="H577" s="126" t="str">
        <f t="array" ref="H577">INDEX('Panduan Gaji'!$Q:$Q,MATCH(D577,'Panduan Gaji'!$C:$C,0))</f>
        <v>Fatgai</v>
      </c>
      <c r="I577" s="128" t="s">
        <v>138</v>
      </c>
      <c r="J577" s="308">
        <v>0.4180555555555556</v>
      </c>
      <c r="K577" s="308">
        <v>0.9173611111111111</v>
      </c>
      <c r="L577" s="145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ht="13.5" hidden="1" customHeight="1">
      <c r="A578" s="116">
        <f t="shared" si="83"/>
        <v>15</v>
      </c>
      <c r="B578" s="118">
        <v>46255.0</v>
      </c>
      <c r="C578" s="119"/>
      <c r="D578" s="120" t="str">
        <f t="shared" si="84"/>
        <v>Bulan</v>
      </c>
      <c r="E578" s="121">
        <f>SUMIFS(SSOD!$C:$C,SSOD!$B:$B,Hitungan!D578,SSOD!$A:$A,Hitungan!C578)</f>
        <v>0</v>
      </c>
      <c r="F578" s="122"/>
      <c r="G578" s="124">
        <f t="shared" si="88"/>
        <v>0</v>
      </c>
      <c r="H578" s="126" t="str">
        <f t="array" ref="H578">INDEX('Panduan Gaji'!$Q:$Q,MATCH(D578,'Panduan Gaji'!$C:$C,0))</f>
        <v>Fatgai</v>
      </c>
      <c r="I578" s="128" t="s">
        <v>138</v>
      </c>
      <c r="J578" s="308">
        <v>0.4138888888888889</v>
      </c>
      <c r="K578" s="308"/>
      <c r="L578" s="119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ht="13.5" hidden="1" customHeight="1">
      <c r="A579" s="116">
        <f t="shared" si="83"/>
        <v>15</v>
      </c>
      <c r="B579" s="118">
        <v>46256.0</v>
      </c>
      <c r="C579" s="119"/>
      <c r="D579" s="120" t="str">
        <f t="shared" si="84"/>
        <v>Bulan</v>
      </c>
      <c r="E579" s="121">
        <f>SUMIFS(SSOD!$C:$C,SSOD!$B:$B,Hitungan!D579,SSOD!$A:$A,Hitungan!C579)</f>
        <v>0</v>
      </c>
      <c r="F579" s="122"/>
      <c r="G579" s="124">
        <f t="shared" si="88"/>
        <v>0</v>
      </c>
      <c r="H579" s="126" t="str">
        <f t="array" ref="H579">INDEX('Panduan Gaji'!$Q:$Q,MATCH(D579,'Panduan Gaji'!$C:$C,0))</f>
        <v>Fatgai</v>
      </c>
      <c r="I579" s="128" t="s">
        <v>138</v>
      </c>
      <c r="J579" s="308">
        <v>0.4180555555555556</v>
      </c>
      <c r="K579" s="308">
        <v>0.9173611111111111</v>
      </c>
      <c r="L579" s="119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ht="13.5" hidden="1" customHeight="1">
      <c r="A580" s="116">
        <f t="shared" si="83"/>
        <v>15</v>
      </c>
      <c r="B580" s="118">
        <v>46257.0</v>
      </c>
      <c r="C580" s="119"/>
      <c r="D580" s="120" t="str">
        <f t="shared" si="84"/>
        <v>Bulan</v>
      </c>
      <c r="E580" s="121">
        <f>SUMIFS(SSOD!$C:$C,SSOD!$B:$B,Hitungan!D580,SSOD!$A:$A,Hitungan!C580)</f>
        <v>0</v>
      </c>
      <c r="F580" s="122"/>
      <c r="G580" s="124">
        <f t="shared" si="88"/>
        <v>0</v>
      </c>
      <c r="H580" s="126" t="str">
        <f t="array" ref="H580">INDEX('Panduan Gaji'!$Q:$Q,MATCH(D580,'Panduan Gaji'!$C:$C,0))</f>
        <v>Fatgai</v>
      </c>
      <c r="I580" s="128" t="s">
        <v>138</v>
      </c>
      <c r="J580" s="308">
        <v>0.4145833333333334</v>
      </c>
      <c r="K580" s="308">
        <v>0.9173611111111111</v>
      </c>
      <c r="L580" s="119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ht="15.75" hidden="1" customHeight="1">
      <c r="A581" s="116">
        <f t="shared" si="83"/>
        <v>15</v>
      </c>
      <c r="B581" s="118">
        <v>46258.0</v>
      </c>
      <c r="C581" s="119"/>
      <c r="D581" s="120" t="str">
        <f t="shared" si="84"/>
        <v>Bulan</v>
      </c>
      <c r="E581" s="121">
        <f>SUMIFS(SSOD!$C:$C,SSOD!$B:$B,Hitungan!D581,SSOD!$A:$A,Hitungan!C581)</f>
        <v>0</v>
      </c>
      <c r="F581" s="122"/>
      <c r="G581" s="124">
        <f t="shared" si="88"/>
        <v>0</v>
      </c>
      <c r="H581" s="220" t="str">
        <f t="array" ref="H581">INDEX('Panduan Gaji'!$Q:$Q,MATCH(D581,'Panduan Gaji'!$C:$C,0))</f>
        <v>Fatgai</v>
      </c>
      <c r="I581" s="128" t="s">
        <v>138</v>
      </c>
      <c r="J581" s="308">
        <v>0.4166666666666667</v>
      </c>
      <c r="K581" s="308"/>
      <c r="L581" s="119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ht="15.75" hidden="1" customHeight="1">
      <c r="A582" s="222"/>
      <c r="B582" s="223"/>
      <c r="C582" s="224"/>
      <c r="D582" s="225"/>
      <c r="E582" s="226"/>
      <c r="F582" s="227"/>
      <c r="G582" s="228"/>
      <c r="H582" s="229"/>
      <c r="I582" s="22"/>
      <c r="J582" s="230"/>
      <c r="K582" s="230"/>
      <c r="L582" s="224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ht="13.5" hidden="1" customHeight="1">
      <c r="A583" s="26">
        <v>16.0</v>
      </c>
      <c r="B583" s="28"/>
      <c r="C583" s="30" t="s">
        <v>6</v>
      </c>
      <c r="D583" s="33" t="s">
        <v>126</v>
      </c>
      <c r="E583" s="42">
        <f>SUMIFS(SSOD!$C:$C,SSOD!$B:$B,Hitungan!D583,SSOD!$A:$A,Hitungan!C583)</f>
        <v>1740000</v>
      </c>
      <c r="F583" s="44">
        <v>1.0</v>
      </c>
      <c r="G583" s="47">
        <f t="shared" ref="G583:G586" si="89">E583*F583</f>
        <v>1740000</v>
      </c>
      <c r="H583" s="51" t="str">
        <f t="array" ref="H583">INDEX('Panduan Gaji'!$Q:$Q,MATCH(D583,'Panduan Gaji'!$C:$C,0))</f>
        <v>Fatgai</v>
      </c>
      <c r="I583" s="53"/>
      <c r="J583" s="54"/>
      <c r="K583" s="54"/>
      <c r="L583" s="55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ht="13.5" hidden="1" customHeight="1">
      <c r="A584" s="26">
        <f t="shared" ref="A584:A622" si="90">A583</f>
        <v>16</v>
      </c>
      <c r="B584" s="28"/>
      <c r="C584" s="30" t="s">
        <v>17</v>
      </c>
      <c r="D584" s="33" t="str">
        <f t="shared" ref="D584:D622" si="91">D583</f>
        <v>Sanusi</v>
      </c>
      <c r="E584" s="42">
        <f>SUMIFS(SSOD!$C:$C,SSOD!$B:$B,Hitungan!D584,SSOD!$A:$A,Hitungan!C584)</f>
        <v>0</v>
      </c>
      <c r="F584" s="44"/>
      <c r="G584" s="47">
        <f t="shared" si="89"/>
        <v>0</v>
      </c>
      <c r="H584" s="51" t="str">
        <f t="array" ref="H584">INDEX('Panduan Gaji'!$Q:$Q,MATCH(D584,'Panduan Gaji'!$C:$C,0))</f>
        <v>Fatgai</v>
      </c>
      <c r="I584" s="53"/>
      <c r="J584" s="54"/>
      <c r="K584" s="54"/>
      <c r="L584" s="55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ht="13.5" hidden="1" customHeight="1">
      <c r="A585" s="26">
        <f t="shared" si="90"/>
        <v>16</v>
      </c>
      <c r="B585" s="28"/>
      <c r="C585" s="30" t="s">
        <v>7</v>
      </c>
      <c r="D585" s="33" t="str">
        <f t="shared" si="91"/>
        <v>Sanusi</v>
      </c>
      <c r="E585" s="42">
        <f>SUMIFS(SSOD!$C:$C,SSOD!$B:$B,Hitungan!D585,SSOD!$A:$A,Hitungan!C585)</f>
        <v>21000</v>
      </c>
      <c r="F585" s="44">
        <f t="shared" ref="F585:F586" si="92">SUMPRODUCT(--((($J$593:$J$622&lt;&gt;"")+($K$593:$K$622&lt;&gt;""))&gt;0))</f>
        <v>26</v>
      </c>
      <c r="G585" s="47">
        <f t="shared" si="89"/>
        <v>546000</v>
      </c>
      <c r="H585" s="51" t="str">
        <f t="array" ref="H585">INDEX('Panduan Gaji'!$Q:$Q,MATCH(D585,'Panduan Gaji'!$C:$C,0))</f>
        <v>Fatgai</v>
      </c>
      <c r="I585" s="53"/>
      <c r="J585" s="88"/>
      <c r="K585" s="88"/>
      <c r="L585" s="55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ht="13.5" hidden="1" customHeight="1">
      <c r="A586" s="26">
        <f t="shared" si="90"/>
        <v>16</v>
      </c>
      <c r="B586" s="28"/>
      <c r="C586" s="30" t="s">
        <v>9</v>
      </c>
      <c r="D586" s="33" t="str">
        <f t="shared" si="91"/>
        <v>Sanusi</v>
      </c>
      <c r="E586" s="42">
        <f>SUMIFS(SSOD!$C:$C,SSOD!$B:$B,Hitungan!D586,SSOD!$A:$A,Hitungan!C586)</f>
        <v>39150</v>
      </c>
      <c r="F586" s="44">
        <f t="shared" si="92"/>
        <v>26</v>
      </c>
      <c r="G586" s="47">
        <f t="shared" si="89"/>
        <v>1017900</v>
      </c>
      <c r="H586" s="51" t="str">
        <f t="array" ref="H586">INDEX('Panduan Gaji'!$Q:$Q,MATCH(D586,'Panduan Gaji'!$C:$C,0))</f>
        <v>Fatgai</v>
      </c>
      <c r="I586" s="53"/>
      <c r="J586" s="88"/>
      <c r="K586" s="88"/>
      <c r="L586" s="9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 ht="15.75" hidden="1" customHeight="1">
      <c r="A587" s="26">
        <f t="shared" si="90"/>
        <v>16</v>
      </c>
      <c r="B587" s="28"/>
      <c r="C587" s="30" t="s">
        <v>39</v>
      </c>
      <c r="D587" s="33" t="str">
        <f t="shared" si="91"/>
        <v>Sanusi</v>
      </c>
      <c r="E587" s="350">
        <v>217181.0</v>
      </c>
      <c r="F587" s="44">
        <v>1.0</v>
      </c>
      <c r="G587" s="47">
        <f>F587*E587</f>
        <v>217181</v>
      </c>
      <c r="H587" s="51" t="str">
        <f t="array" ref="H587">INDEX('Panduan Gaji'!$Q:$Q,MATCH(D587,'Panduan Gaji'!$C:$C,0))</f>
        <v>Fatgai</v>
      </c>
      <c r="I587" s="53"/>
      <c r="J587" s="88"/>
      <c r="K587" s="88"/>
      <c r="L587" s="9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 ht="15.75" hidden="1" customHeight="1">
      <c r="A588" s="26">
        <f t="shared" si="90"/>
        <v>16</v>
      </c>
      <c r="B588" s="28"/>
      <c r="C588" s="30" t="s">
        <v>12</v>
      </c>
      <c r="D588" s="33" t="str">
        <f t="shared" si="91"/>
        <v>Sanusi</v>
      </c>
      <c r="E588" s="42">
        <f>SUMIFS(SSOD!$C:$C,SSOD!$B:$B,Hitungan!D588,SSOD!$A:$A,Hitungan!C588)</f>
        <v>13050</v>
      </c>
      <c r="F588" s="44">
        <f>SUMIF($C$593:$C$622,C588,$F$593:$F$622)</f>
        <v>0</v>
      </c>
      <c r="G588" s="47">
        <f t="shared" ref="G588:G589" si="93">E588*F588</f>
        <v>0</v>
      </c>
      <c r="H588" s="51" t="str">
        <f t="array" ref="H588">INDEX('Panduan Gaji'!$Q:$Q,MATCH(D588,'Panduan Gaji'!$C:$C,0))</f>
        <v>Fatgai</v>
      </c>
      <c r="I588" s="53"/>
      <c r="J588" s="88"/>
      <c r="K588" s="88"/>
      <c r="L588" s="100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 ht="15.75" hidden="1" customHeight="1">
      <c r="A589" s="26">
        <f t="shared" si="90"/>
        <v>16</v>
      </c>
      <c r="B589" s="28"/>
      <c r="C589" s="102" t="s">
        <v>30</v>
      </c>
      <c r="D589" s="33" t="str">
        <f t="shared" si="91"/>
        <v>Sanusi</v>
      </c>
      <c r="E589" s="42">
        <f>SUMIFS(SSOD!$C:$C,SSOD!$B:$B,Hitungan!D589,SSOD!$A:$A,Hitungan!C589)</f>
        <v>13050</v>
      </c>
      <c r="F589" s="44">
        <f t="shared" ref="F589:F590" si="94">COUNTIF($C$593:$C$622,C589)</f>
        <v>2</v>
      </c>
      <c r="G589" s="47">
        <f t="shared" si="93"/>
        <v>26100</v>
      </c>
      <c r="H589" s="51" t="str">
        <f t="array" ref="H589">INDEX('Panduan Gaji'!$Q:$Q,MATCH(D589,'Panduan Gaji'!$C:$C,0))</f>
        <v>Fatgai</v>
      </c>
      <c r="I589" s="53"/>
      <c r="J589" s="105"/>
      <c r="K589" s="105"/>
      <c r="L589" s="10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 ht="15.75" hidden="1" customHeight="1">
      <c r="A590" s="26">
        <f t="shared" si="90"/>
        <v>16</v>
      </c>
      <c r="B590" s="28"/>
      <c r="C590" s="30" t="s">
        <v>33</v>
      </c>
      <c r="D590" s="33" t="str">
        <f t="shared" si="91"/>
        <v>Sanusi</v>
      </c>
      <c r="E590" s="42"/>
      <c r="F590" s="44">
        <f t="shared" si="94"/>
        <v>0</v>
      </c>
      <c r="G590" s="47">
        <f>SUMIF($C$593:$C$622,C590,$E$593:$E$622)</f>
        <v>0</v>
      </c>
      <c r="H590" s="51" t="str">
        <f t="array" ref="H590">INDEX('Panduan Gaji'!$Q:$Q,MATCH(D590,'Panduan Gaji'!$C:$C,0))</f>
        <v>Fatgai</v>
      </c>
      <c r="I590" s="53"/>
      <c r="J590" s="105"/>
      <c r="K590" s="105"/>
      <c r="L590" s="10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 ht="15.75" hidden="1" customHeight="1">
      <c r="A591" s="26">
        <f t="shared" si="90"/>
        <v>16</v>
      </c>
      <c r="B591" s="28"/>
      <c r="C591" s="30" t="s">
        <v>83</v>
      </c>
      <c r="D591" s="33" t="str">
        <f t="shared" si="91"/>
        <v>Sanusi</v>
      </c>
      <c r="E591" s="42"/>
      <c r="F591" s="44"/>
      <c r="G591" s="47"/>
      <c r="H591" s="51" t="str">
        <f t="array" ref="H591">INDEX('Panduan Gaji'!$Q:$Q,MATCH(D591,'Panduan Gaji'!$C:$C,0))</f>
        <v>Fatgai</v>
      </c>
      <c r="I591" s="53"/>
      <c r="J591" s="105"/>
      <c r="K591" s="105"/>
      <c r="L591" s="10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 ht="13.5" hidden="1" customHeight="1">
      <c r="A592" s="26">
        <f t="shared" si="90"/>
        <v>16</v>
      </c>
      <c r="B592" s="28"/>
      <c r="C592" s="30" t="s">
        <v>85</v>
      </c>
      <c r="D592" s="33" t="str">
        <f t="shared" si="91"/>
        <v>Sanusi</v>
      </c>
      <c r="E592" s="42"/>
      <c r="F592" s="44"/>
      <c r="G592" s="47"/>
      <c r="H592" s="51" t="str">
        <f t="array" ref="H592">INDEX('Panduan Gaji'!$Q:$Q,MATCH(D592,'Panduan Gaji'!$C:$C,0))</f>
        <v>Fatgai</v>
      </c>
      <c r="I592" s="53"/>
      <c r="J592" s="105"/>
      <c r="K592" s="105"/>
      <c r="L592" s="106"/>
      <c r="M592" s="56"/>
      <c r="N592" s="56"/>
      <c r="O592" s="22"/>
      <c r="P592" s="56"/>
      <c r="Q592" s="56"/>
      <c r="R592" s="56"/>
      <c r="S592" s="56"/>
      <c r="T592" s="56"/>
      <c r="U592" s="56"/>
      <c r="V592" s="56"/>
      <c r="W592" s="56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 ht="13.5" hidden="1" customHeight="1">
      <c r="A593" s="116">
        <f t="shared" si="90"/>
        <v>16</v>
      </c>
      <c r="B593" s="118">
        <v>46229.0</v>
      </c>
      <c r="C593" s="119"/>
      <c r="D593" s="120" t="str">
        <f t="shared" si="91"/>
        <v>Sanusi</v>
      </c>
      <c r="E593" s="121">
        <f>SUMIFS(SSOD!$C:$C,SSOD!$B:$B,Hitungan!D593,SSOD!$A:$A,Hitungan!C593)</f>
        <v>0</v>
      </c>
      <c r="F593" s="122"/>
      <c r="G593" s="124">
        <f t="shared" ref="G593:G622" si="95">E593*F593</f>
        <v>0</v>
      </c>
      <c r="H593" s="126" t="str">
        <f t="array" ref="H593">INDEX('Panduan Gaji'!$Q:$Q,MATCH(D593,'Panduan Gaji'!$C:$C,0))</f>
        <v>Fatgai</v>
      </c>
      <c r="I593" s="128" t="s">
        <v>138</v>
      </c>
      <c r="J593" s="308">
        <v>0.4166666666666667</v>
      </c>
      <c r="K593" s="308">
        <v>0.9173611111111111</v>
      </c>
      <c r="L593" s="130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 ht="13.5" hidden="1" customHeight="1">
      <c r="A594" s="116">
        <f t="shared" si="90"/>
        <v>16</v>
      </c>
      <c r="B594" s="118">
        <v>46230.0</v>
      </c>
      <c r="C594" s="119"/>
      <c r="D594" s="120" t="str">
        <f t="shared" si="91"/>
        <v>Sanusi</v>
      </c>
      <c r="E594" s="121">
        <f>SUMIFS(SSOD!$C:$C,SSOD!$B:$B,Hitungan!D594,SSOD!$A:$A,Hitungan!C594)</f>
        <v>0</v>
      </c>
      <c r="F594" s="122"/>
      <c r="G594" s="124">
        <f t="shared" si="95"/>
        <v>0</v>
      </c>
      <c r="H594" s="126" t="str">
        <f t="array" ref="H594">INDEX('Panduan Gaji'!$Q:$Q,MATCH(D594,'Panduan Gaji'!$C:$C,0))</f>
        <v>Fatgai</v>
      </c>
      <c r="I594" s="128" t="s">
        <v>138</v>
      </c>
      <c r="J594" s="129"/>
      <c r="K594" s="137"/>
      <c r="L594" s="138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 ht="13.5" hidden="1" customHeight="1">
      <c r="A595" s="116">
        <f t="shared" si="90"/>
        <v>16</v>
      </c>
      <c r="B595" s="118">
        <v>46231.0</v>
      </c>
      <c r="C595" s="119"/>
      <c r="D595" s="120" t="str">
        <f t="shared" si="91"/>
        <v>Sanusi</v>
      </c>
      <c r="E595" s="121">
        <f>SUMIFS(SSOD!$C:$C,SSOD!$B:$B,Hitungan!D595,SSOD!$A:$A,Hitungan!C595)</f>
        <v>0</v>
      </c>
      <c r="F595" s="122"/>
      <c r="G595" s="124">
        <f t="shared" si="95"/>
        <v>0</v>
      </c>
      <c r="H595" s="126" t="str">
        <f t="array" ref="H595">INDEX('Panduan Gaji'!$Q:$Q,MATCH(D595,'Panduan Gaji'!$C:$C,0))</f>
        <v>Fatgai</v>
      </c>
      <c r="I595" s="128" t="s">
        <v>138</v>
      </c>
      <c r="J595" s="308">
        <v>0.4166666666666667</v>
      </c>
      <c r="K595" s="308">
        <v>0.9173611111111111</v>
      </c>
      <c r="L595" s="145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 ht="13.5" hidden="1" customHeight="1">
      <c r="A596" s="116">
        <f t="shared" si="90"/>
        <v>16</v>
      </c>
      <c r="B596" s="118">
        <v>46232.0</v>
      </c>
      <c r="C596" s="146"/>
      <c r="D596" s="120" t="str">
        <f t="shared" si="91"/>
        <v>Sanusi</v>
      </c>
      <c r="E596" s="147">
        <f>SUMIFS(SSOD!$C:$C,SSOD!$B:$B,Hitungan!D596,SSOD!$A:$A,Hitungan!C596)</f>
        <v>0</v>
      </c>
      <c r="F596" s="148"/>
      <c r="G596" s="124">
        <f t="shared" si="95"/>
        <v>0</v>
      </c>
      <c r="H596" s="126" t="str">
        <f t="array" ref="H596">INDEX('Panduan Gaji'!$Q:$Q,MATCH(D596,'Panduan Gaji'!$C:$C,0))</f>
        <v>Fatgai</v>
      </c>
      <c r="I596" s="128" t="s">
        <v>138</v>
      </c>
      <c r="J596" s="308">
        <v>0.41875</v>
      </c>
      <c r="K596" s="308">
        <v>0.9173611111111111</v>
      </c>
      <c r="L596" s="153"/>
      <c r="M596" s="16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 ht="13.5" hidden="1" customHeight="1">
      <c r="A597" s="116">
        <f t="shared" si="90"/>
        <v>16</v>
      </c>
      <c r="B597" s="118">
        <v>46233.0</v>
      </c>
      <c r="C597" s="119"/>
      <c r="D597" s="120" t="str">
        <f t="shared" si="91"/>
        <v>Sanusi</v>
      </c>
      <c r="E597" s="121">
        <f>SUMIFS(SSOD!$C:$C,SSOD!$B:$B,Hitungan!D597,SSOD!$A:$A,Hitungan!C597)</f>
        <v>0</v>
      </c>
      <c r="F597" s="122"/>
      <c r="G597" s="124">
        <f t="shared" si="95"/>
        <v>0</v>
      </c>
      <c r="H597" s="126" t="str">
        <f t="array" ref="H597">INDEX('Panduan Gaji'!$Q:$Q,MATCH(D597,'Panduan Gaji'!$C:$C,0))</f>
        <v>Fatgai</v>
      </c>
      <c r="I597" s="128" t="s">
        <v>138</v>
      </c>
      <c r="J597" s="308">
        <v>0.41875</v>
      </c>
      <c r="K597" s="308">
        <v>0.9173611111111111</v>
      </c>
      <c r="L597" s="164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 ht="13.5" hidden="1" customHeight="1">
      <c r="A598" s="116">
        <f t="shared" si="90"/>
        <v>16</v>
      </c>
      <c r="B598" s="118">
        <v>46234.0</v>
      </c>
      <c r="C598" s="119"/>
      <c r="D598" s="120" t="str">
        <f t="shared" si="91"/>
        <v>Sanusi</v>
      </c>
      <c r="E598" s="121">
        <f>SUMIFS(SSOD!$C:$C,SSOD!$B:$B,Hitungan!D598,SSOD!$A:$A,Hitungan!C598)</f>
        <v>0</v>
      </c>
      <c r="F598" s="122"/>
      <c r="G598" s="124">
        <f t="shared" si="95"/>
        <v>0</v>
      </c>
      <c r="H598" s="126" t="str">
        <f t="array" ref="H598">INDEX('Panduan Gaji'!$Q:$Q,MATCH(D598,'Panduan Gaji'!$C:$C,0))</f>
        <v>Fatgai</v>
      </c>
      <c r="I598" s="128" t="s">
        <v>138</v>
      </c>
      <c r="J598" s="308">
        <v>0.4180555555555556</v>
      </c>
      <c r="K598" s="308">
        <v>0.9173611111111111</v>
      </c>
      <c r="L598" s="130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 ht="13.5" hidden="1" customHeight="1">
      <c r="A599" s="116">
        <f t="shared" si="90"/>
        <v>16</v>
      </c>
      <c r="B599" s="118">
        <v>46235.0</v>
      </c>
      <c r="C599" s="119"/>
      <c r="D599" s="120" t="str">
        <f t="shared" si="91"/>
        <v>Sanusi</v>
      </c>
      <c r="E599" s="121">
        <f>SUMIFS(SSOD!$C:$C,SSOD!$B:$B,Hitungan!D599,SSOD!$A:$A,Hitungan!C599)</f>
        <v>0</v>
      </c>
      <c r="F599" s="122"/>
      <c r="G599" s="124">
        <f t="shared" si="95"/>
        <v>0</v>
      </c>
      <c r="H599" s="126" t="str">
        <f t="array" ref="H599">INDEX('Panduan Gaji'!$Q:$Q,MATCH(D599,'Panduan Gaji'!$C:$C,0))</f>
        <v>Fatgai</v>
      </c>
      <c r="I599" s="128" t="s">
        <v>138</v>
      </c>
      <c r="J599" s="309">
        <v>0.4166666666666667</v>
      </c>
      <c r="K599" s="308">
        <v>0.9194444444444444</v>
      </c>
      <c r="L599" s="145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 ht="13.5" hidden="1" customHeight="1">
      <c r="A600" s="116">
        <f t="shared" si="90"/>
        <v>16</v>
      </c>
      <c r="B600" s="118">
        <v>46236.0</v>
      </c>
      <c r="C600" s="119"/>
      <c r="D600" s="120" t="str">
        <f t="shared" si="91"/>
        <v>Sanusi</v>
      </c>
      <c r="E600" s="121">
        <v>0.0</v>
      </c>
      <c r="F600" s="122"/>
      <c r="G600" s="124">
        <f t="shared" si="95"/>
        <v>0</v>
      </c>
      <c r="H600" s="126" t="str">
        <f t="array" ref="H600">INDEX('Panduan Gaji'!$Q:$Q,MATCH(D600,'Panduan Gaji'!$C:$C,0))</f>
        <v>Fatgai</v>
      </c>
      <c r="I600" s="128" t="s">
        <v>138</v>
      </c>
      <c r="J600" s="309">
        <v>0.4159722222222222</v>
      </c>
      <c r="K600" s="308">
        <v>0.9236111111111112</v>
      </c>
      <c r="L600" s="145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 ht="13.5" hidden="1" customHeight="1">
      <c r="A601" s="116">
        <f t="shared" si="90"/>
        <v>16</v>
      </c>
      <c r="B601" s="118">
        <v>46237.0</v>
      </c>
      <c r="C601" s="119"/>
      <c r="D601" s="120" t="str">
        <f t="shared" si="91"/>
        <v>Sanusi</v>
      </c>
      <c r="E601" s="121">
        <f>SUMIFS(SSOD!$C:$C,SSOD!$B:$B,Hitungan!D601,SSOD!$A:$A,Hitungan!C601)</f>
        <v>0</v>
      </c>
      <c r="F601" s="122"/>
      <c r="G601" s="124">
        <f t="shared" si="95"/>
        <v>0</v>
      </c>
      <c r="H601" s="126" t="str">
        <f t="array" ref="H601">INDEX('Panduan Gaji'!$Q:$Q,MATCH(D601,'Panduan Gaji'!$C:$C,0))</f>
        <v>Fatgai</v>
      </c>
      <c r="I601" s="128" t="s">
        <v>138</v>
      </c>
      <c r="J601" s="309"/>
      <c r="K601" s="308"/>
      <c r="L601" s="145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 ht="13.5" hidden="1" customHeight="1">
      <c r="A602" s="116">
        <f t="shared" si="90"/>
        <v>16</v>
      </c>
      <c r="B602" s="118">
        <v>46238.0</v>
      </c>
      <c r="C602" s="181"/>
      <c r="D602" s="120" t="str">
        <f t="shared" si="91"/>
        <v>Sanusi</v>
      </c>
      <c r="E602" s="121">
        <f>SUMIFS(SSOD!$C:$C,SSOD!$B:$B,Hitungan!D602,SSOD!$A:$A,Hitungan!C602)</f>
        <v>0</v>
      </c>
      <c r="F602" s="182"/>
      <c r="G602" s="52">
        <f t="shared" si="95"/>
        <v>0</v>
      </c>
      <c r="H602" s="126" t="str">
        <f t="array" ref="H602">INDEX('Panduan Gaji'!$Q:$Q,MATCH(D602,'Panduan Gaji'!$C:$C,0))</f>
        <v>Fatgai</v>
      </c>
      <c r="I602" s="128" t="s">
        <v>138</v>
      </c>
      <c r="J602" s="309">
        <v>0.41875</v>
      </c>
      <c r="K602" s="308">
        <v>0.9173611111111111</v>
      </c>
      <c r="L602" s="119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 ht="13.5" hidden="1" customHeight="1">
      <c r="A603" s="116">
        <f t="shared" si="90"/>
        <v>16</v>
      </c>
      <c r="B603" s="118">
        <v>46239.0</v>
      </c>
      <c r="C603" s="119"/>
      <c r="D603" s="120" t="str">
        <f t="shared" si="91"/>
        <v>Sanusi</v>
      </c>
      <c r="E603" s="121">
        <f>SUMIFS(SSOD!$C:$C,SSOD!$B:$B,Hitungan!D603,SSOD!$A:$A,Hitungan!C603)</f>
        <v>0</v>
      </c>
      <c r="F603" s="122"/>
      <c r="G603" s="124">
        <f t="shared" si="95"/>
        <v>0</v>
      </c>
      <c r="H603" s="126" t="str">
        <f t="array" ref="H603">INDEX('Panduan Gaji'!$Q:$Q,MATCH(D603,'Panduan Gaji'!$C:$C,0))</f>
        <v>Fatgai</v>
      </c>
      <c r="I603" s="128" t="s">
        <v>138</v>
      </c>
      <c r="J603" s="309">
        <v>0.4138888888888889</v>
      </c>
      <c r="K603" s="308">
        <v>0.9166666666666666</v>
      </c>
      <c r="L603" s="145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 ht="13.5" hidden="1" customHeight="1">
      <c r="A604" s="116">
        <f t="shared" si="90"/>
        <v>16</v>
      </c>
      <c r="B604" s="118">
        <v>46240.0</v>
      </c>
      <c r="C604" s="119"/>
      <c r="D604" s="120" t="str">
        <f t="shared" si="91"/>
        <v>Sanusi</v>
      </c>
      <c r="E604" s="121">
        <f>SUMIFS(SSOD!$C:$C,SSOD!$B:$B,Hitungan!D604,SSOD!$A:$A,Hitungan!C604)</f>
        <v>0</v>
      </c>
      <c r="F604" s="122"/>
      <c r="G604" s="124">
        <f t="shared" si="95"/>
        <v>0</v>
      </c>
      <c r="H604" s="126" t="str">
        <f t="array" ref="H604">INDEX('Panduan Gaji'!$Q:$Q,MATCH(D604,'Panduan Gaji'!$C:$C,0))</f>
        <v>Fatgai</v>
      </c>
      <c r="I604" s="128" t="s">
        <v>138</v>
      </c>
      <c r="J604" s="308">
        <v>0.4173611111111111</v>
      </c>
      <c r="K604" s="308">
        <v>0.9173611111111111</v>
      </c>
      <c r="L604" s="145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 ht="13.5" hidden="1" customHeight="1">
      <c r="A605" s="116">
        <f t="shared" si="90"/>
        <v>16</v>
      </c>
      <c r="B605" s="118">
        <v>46241.0</v>
      </c>
      <c r="C605" s="119"/>
      <c r="D605" s="120" t="str">
        <f t="shared" si="91"/>
        <v>Sanusi</v>
      </c>
      <c r="E605" s="121">
        <f>SUMIFS(SSOD!$C:$C,SSOD!$B:$B,Hitungan!D605,SSOD!$A:$A,Hitungan!C605)</f>
        <v>0</v>
      </c>
      <c r="F605" s="122"/>
      <c r="G605" s="124">
        <f t="shared" si="95"/>
        <v>0</v>
      </c>
      <c r="H605" s="126" t="str">
        <f t="array" ref="H605">INDEX('Panduan Gaji'!$Q:$Q,MATCH(D605,'Panduan Gaji'!$C:$C,0))</f>
        <v>Fatgai</v>
      </c>
      <c r="I605" s="128" t="s">
        <v>138</v>
      </c>
      <c r="J605" s="308">
        <v>0.4159722222222222</v>
      </c>
      <c r="K605" s="310">
        <v>0.9173611111111111</v>
      </c>
      <c r="L605" s="119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 ht="13.5" hidden="1" customHeight="1">
      <c r="A606" s="116">
        <f t="shared" si="90"/>
        <v>16</v>
      </c>
      <c r="B606" s="118">
        <v>46242.0</v>
      </c>
      <c r="C606" s="119"/>
      <c r="D606" s="120" t="str">
        <f t="shared" si="91"/>
        <v>Sanusi</v>
      </c>
      <c r="E606" s="121">
        <f>SUMIFS(SSOD!$C:$C,SSOD!$B:$B,Hitungan!D606,SSOD!$A:$A,Hitungan!C606)</f>
        <v>0</v>
      </c>
      <c r="F606" s="122"/>
      <c r="G606" s="124">
        <f t="shared" si="95"/>
        <v>0</v>
      </c>
      <c r="H606" s="126" t="str">
        <f t="array" ref="H606">INDEX('Panduan Gaji'!$Q:$Q,MATCH(D606,'Panduan Gaji'!$C:$C,0))</f>
        <v>Fatgai</v>
      </c>
      <c r="I606" s="128" t="s">
        <v>138</v>
      </c>
      <c r="J606" s="309">
        <v>0.4166666666666667</v>
      </c>
      <c r="K606" s="309">
        <v>0.9173611111111111</v>
      </c>
      <c r="L606" s="187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 ht="13.5" hidden="1" customHeight="1">
      <c r="A607" s="116">
        <f t="shared" si="90"/>
        <v>16</v>
      </c>
      <c r="B607" s="118">
        <v>46243.0</v>
      </c>
      <c r="C607" s="119"/>
      <c r="D607" s="120" t="str">
        <f t="shared" si="91"/>
        <v>Sanusi</v>
      </c>
      <c r="E607" s="121">
        <f>SUMIFS(SSOD!$C:$C,SSOD!$B:$B,Hitungan!D607,SSOD!$A:$A,Hitungan!C607)</f>
        <v>0</v>
      </c>
      <c r="F607" s="122"/>
      <c r="G607" s="124">
        <f t="shared" si="95"/>
        <v>0</v>
      </c>
      <c r="H607" s="126" t="str">
        <f t="array" ref="H607">INDEX('Panduan Gaji'!$Q:$Q,MATCH(D607,'Panduan Gaji'!$C:$C,0))</f>
        <v>Fatgai</v>
      </c>
      <c r="I607" s="128" t="s">
        <v>138</v>
      </c>
      <c r="J607" s="309">
        <v>0.4145833333333334</v>
      </c>
      <c r="K607" s="309">
        <v>0.9173611111111111</v>
      </c>
      <c r="L607" s="187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 ht="13.5" hidden="1" customHeight="1">
      <c r="A608" s="116">
        <f t="shared" si="90"/>
        <v>16</v>
      </c>
      <c r="B608" s="118">
        <v>46244.0</v>
      </c>
      <c r="C608" s="119"/>
      <c r="D608" s="120" t="str">
        <f t="shared" si="91"/>
        <v>Sanusi</v>
      </c>
      <c r="E608" s="121">
        <f>SUMIFS(SSOD!$C:$C,SSOD!$B:$B,Hitungan!D608,SSOD!$A:$A,Hitungan!C608)</f>
        <v>0</v>
      </c>
      <c r="F608" s="122"/>
      <c r="G608" s="124">
        <f t="shared" si="95"/>
        <v>0</v>
      </c>
      <c r="H608" s="126" t="str">
        <f t="array" ref="H608">INDEX('Panduan Gaji'!$Q:$Q,MATCH(D608,'Panduan Gaji'!$C:$C,0))</f>
        <v>Fatgai</v>
      </c>
      <c r="I608" s="128" t="s">
        <v>138</v>
      </c>
      <c r="J608" s="309"/>
      <c r="K608" s="309"/>
      <c r="L608" s="187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 ht="13.5" hidden="1" customHeight="1">
      <c r="A609" s="116">
        <f t="shared" si="90"/>
        <v>16</v>
      </c>
      <c r="B609" s="118">
        <v>46245.0</v>
      </c>
      <c r="C609" s="119"/>
      <c r="D609" s="120" t="str">
        <f t="shared" si="91"/>
        <v>Sanusi</v>
      </c>
      <c r="E609" s="121">
        <f>SUMIFS(SSOD!$C:$C,SSOD!$B:$B,Hitungan!D609,SSOD!$A:$A,Hitungan!C609)</f>
        <v>0</v>
      </c>
      <c r="F609" s="122"/>
      <c r="G609" s="124">
        <f t="shared" si="95"/>
        <v>0</v>
      </c>
      <c r="H609" s="126" t="str">
        <f t="array" ref="H609">INDEX('Panduan Gaji'!$Q:$Q,MATCH(D609,'Panduan Gaji'!$C:$C,0))</f>
        <v>Fatgai</v>
      </c>
      <c r="I609" s="128" t="s">
        <v>138</v>
      </c>
      <c r="J609" s="308">
        <v>0.4201388888888889</v>
      </c>
      <c r="K609" s="308">
        <v>0.9173611111111111</v>
      </c>
      <c r="L609" s="145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 ht="13.5" hidden="1" customHeight="1">
      <c r="A610" s="116">
        <f t="shared" si="90"/>
        <v>16</v>
      </c>
      <c r="B610" s="118">
        <v>46246.0</v>
      </c>
      <c r="C610" s="119"/>
      <c r="D610" s="120" t="str">
        <f t="shared" si="91"/>
        <v>Sanusi</v>
      </c>
      <c r="E610" s="121">
        <f>SUMIFS(SSOD!$C:$C,SSOD!$B:$B,Hitungan!D610,SSOD!$A:$A,Hitungan!C610)</f>
        <v>0</v>
      </c>
      <c r="F610" s="122"/>
      <c r="G610" s="124">
        <f t="shared" si="95"/>
        <v>0</v>
      </c>
      <c r="H610" s="126" t="str">
        <f t="array" ref="H610">INDEX('Panduan Gaji'!$Q:$Q,MATCH(D610,'Panduan Gaji'!$C:$C,0))</f>
        <v>Fatgai</v>
      </c>
      <c r="I610" s="128" t="s">
        <v>138</v>
      </c>
      <c r="J610" s="308">
        <v>0.4138888888888889</v>
      </c>
      <c r="K610" s="308">
        <v>0.9173611111111111</v>
      </c>
      <c r="L610" s="145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 ht="13.5" hidden="1" customHeight="1">
      <c r="A611" s="116">
        <f t="shared" si="90"/>
        <v>16</v>
      </c>
      <c r="B611" s="118">
        <v>46247.0</v>
      </c>
      <c r="C611" s="119" t="s">
        <v>30</v>
      </c>
      <c r="D611" s="120" t="str">
        <f t="shared" si="91"/>
        <v>Sanusi</v>
      </c>
      <c r="E611" s="121">
        <f>SUMIFS(SSOD!$C:$C,SSOD!$B:$B,Hitungan!D611,SSOD!$A:$A,Hitungan!C611)</f>
        <v>13050</v>
      </c>
      <c r="F611" s="122">
        <v>1.0</v>
      </c>
      <c r="G611" s="124">
        <f t="shared" si="95"/>
        <v>13050</v>
      </c>
      <c r="H611" s="126" t="str">
        <f t="array" ref="H611">INDEX('Panduan Gaji'!$Q:$Q,MATCH(D611,'Panduan Gaji'!$C:$C,0))</f>
        <v>Fatgai</v>
      </c>
      <c r="I611" s="128" t="s">
        <v>138</v>
      </c>
      <c r="J611" s="312">
        <v>0.4222222222222222</v>
      </c>
      <c r="K611" s="308">
        <v>0.9173611111111111</v>
      </c>
      <c r="L611" s="145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 ht="13.5" hidden="1" customHeight="1">
      <c r="A612" s="116">
        <f t="shared" si="90"/>
        <v>16</v>
      </c>
      <c r="B612" s="118">
        <v>46248.0</v>
      </c>
      <c r="C612" s="119"/>
      <c r="D612" s="120" t="str">
        <f t="shared" si="91"/>
        <v>Sanusi</v>
      </c>
      <c r="E612" s="121">
        <f>SUMIFS(SSOD!$C:$C,SSOD!$B:$B,Hitungan!D612,SSOD!$A:$A,Hitungan!C612)</f>
        <v>0</v>
      </c>
      <c r="F612" s="122"/>
      <c r="G612" s="124">
        <f t="shared" si="95"/>
        <v>0</v>
      </c>
      <c r="H612" s="126" t="str">
        <f t="array" ref="H612">INDEX('Panduan Gaji'!$Q:$Q,MATCH(D612,'Panduan Gaji'!$C:$C,0))</f>
        <v>Fatgai</v>
      </c>
      <c r="I612" s="128" t="s">
        <v>138</v>
      </c>
      <c r="J612" s="308">
        <v>0.4125</v>
      </c>
      <c r="K612" s="310">
        <v>0.9208333333333333</v>
      </c>
      <c r="L612" s="145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 ht="13.5" hidden="1" customHeight="1">
      <c r="A613" s="116">
        <f t="shared" si="90"/>
        <v>16</v>
      </c>
      <c r="B613" s="118">
        <v>46249.0</v>
      </c>
      <c r="C613" s="119"/>
      <c r="D613" s="120" t="str">
        <f t="shared" si="91"/>
        <v>Sanusi</v>
      </c>
      <c r="E613" s="121">
        <f>SUMIFS(SSOD!$C:$C,SSOD!$B:$B,Hitungan!D613,SSOD!$A:$A,Hitungan!C613)</f>
        <v>0</v>
      </c>
      <c r="F613" s="122"/>
      <c r="G613" s="124">
        <f t="shared" si="95"/>
        <v>0</v>
      </c>
      <c r="H613" s="126" t="str">
        <f t="array" ref="H613">INDEX('Panduan Gaji'!$Q:$Q,MATCH(D613,'Panduan Gaji'!$C:$C,0))</f>
        <v>Fatgai</v>
      </c>
      <c r="I613" s="128" t="s">
        <v>138</v>
      </c>
      <c r="J613" s="308">
        <v>0.41875</v>
      </c>
      <c r="K613" s="308">
        <v>0.9180555555555555</v>
      </c>
      <c r="L613" s="145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 ht="13.5" hidden="1" customHeight="1">
      <c r="A614" s="116">
        <f t="shared" si="90"/>
        <v>16</v>
      </c>
      <c r="B614" s="118">
        <v>46250.0</v>
      </c>
      <c r="C614" s="119"/>
      <c r="D614" s="120" t="str">
        <f t="shared" si="91"/>
        <v>Sanusi</v>
      </c>
      <c r="E614" s="121">
        <f>SUMIFS(SSOD!$C:$C,SSOD!$B:$B,Hitungan!D614,SSOD!$A:$A,Hitungan!C614)</f>
        <v>0</v>
      </c>
      <c r="F614" s="122"/>
      <c r="G614" s="124">
        <f t="shared" si="95"/>
        <v>0</v>
      </c>
      <c r="H614" s="126" t="str">
        <f t="array" ref="H614">INDEX('Panduan Gaji'!$Q:$Q,MATCH(D614,'Panduan Gaji'!$C:$C,0))</f>
        <v>Fatgai</v>
      </c>
      <c r="I614" s="128" t="s">
        <v>138</v>
      </c>
      <c r="J614" s="308">
        <v>0.4166666666666667</v>
      </c>
      <c r="K614" s="308">
        <v>0.9173611111111111</v>
      </c>
      <c r="L614" s="145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 ht="13.5" hidden="1" customHeight="1">
      <c r="A615" s="116">
        <f t="shared" si="90"/>
        <v>16</v>
      </c>
      <c r="B615" s="118">
        <v>46251.0</v>
      </c>
      <c r="C615" s="119"/>
      <c r="D615" s="120" t="str">
        <f t="shared" si="91"/>
        <v>Sanusi</v>
      </c>
      <c r="E615" s="121">
        <f>SUMIFS(SSOD!$C:$C,SSOD!$B:$B,Hitungan!D615,SSOD!$A:$A,Hitungan!C615)</f>
        <v>0</v>
      </c>
      <c r="F615" s="122"/>
      <c r="G615" s="124">
        <f t="shared" si="95"/>
        <v>0</v>
      </c>
      <c r="H615" s="126" t="str">
        <f t="array" ref="H615">INDEX('Panduan Gaji'!$Q:$Q,MATCH(D615,'Panduan Gaji'!$C:$C,0))</f>
        <v>Fatgai</v>
      </c>
      <c r="I615" s="128" t="s">
        <v>138</v>
      </c>
      <c r="J615" s="308"/>
      <c r="K615" s="308"/>
      <c r="L615" s="119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 ht="13.5" hidden="1" customHeight="1">
      <c r="A616" s="116">
        <f t="shared" si="90"/>
        <v>16</v>
      </c>
      <c r="B616" s="118">
        <v>46252.0</v>
      </c>
      <c r="C616" s="119" t="s">
        <v>30</v>
      </c>
      <c r="D616" s="120" t="str">
        <f t="shared" si="91"/>
        <v>Sanusi</v>
      </c>
      <c r="E616" s="121">
        <f>SUMIFS(SSOD!$C:$C,SSOD!$B:$B,Hitungan!D616,SSOD!$A:$A,Hitungan!C616)</f>
        <v>13050</v>
      </c>
      <c r="F616" s="122">
        <v>1.0</v>
      </c>
      <c r="G616" s="124">
        <f t="shared" si="95"/>
        <v>13050</v>
      </c>
      <c r="H616" s="126" t="str">
        <f t="array" ref="H616">INDEX('Panduan Gaji'!$Q:$Q,MATCH(D616,'Panduan Gaji'!$C:$C,0))</f>
        <v>Fatgai</v>
      </c>
      <c r="I616" s="128" t="s">
        <v>138</v>
      </c>
      <c r="J616" s="312">
        <v>0.4256944444444444</v>
      </c>
      <c r="K616" s="308">
        <v>0.9173611111111111</v>
      </c>
      <c r="L616" s="119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 ht="13.5" hidden="1" customHeight="1">
      <c r="A617" s="116">
        <f t="shared" si="90"/>
        <v>16</v>
      </c>
      <c r="B617" s="118">
        <v>46253.0</v>
      </c>
      <c r="C617" s="119"/>
      <c r="D617" s="120" t="str">
        <f t="shared" si="91"/>
        <v>Sanusi</v>
      </c>
      <c r="E617" s="121">
        <f>SUMIFS(SSOD!$C:$C,SSOD!$B:$B,Hitungan!D617,SSOD!$A:$A,Hitungan!C617)</f>
        <v>0</v>
      </c>
      <c r="F617" s="122"/>
      <c r="G617" s="124">
        <f t="shared" si="95"/>
        <v>0</v>
      </c>
      <c r="H617" s="126" t="str">
        <f t="array" ref="H617">INDEX('Panduan Gaji'!$Q:$Q,MATCH(D617,'Panduan Gaji'!$C:$C,0))</f>
        <v>Fatgai</v>
      </c>
      <c r="I617" s="128" t="s">
        <v>138</v>
      </c>
      <c r="J617" s="308">
        <v>0.4125</v>
      </c>
      <c r="K617" s="308">
        <v>0.9180555555555555</v>
      </c>
      <c r="L617" s="119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 ht="13.5" hidden="1" customHeight="1">
      <c r="A618" s="116">
        <f t="shared" si="90"/>
        <v>16</v>
      </c>
      <c r="B618" s="118">
        <v>46254.0</v>
      </c>
      <c r="C618" s="119"/>
      <c r="D618" s="120" t="str">
        <f t="shared" si="91"/>
        <v>Sanusi</v>
      </c>
      <c r="E618" s="121">
        <f>SUMIFS(SSOD!$C:$C,SSOD!$B:$B,Hitungan!D618,SSOD!$A:$A,Hitungan!C618)</f>
        <v>0</v>
      </c>
      <c r="F618" s="122"/>
      <c r="G618" s="124">
        <f t="shared" si="95"/>
        <v>0</v>
      </c>
      <c r="H618" s="126" t="str">
        <f t="array" ref="H618">INDEX('Panduan Gaji'!$Q:$Q,MATCH(D618,'Panduan Gaji'!$C:$C,0))</f>
        <v>Fatgai</v>
      </c>
      <c r="I618" s="128" t="s">
        <v>138</v>
      </c>
      <c r="J618" s="308">
        <v>0.4180555555555556</v>
      </c>
      <c r="K618" s="308">
        <v>0.9173611111111111</v>
      </c>
      <c r="L618" s="145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 ht="13.5" hidden="1" customHeight="1">
      <c r="A619" s="116">
        <f t="shared" si="90"/>
        <v>16</v>
      </c>
      <c r="B619" s="118">
        <v>46255.0</v>
      </c>
      <c r="C619" s="119"/>
      <c r="D619" s="120" t="str">
        <f t="shared" si="91"/>
        <v>Sanusi</v>
      </c>
      <c r="E619" s="121">
        <f>SUMIFS(SSOD!$C:$C,SSOD!$B:$B,Hitungan!D619,SSOD!$A:$A,Hitungan!C619)</f>
        <v>0</v>
      </c>
      <c r="F619" s="122"/>
      <c r="G619" s="124">
        <f t="shared" si="95"/>
        <v>0</v>
      </c>
      <c r="H619" s="126" t="str">
        <f t="array" ref="H619">INDEX('Panduan Gaji'!$Q:$Q,MATCH(D619,'Panduan Gaji'!$C:$C,0))</f>
        <v>Fatgai</v>
      </c>
      <c r="I619" s="128" t="s">
        <v>138</v>
      </c>
      <c r="J619" s="308">
        <v>0.4138888888888889</v>
      </c>
      <c r="K619" s="308">
        <v>0.9180555555555555</v>
      </c>
      <c r="L619" s="119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 ht="13.5" hidden="1" customHeight="1">
      <c r="A620" s="116">
        <f t="shared" si="90"/>
        <v>16</v>
      </c>
      <c r="B620" s="118">
        <v>46256.0</v>
      </c>
      <c r="C620" s="119"/>
      <c r="D620" s="120" t="str">
        <f t="shared" si="91"/>
        <v>Sanusi</v>
      </c>
      <c r="E620" s="121">
        <f>SUMIFS(SSOD!$C:$C,SSOD!$B:$B,Hitungan!D620,SSOD!$A:$A,Hitungan!C620)</f>
        <v>0</v>
      </c>
      <c r="F620" s="122"/>
      <c r="G620" s="124">
        <f t="shared" si="95"/>
        <v>0</v>
      </c>
      <c r="H620" s="126" t="str">
        <f t="array" ref="H620">INDEX('Panduan Gaji'!$Q:$Q,MATCH(D620,'Panduan Gaji'!$C:$C,0))</f>
        <v>Fatgai</v>
      </c>
      <c r="I620" s="128" t="s">
        <v>138</v>
      </c>
      <c r="J620" s="308">
        <v>0.4180555555555556</v>
      </c>
      <c r="K620" s="308">
        <v>0.9173611111111111</v>
      </c>
      <c r="L620" s="119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 ht="13.5" hidden="1" customHeight="1">
      <c r="A621" s="116">
        <f t="shared" si="90"/>
        <v>16</v>
      </c>
      <c r="B621" s="118">
        <v>46257.0</v>
      </c>
      <c r="C621" s="119"/>
      <c r="D621" s="120" t="str">
        <f t="shared" si="91"/>
        <v>Sanusi</v>
      </c>
      <c r="E621" s="121">
        <f>SUMIFS(SSOD!$C:$C,SSOD!$B:$B,Hitungan!D621,SSOD!$A:$A,Hitungan!C621)</f>
        <v>0</v>
      </c>
      <c r="F621" s="122"/>
      <c r="G621" s="124">
        <f t="shared" si="95"/>
        <v>0</v>
      </c>
      <c r="H621" s="126" t="str">
        <f t="array" ref="H621">INDEX('Panduan Gaji'!$Q:$Q,MATCH(D621,'Panduan Gaji'!$C:$C,0))</f>
        <v>Fatgai</v>
      </c>
      <c r="I621" s="128" t="s">
        <v>138</v>
      </c>
      <c r="J621" s="308">
        <v>0.4145833333333334</v>
      </c>
      <c r="K621" s="308">
        <v>0.9173611111111111</v>
      </c>
      <c r="L621" s="119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 ht="15.75" hidden="1" customHeight="1">
      <c r="A622" s="116">
        <f t="shared" si="90"/>
        <v>16</v>
      </c>
      <c r="B622" s="118">
        <v>46258.0</v>
      </c>
      <c r="C622" s="119"/>
      <c r="D622" s="120" t="str">
        <f t="shared" si="91"/>
        <v>Sanusi</v>
      </c>
      <c r="E622" s="121">
        <f>SUMIFS(SSOD!$C:$C,SSOD!$B:$B,Hitungan!D622,SSOD!$A:$A,Hitungan!C622)</f>
        <v>0</v>
      </c>
      <c r="F622" s="122"/>
      <c r="G622" s="124">
        <f t="shared" si="95"/>
        <v>0</v>
      </c>
      <c r="H622" s="220" t="str">
        <f t="array" ref="H622">INDEX('Panduan Gaji'!$Q:$Q,MATCH(D622,'Panduan Gaji'!$C:$C,0))</f>
        <v>Fatgai</v>
      </c>
      <c r="I622" s="128" t="s">
        <v>138</v>
      </c>
      <c r="J622" s="308">
        <v>0.4166666666666667</v>
      </c>
      <c r="K622" s="308"/>
      <c r="L622" s="119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 ht="15.75" hidden="1" customHeight="1">
      <c r="A623" s="222"/>
      <c r="B623" s="223"/>
      <c r="C623" s="224"/>
      <c r="D623" s="225"/>
      <c r="E623" s="226"/>
      <c r="F623" s="227"/>
      <c r="G623" s="228"/>
      <c r="H623" s="229"/>
      <c r="I623" s="22"/>
      <c r="J623" s="230"/>
      <c r="K623" s="230"/>
      <c r="L623" s="224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 ht="13.5" hidden="1" customHeight="1">
      <c r="A624" s="26">
        <v>17.0</v>
      </c>
      <c r="B624" s="28"/>
      <c r="C624" s="30" t="s">
        <v>6</v>
      </c>
      <c r="D624" s="33" t="s">
        <v>106</v>
      </c>
      <c r="E624" s="42">
        <f>SUMIFS(SSOD!$C:$C,SSOD!$B:$B,Hitungan!D624,SSOD!$A:$A,Hitungan!C624)</f>
        <v>3190000</v>
      </c>
      <c r="F624" s="44">
        <v>1.0</v>
      </c>
      <c r="G624" s="47">
        <f t="shared" ref="G624:G627" si="96">E624*F624</f>
        <v>3190000</v>
      </c>
      <c r="H624" s="51" t="str">
        <f t="array" ref="H624">INDEX('Panduan Gaji'!$Q:$Q,MATCH(D624,'Panduan Gaji'!$C:$C,0))</f>
        <v>KG</v>
      </c>
      <c r="I624" s="53"/>
      <c r="J624" s="54"/>
      <c r="K624" s="54"/>
      <c r="L624" s="55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 ht="13.5" hidden="1" customHeight="1">
      <c r="A625" s="26">
        <f t="shared" ref="A625:A663" si="97">A624</f>
        <v>17</v>
      </c>
      <c r="B625" s="28"/>
      <c r="C625" s="30" t="s">
        <v>17</v>
      </c>
      <c r="D625" s="33" t="str">
        <f t="shared" ref="D625:D663" si="98">D624</f>
        <v>Ferdy</v>
      </c>
      <c r="E625" s="42">
        <f>SUMIFS(SSOD!$C:$C,SSOD!$B:$B,Hitungan!D625,SSOD!$A:$A,Hitungan!C625)</f>
        <v>0</v>
      </c>
      <c r="F625" s="44"/>
      <c r="G625" s="47">
        <f t="shared" si="96"/>
        <v>0</v>
      </c>
      <c r="H625" s="51" t="str">
        <f t="array" ref="H625">INDEX('Panduan Gaji'!$Q:$Q,MATCH(D625,'Panduan Gaji'!$C:$C,0))</f>
        <v>KG</v>
      </c>
      <c r="I625" s="53"/>
      <c r="J625" s="54"/>
      <c r="K625" s="54"/>
      <c r="L625" s="55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 ht="13.5" hidden="1" customHeight="1">
      <c r="A626" s="26">
        <f t="shared" si="97"/>
        <v>17</v>
      </c>
      <c r="B626" s="28"/>
      <c r="C626" s="30" t="s">
        <v>7</v>
      </c>
      <c r="D626" s="33" t="str">
        <f t="shared" si="98"/>
        <v>Ferdy</v>
      </c>
      <c r="E626" s="42">
        <f>SUMIFS(SSOD!$C:$C,SSOD!$B:$B,Hitungan!D626,SSOD!$A:$A,Hitungan!C626)</f>
        <v>21000</v>
      </c>
      <c r="F626" s="44">
        <f t="shared" ref="F626:F627" si="99">SUMPRODUCT(--((($J$634:$J$663&lt;&gt;"")+($K$634:$K$663&lt;&gt;""))&gt;0))</f>
        <v>26</v>
      </c>
      <c r="G626" s="47">
        <f t="shared" si="96"/>
        <v>546000</v>
      </c>
      <c r="H626" s="51" t="str">
        <f t="array" ref="H626">INDEX('Panduan Gaji'!$Q:$Q,MATCH(D626,'Panduan Gaji'!$C:$C,0))</f>
        <v>KG</v>
      </c>
      <c r="I626" s="53"/>
      <c r="J626" s="88"/>
      <c r="K626" s="88"/>
      <c r="L626" s="55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 ht="13.5" hidden="1" customHeight="1">
      <c r="A627" s="26">
        <f t="shared" si="97"/>
        <v>17</v>
      </c>
      <c r="B627" s="28"/>
      <c r="C627" s="30" t="s">
        <v>9</v>
      </c>
      <c r="D627" s="33" t="str">
        <f t="shared" si="98"/>
        <v>Ferdy</v>
      </c>
      <c r="E627" s="42">
        <f>SUMIFS(SSOD!$C:$C,SSOD!$B:$B,Hitungan!D627,SSOD!$A:$A,Hitungan!C627)</f>
        <v>54000</v>
      </c>
      <c r="F627" s="44">
        <f t="shared" si="99"/>
        <v>26</v>
      </c>
      <c r="G627" s="47">
        <f t="shared" si="96"/>
        <v>1404000</v>
      </c>
      <c r="H627" s="51" t="str">
        <f t="array" ref="H627">INDEX('Panduan Gaji'!$Q:$Q,MATCH(D627,'Panduan Gaji'!$C:$C,0))</f>
        <v>KG</v>
      </c>
      <c r="I627" s="53"/>
      <c r="J627" s="88"/>
      <c r="K627" s="88"/>
      <c r="L627" s="9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 ht="15.75" hidden="1" customHeight="1">
      <c r="A628" s="26">
        <f t="shared" si="97"/>
        <v>17</v>
      </c>
      <c r="B628" s="28"/>
      <c r="C628" s="30" t="s">
        <v>39</v>
      </c>
      <c r="D628" s="33" t="str">
        <f t="shared" si="98"/>
        <v>Ferdy</v>
      </c>
      <c r="E628" s="42">
        <v>389185.0</v>
      </c>
      <c r="F628" s="44">
        <v>1.0</v>
      </c>
      <c r="G628" s="47">
        <f>F628*E628</f>
        <v>389185</v>
      </c>
      <c r="H628" s="51" t="str">
        <f t="array" ref="H628">INDEX('Panduan Gaji'!$Q:$Q,MATCH(D628,'Panduan Gaji'!$C:$C,0))</f>
        <v>KG</v>
      </c>
      <c r="I628" s="53"/>
      <c r="J628" s="88"/>
      <c r="K628" s="88"/>
      <c r="L628" s="9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 ht="15.75" hidden="1" customHeight="1">
      <c r="A629" s="26">
        <f t="shared" si="97"/>
        <v>17</v>
      </c>
      <c r="B629" s="28"/>
      <c r="C629" s="30" t="s">
        <v>12</v>
      </c>
      <c r="D629" s="33" t="str">
        <f t="shared" si="98"/>
        <v>Ferdy</v>
      </c>
      <c r="E629" s="42">
        <f>SUMIFS(SSOD!$C:$C,SSOD!$B:$B,Hitungan!D629,SSOD!$A:$A,Hitungan!C629)</f>
        <v>18000</v>
      </c>
      <c r="F629" s="44">
        <f>SUMIF($C$634:$C$663,C629,$F$634:$F$663)</f>
        <v>2.5</v>
      </c>
      <c r="G629" s="47">
        <f t="shared" ref="G629:G630" si="100">E629*F629</f>
        <v>45000</v>
      </c>
      <c r="H629" s="51" t="str">
        <f t="array" ref="H629">INDEX('Panduan Gaji'!$Q:$Q,MATCH(D629,'Panduan Gaji'!$C:$C,0))</f>
        <v>KG</v>
      </c>
      <c r="I629" s="53"/>
      <c r="J629" s="88"/>
      <c r="K629" s="88"/>
      <c r="L629" s="100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 ht="15.75" hidden="1" customHeight="1">
      <c r="A630" s="26">
        <f t="shared" si="97"/>
        <v>17</v>
      </c>
      <c r="B630" s="28"/>
      <c r="C630" s="102" t="s">
        <v>30</v>
      </c>
      <c r="D630" s="33" t="str">
        <f t="shared" si="98"/>
        <v>Ferdy</v>
      </c>
      <c r="E630" s="42">
        <f>SUMIFS(SSOD!$C:$C,SSOD!$B:$B,Hitungan!D630,SSOD!$A:$A,Hitungan!C630)</f>
        <v>18000</v>
      </c>
      <c r="F630" s="44">
        <f t="shared" ref="F630:F631" si="101">COUNTIF($C$634:$C$663,C630)</f>
        <v>0</v>
      </c>
      <c r="G630" s="47">
        <f t="shared" si="100"/>
        <v>0</v>
      </c>
      <c r="H630" s="51" t="str">
        <f t="array" ref="H630">INDEX('Panduan Gaji'!$Q:$Q,MATCH(D630,'Panduan Gaji'!$C:$C,0))</f>
        <v>KG</v>
      </c>
      <c r="I630" s="53"/>
      <c r="J630" s="105"/>
      <c r="K630" s="105"/>
      <c r="L630" s="10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 ht="15.75" hidden="1" customHeight="1">
      <c r="A631" s="26">
        <f t="shared" si="97"/>
        <v>17</v>
      </c>
      <c r="B631" s="28"/>
      <c r="C631" s="30" t="s">
        <v>33</v>
      </c>
      <c r="D631" s="33" t="str">
        <f t="shared" si="98"/>
        <v>Ferdy</v>
      </c>
      <c r="E631" s="42"/>
      <c r="F631" s="44">
        <f t="shared" si="101"/>
        <v>0</v>
      </c>
      <c r="G631" s="47">
        <f>SUMIF($C$634:$C$663,C631,$E$634:$E$663)</f>
        <v>0</v>
      </c>
      <c r="H631" s="51" t="str">
        <f t="array" ref="H631">INDEX('Panduan Gaji'!$Q:$Q,MATCH(D631,'Panduan Gaji'!$C:$C,0))</f>
        <v>KG</v>
      </c>
      <c r="I631" s="53"/>
      <c r="J631" s="105"/>
      <c r="K631" s="105"/>
      <c r="L631" s="10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 ht="15.75" hidden="1" customHeight="1">
      <c r="A632" s="26">
        <f t="shared" si="97"/>
        <v>17</v>
      </c>
      <c r="B632" s="28"/>
      <c r="C632" s="30" t="s">
        <v>83</v>
      </c>
      <c r="D632" s="33" t="str">
        <f t="shared" si="98"/>
        <v>Ferdy</v>
      </c>
      <c r="E632" s="42"/>
      <c r="F632" s="44"/>
      <c r="G632" s="47"/>
      <c r="H632" s="51" t="str">
        <f t="array" ref="H632">INDEX('Panduan Gaji'!$Q:$Q,MATCH(D632,'Panduan Gaji'!$C:$C,0))</f>
        <v>KG</v>
      </c>
      <c r="I632" s="53"/>
      <c r="J632" s="105"/>
      <c r="K632" s="105"/>
      <c r="L632" s="10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 ht="13.5" hidden="1" customHeight="1">
      <c r="A633" s="26">
        <f t="shared" si="97"/>
        <v>17</v>
      </c>
      <c r="B633" s="28"/>
      <c r="C633" s="30" t="s">
        <v>85</v>
      </c>
      <c r="D633" s="33" t="str">
        <f t="shared" si="98"/>
        <v>Ferdy</v>
      </c>
      <c r="E633" s="42"/>
      <c r="F633" s="44"/>
      <c r="G633" s="47"/>
      <c r="H633" s="51" t="str">
        <f t="array" ref="H633">INDEX('Panduan Gaji'!$Q:$Q,MATCH(D633,'Panduan Gaji'!$C:$C,0))</f>
        <v>KG</v>
      </c>
      <c r="I633" s="53"/>
      <c r="J633" s="105"/>
      <c r="K633" s="105"/>
      <c r="L633" s="106"/>
      <c r="M633" s="56"/>
      <c r="N633" s="56"/>
      <c r="O633" s="22"/>
      <c r="P633" s="56"/>
      <c r="Q633" s="56"/>
      <c r="R633" s="56"/>
      <c r="S633" s="56"/>
      <c r="T633" s="56"/>
      <c r="U633" s="56"/>
      <c r="V633" s="56"/>
      <c r="W633" s="56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 ht="13.5" hidden="1" customHeight="1">
      <c r="A634" s="116">
        <f t="shared" si="97"/>
        <v>17</v>
      </c>
      <c r="B634" s="118">
        <v>46229.0</v>
      </c>
      <c r="C634" s="119"/>
      <c r="D634" s="120" t="str">
        <f t="shared" si="98"/>
        <v>Ferdy</v>
      </c>
      <c r="E634" s="121">
        <f>SUMIFS(SSOD!$C:$C,SSOD!$B:$B,Hitungan!D634,SSOD!$A:$A,Hitungan!C634)</f>
        <v>0</v>
      </c>
      <c r="F634" s="122"/>
      <c r="G634" s="124">
        <f t="shared" ref="G634:G663" si="102">E634*F634</f>
        <v>0</v>
      </c>
      <c r="H634" s="126" t="str">
        <f t="array" ref="H634">INDEX('Panduan Gaji'!$Q:$Q,MATCH(D634,'Panduan Gaji'!$C:$C,0))</f>
        <v>KG</v>
      </c>
      <c r="I634" s="128" t="s">
        <v>138</v>
      </c>
      <c r="J634" s="308">
        <v>0.4041666666666667</v>
      </c>
      <c r="K634" s="308">
        <v>0.9166666666666666</v>
      </c>
      <c r="L634" s="130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 ht="13.5" hidden="1" customHeight="1">
      <c r="A635" s="116">
        <f t="shared" si="97"/>
        <v>17</v>
      </c>
      <c r="B635" s="118">
        <v>46230.0</v>
      </c>
      <c r="C635" s="119"/>
      <c r="D635" s="120" t="str">
        <f t="shared" si="98"/>
        <v>Ferdy</v>
      </c>
      <c r="E635" s="121">
        <f>SUMIFS(SSOD!$C:$C,SSOD!$B:$B,Hitungan!D635,SSOD!$A:$A,Hitungan!C635)</f>
        <v>0</v>
      </c>
      <c r="F635" s="122"/>
      <c r="G635" s="124">
        <f t="shared" si="102"/>
        <v>0</v>
      </c>
      <c r="H635" s="126" t="str">
        <f t="array" ref="H635">INDEX('Panduan Gaji'!$Q:$Q,MATCH(D635,'Panduan Gaji'!$C:$C,0))</f>
        <v>KG</v>
      </c>
      <c r="I635" s="128" t="s">
        <v>138</v>
      </c>
      <c r="J635" s="308">
        <v>0.4125</v>
      </c>
      <c r="K635" s="308">
        <v>0.9166666666666666</v>
      </c>
      <c r="L635" s="138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 ht="13.5" hidden="1" customHeight="1">
      <c r="A636" s="116">
        <f t="shared" si="97"/>
        <v>17</v>
      </c>
      <c r="B636" s="118">
        <v>46231.0</v>
      </c>
      <c r="C636" s="119"/>
      <c r="D636" s="120" t="str">
        <f t="shared" si="98"/>
        <v>Ferdy</v>
      </c>
      <c r="E636" s="121">
        <f>SUMIFS(SSOD!$C:$C,SSOD!$B:$B,Hitungan!D636,SSOD!$A:$A,Hitungan!C636)</f>
        <v>0</v>
      </c>
      <c r="F636" s="122"/>
      <c r="G636" s="124">
        <f t="shared" si="102"/>
        <v>0</v>
      </c>
      <c r="H636" s="126" t="str">
        <f t="array" ref="H636">INDEX('Panduan Gaji'!$Q:$Q,MATCH(D636,'Panduan Gaji'!$C:$C,0))</f>
        <v>KG</v>
      </c>
      <c r="I636" s="128" t="s">
        <v>138</v>
      </c>
      <c r="J636" s="308">
        <v>0.4083333333333333</v>
      </c>
      <c r="K636" s="308">
        <v>0.9166666666666666</v>
      </c>
      <c r="L636" s="145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 ht="13.5" hidden="1" customHeight="1">
      <c r="A637" s="116">
        <f t="shared" si="97"/>
        <v>17</v>
      </c>
      <c r="B637" s="118">
        <v>46232.0</v>
      </c>
      <c r="C637" s="146"/>
      <c r="D637" s="120" t="str">
        <f t="shared" si="98"/>
        <v>Ferdy</v>
      </c>
      <c r="E637" s="147">
        <f>SUMIFS(SSOD!$C:$C,SSOD!$B:$B,Hitungan!D637,SSOD!$A:$A,Hitungan!C637)</f>
        <v>0</v>
      </c>
      <c r="F637" s="148"/>
      <c r="G637" s="124">
        <f t="shared" si="102"/>
        <v>0</v>
      </c>
      <c r="H637" s="126" t="str">
        <f t="array" ref="H637">INDEX('Panduan Gaji'!$Q:$Q,MATCH(D637,'Panduan Gaji'!$C:$C,0))</f>
        <v>KG</v>
      </c>
      <c r="I637" s="128" t="s">
        <v>138</v>
      </c>
      <c r="J637" s="308"/>
      <c r="K637" s="308"/>
      <c r="L637" s="153"/>
      <c r="M637" s="16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 ht="13.5" hidden="1" customHeight="1">
      <c r="A638" s="116">
        <f t="shared" si="97"/>
        <v>17</v>
      </c>
      <c r="B638" s="118">
        <v>46233.0</v>
      </c>
      <c r="C638" s="119"/>
      <c r="D638" s="120" t="str">
        <f t="shared" si="98"/>
        <v>Ferdy</v>
      </c>
      <c r="E638" s="121">
        <f>SUMIFS(SSOD!$C:$C,SSOD!$B:$B,Hitungan!D638,SSOD!$A:$A,Hitungan!C638)</f>
        <v>0</v>
      </c>
      <c r="F638" s="122"/>
      <c r="G638" s="124">
        <f t="shared" si="102"/>
        <v>0</v>
      </c>
      <c r="H638" s="126" t="str">
        <f t="array" ref="H638">INDEX('Panduan Gaji'!$Q:$Q,MATCH(D638,'Panduan Gaji'!$C:$C,0))</f>
        <v>KG</v>
      </c>
      <c r="I638" s="128" t="s">
        <v>138</v>
      </c>
      <c r="J638" s="308">
        <v>0.4118055555555555</v>
      </c>
      <c r="K638" s="308">
        <v>0.9166666666666666</v>
      </c>
      <c r="L638" s="164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 ht="13.5" hidden="1" customHeight="1">
      <c r="A639" s="116">
        <f t="shared" si="97"/>
        <v>17</v>
      </c>
      <c r="B639" s="118">
        <v>46234.0</v>
      </c>
      <c r="C639" s="119"/>
      <c r="D639" s="120" t="str">
        <f t="shared" si="98"/>
        <v>Ferdy</v>
      </c>
      <c r="E639" s="121">
        <f>SUMIFS(SSOD!$C:$C,SSOD!$B:$B,Hitungan!D639,SSOD!$A:$A,Hitungan!C639)</f>
        <v>0</v>
      </c>
      <c r="F639" s="122"/>
      <c r="G639" s="124">
        <f t="shared" si="102"/>
        <v>0</v>
      </c>
      <c r="H639" s="126" t="str">
        <f t="array" ref="H639">INDEX('Panduan Gaji'!$Q:$Q,MATCH(D639,'Panduan Gaji'!$C:$C,0))</f>
        <v>KG</v>
      </c>
      <c r="I639" s="128" t="s">
        <v>138</v>
      </c>
      <c r="J639" s="308">
        <v>0.4097222222222222</v>
      </c>
      <c r="K639" s="308">
        <v>0.9166666666666666</v>
      </c>
      <c r="L639" s="130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 ht="13.5" hidden="1" customHeight="1">
      <c r="A640" s="116">
        <f t="shared" si="97"/>
        <v>17</v>
      </c>
      <c r="B640" s="118">
        <v>46235.0</v>
      </c>
      <c r="C640" s="119"/>
      <c r="D640" s="120" t="str">
        <f t="shared" si="98"/>
        <v>Ferdy</v>
      </c>
      <c r="E640" s="121">
        <f>SUMIFS(SSOD!$C:$C,SSOD!$B:$B,Hitungan!D640,SSOD!$A:$A,Hitungan!C640)</f>
        <v>0</v>
      </c>
      <c r="F640" s="122"/>
      <c r="G640" s="124">
        <f t="shared" si="102"/>
        <v>0</v>
      </c>
      <c r="H640" s="126" t="str">
        <f t="array" ref="H640">INDEX('Panduan Gaji'!$Q:$Q,MATCH(D640,'Panduan Gaji'!$C:$C,0))</f>
        <v>KG</v>
      </c>
      <c r="I640" s="128" t="s">
        <v>138</v>
      </c>
      <c r="J640" s="309">
        <v>0.4041666666666667</v>
      </c>
      <c r="K640" s="308">
        <v>0.9159722222222222</v>
      </c>
      <c r="L640" s="145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 ht="13.5" hidden="1" customHeight="1">
      <c r="A641" s="116">
        <f t="shared" si="97"/>
        <v>17</v>
      </c>
      <c r="B641" s="118">
        <v>46236.0</v>
      </c>
      <c r="C641" s="119"/>
      <c r="D641" s="120" t="str">
        <f t="shared" si="98"/>
        <v>Ferdy</v>
      </c>
      <c r="E641" s="121">
        <v>0.0</v>
      </c>
      <c r="F641" s="122"/>
      <c r="G641" s="124">
        <f t="shared" si="102"/>
        <v>0</v>
      </c>
      <c r="H641" s="126" t="str">
        <f t="array" ref="H641">INDEX('Panduan Gaji'!$Q:$Q,MATCH(D641,'Panduan Gaji'!$C:$C,0))</f>
        <v>KG</v>
      </c>
      <c r="I641" s="128" t="s">
        <v>138</v>
      </c>
      <c r="J641" s="309">
        <v>0.4020833333333333</v>
      </c>
      <c r="K641" s="308">
        <v>0.9166666666666666</v>
      </c>
      <c r="L641" s="145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 ht="13.5" hidden="1" customHeight="1">
      <c r="A642" s="116">
        <f t="shared" si="97"/>
        <v>17</v>
      </c>
      <c r="B642" s="118">
        <v>46237.0</v>
      </c>
      <c r="C642" s="119" t="s">
        <v>12</v>
      </c>
      <c r="D642" s="120" t="str">
        <f t="shared" si="98"/>
        <v>Ferdy</v>
      </c>
      <c r="E642" s="121">
        <f>SUMIFS(SSOD!$C:$C,SSOD!$B:$B,Hitungan!D642,SSOD!$A:$A,Hitungan!C642)</f>
        <v>18000</v>
      </c>
      <c r="F642" s="122">
        <v>1.0</v>
      </c>
      <c r="G642" s="124">
        <f t="shared" si="102"/>
        <v>18000</v>
      </c>
      <c r="H642" s="126" t="str">
        <f t="array" ref="H642">INDEX('Panduan Gaji'!$Q:$Q,MATCH(D642,'Panduan Gaji'!$C:$C,0))</f>
        <v>KG</v>
      </c>
      <c r="I642" s="128" t="s">
        <v>138</v>
      </c>
      <c r="J642" s="309">
        <v>0.3694444444444445</v>
      </c>
      <c r="K642" s="308">
        <v>0.9166666666666666</v>
      </c>
      <c r="L642" s="145" t="s">
        <v>196</v>
      </c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 ht="13.5" hidden="1" customHeight="1">
      <c r="A643" s="116">
        <f t="shared" si="97"/>
        <v>17</v>
      </c>
      <c r="B643" s="118">
        <v>46238.0</v>
      </c>
      <c r="C643" s="181"/>
      <c r="D643" s="120" t="str">
        <f t="shared" si="98"/>
        <v>Ferdy</v>
      </c>
      <c r="E643" s="121">
        <f>SUMIFS(SSOD!$C:$C,SSOD!$B:$B,Hitungan!D643,SSOD!$A:$A,Hitungan!C643)</f>
        <v>0</v>
      </c>
      <c r="F643" s="182"/>
      <c r="G643" s="52">
        <f t="shared" si="102"/>
        <v>0</v>
      </c>
      <c r="H643" s="126" t="str">
        <f t="array" ref="H643">INDEX('Panduan Gaji'!$Q:$Q,MATCH(D643,'Panduan Gaji'!$C:$C,0))</f>
        <v>KG</v>
      </c>
      <c r="I643" s="128" t="s">
        <v>138</v>
      </c>
      <c r="J643" s="309"/>
      <c r="K643" s="308"/>
      <c r="L643" s="119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 ht="13.5" hidden="1" customHeight="1">
      <c r="A644" s="116">
        <f t="shared" si="97"/>
        <v>17</v>
      </c>
      <c r="B644" s="118">
        <v>46239.0</v>
      </c>
      <c r="C644" s="119"/>
      <c r="D644" s="120" t="str">
        <f t="shared" si="98"/>
        <v>Ferdy</v>
      </c>
      <c r="E644" s="121">
        <f>SUMIFS(SSOD!$C:$C,SSOD!$B:$B,Hitungan!D644,SSOD!$A:$A,Hitungan!C644)</f>
        <v>0</v>
      </c>
      <c r="F644" s="122"/>
      <c r="G644" s="124">
        <f t="shared" si="102"/>
        <v>0</v>
      </c>
      <c r="H644" s="126" t="str">
        <f t="array" ref="H644">INDEX('Panduan Gaji'!$Q:$Q,MATCH(D644,'Panduan Gaji'!$C:$C,0))</f>
        <v>KG</v>
      </c>
      <c r="I644" s="128" t="s">
        <v>138</v>
      </c>
      <c r="J644" s="309">
        <v>0.40625</v>
      </c>
      <c r="K644" s="308">
        <v>0.9166666666666666</v>
      </c>
      <c r="L644" s="145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 ht="13.5" hidden="1" customHeight="1">
      <c r="A645" s="116">
        <f t="shared" si="97"/>
        <v>17</v>
      </c>
      <c r="B645" s="118">
        <v>46240.0</v>
      </c>
      <c r="C645" s="119"/>
      <c r="D645" s="120" t="str">
        <f t="shared" si="98"/>
        <v>Ferdy</v>
      </c>
      <c r="E645" s="121">
        <f>SUMIFS(SSOD!$C:$C,SSOD!$B:$B,Hitungan!D645,SSOD!$A:$A,Hitungan!C645)</f>
        <v>0</v>
      </c>
      <c r="F645" s="122"/>
      <c r="G645" s="124">
        <f t="shared" si="102"/>
        <v>0</v>
      </c>
      <c r="H645" s="126" t="str">
        <f t="array" ref="H645">INDEX('Panduan Gaji'!$Q:$Q,MATCH(D645,'Panduan Gaji'!$C:$C,0))</f>
        <v>KG</v>
      </c>
      <c r="I645" s="128" t="s">
        <v>138</v>
      </c>
      <c r="J645" s="308">
        <v>0.40625</v>
      </c>
      <c r="K645" s="308">
        <v>0.9173611111111111</v>
      </c>
      <c r="L645" s="145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 ht="13.5" hidden="1" customHeight="1">
      <c r="A646" s="116">
        <f t="shared" si="97"/>
        <v>17</v>
      </c>
      <c r="B646" s="118">
        <v>46241.0</v>
      </c>
      <c r="C646" s="119"/>
      <c r="D646" s="120" t="str">
        <f t="shared" si="98"/>
        <v>Ferdy</v>
      </c>
      <c r="E646" s="121">
        <f>SUMIFS(SSOD!$C:$C,SSOD!$B:$B,Hitungan!D646,SSOD!$A:$A,Hitungan!C646)</f>
        <v>0</v>
      </c>
      <c r="F646" s="122"/>
      <c r="G646" s="124">
        <f t="shared" si="102"/>
        <v>0</v>
      </c>
      <c r="H646" s="126" t="str">
        <f t="array" ref="H646">INDEX('Panduan Gaji'!$Q:$Q,MATCH(D646,'Panduan Gaji'!$C:$C,0))</f>
        <v>KG</v>
      </c>
      <c r="I646" s="128" t="s">
        <v>138</v>
      </c>
      <c r="J646" s="308">
        <v>0.4090277777777778</v>
      </c>
      <c r="K646" s="310">
        <v>0.9166666666666666</v>
      </c>
      <c r="L646" s="119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 ht="13.5" hidden="1" customHeight="1">
      <c r="A647" s="116">
        <f t="shared" si="97"/>
        <v>17</v>
      </c>
      <c r="B647" s="118">
        <v>46242.0</v>
      </c>
      <c r="C647" s="119"/>
      <c r="D647" s="120" t="str">
        <f t="shared" si="98"/>
        <v>Ferdy</v>
      </c>
      <c r="E647" s="121">
        <f>SUMIFS(SSOD!$C:$C,SSOD!$B:$B,Hitungan!D647,SSOD!$A:$A,Hitungan!C647)</f>
        <v>0</v>
      </c>
      <c r="F647" s="122"/>
      <c r="G647" s="124">
        <f t="shared" si="102"/>
        <v>0</v>
      </c>
      <c r="H647" s="126" t="str">
        <f t="array" ref="H647">INDEX('Panduan Gaji'!$Q:$Q,MATCH(D647,'Panduan Gaji'!$C:$C,0))</f>
        <v>KG</v>
      </c>
      <c r="I647" s="128" t="s">
        <v>138</v>
      </c>
      <c r="J647" s="309">
        <v>0.4055555555555556</v>
      </c>
      <c r="K647" s="309">
        <v>0.9166666666666666</v>
      </c>
      <c r="L647" s="187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 ht="13.5" hidden="1" customHeight="1">
      <c r="A648" s="116">
        <f t="shared" si="97"/>
        <v>17</v>
      </c>
      <c r="B648" s="118">
        <v>46243.0</v>
      </c>
      <c r="C648" s="119"/>
      <c r="D648" s="120" t="str">
        <f t="shared" si="98"/>
        <v>Ferdy</v>
      </c>
      <c r="E648" s="121">
        <f>SUMIFS(SSOD!$C:$C,SSOD!$B:$B,Hitungan!D648,SSOD!$A:$A,Hitungan!C648)</f>
        <v>0</v>
      </c>
      <c r="F648" s="122"/>
      <c r="G648" s="124">
        <f t="shared" si="102"/>
        <v>0</v>
      </c>
      <c r="H648" s="126" t="str">
        <f t="array" ref="H648">INDEX('Panduan Gaji'!$Q:$Q,MATCH(D648,'Panduan Gaji'!$C:$C,0))</f>
        <v>KG</v>
      </c>
      <c r="I648" s="128" t="s">
        <v>138</v>
      </c>
      <c r="J648" s="309">
        <v>0.40625</v>
      </c>
      <c r="K648" s="309">
        <v>0.9166666666666666</v>
      </c>
      <c r="L648" s="187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 ht="13.5" hidden="1" customHeight="1">
      <c r="A649" s="116">
        <f t="shared" si="97"/>
        <v>17</v>
      </c>
      <c r="B649" s="118">
        <v>46244.0</v>
      </c>
      <c r="C649" s="119"/>
      <c r="D649" s="120" t="str">
        <f t="shared" si="98"/>
        <v>Ferdy</v>
      </c>
      <c r="E649" s="121">
        <f>SUMIFS(SSOD!$C:$C,SSOD!$B:$B,Hitungan!D649,SSOD!$A:$A,Hitungan!C649)</f>
        <v>0</v>
      </c>
      <c r="F649" s="122"/>
      <c r="G649" s="124">
        <f t="shared" si="102"/>
        <v>0</v>
      </c>
      <c r="H649" s="126" t="str">
        <f t="array" ref="H649">INDEX('Panduan Gaji'!$Q:$Q,MATCH(D649,'Panduan Gaji'!$C:$C,0))</f>
        <v>KG</v>
      </c>
      <c r="I649" s="128" t="s">
        <v>138</v>
      </c>
      <c r="J649" s="309">
        <v>0.4083333333333333</v>
      </c>
      <c r="K649" s="309">
        <v>0.9166666666666666</v>
      </c>
      <c r="L649" s="187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 ht="13.5" hidden="1" customHeight="1">
      <c r="A650" s="116">
        <f t="shared" si="97"/>
        <v>17</v>
      </c>
      <c r="B650" s="118">
        <v>46245.0</v>
      </c>
      <c r="C650" s="119"/>
      <c r="D650" s="120" t="str">
        <f t="shared" si="98"/>
        <v>Ferdy</v>
      </c>
      <c r="E650" s="121">
        <f>SUMIFS(SSOD!$C:$C,SSOD!$B:$B,Hitungan!D650,SSOD!$A:$A,Hitungan!C650)</f>
        <v>0</v>
      </c>
      <c r="F650" s="122"/>
      <c r="G650" s="124">
        <f t="shared" si="102"/>
        <v>0</v>
      </c>
      <c r="H650" s="126" t="str">
        <f t="array" ref="H650">INDEX('Panduan Gaji'!$Q:$Q,MATCH(D650,'Panduan Gaji'!$C:$C,0))</f>
        <v>KG</v>
      </c>
      <c r="I650" s="128" t="s">
        <v>138</v>
      </c>
      <c r="J650" s="308"/>
      <c r="K650" s="308"/>
      <c r="L650" s="145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 ht="13.5" hidden="1" customHeight="1">
      <c r="A651" s="116">
        <f t="shared" si="97"/>
        <v>17</v>
      </c>
      <c r="B651" s="118">
        <v>46246.0</v>
      </c>
      <c r="C651" s="119"/>
      <c r="D651" s="120" t="str">
        <f t="shared" si="98"/>
        <v>Ferdy</v>
      </c>
      <c r="E651" s="121">
        <f>SUMIFS(SSOD!$C:$C,SSOD!$B:$B,Hitungan!D651,SSOD!$A:$A,Hitungan!C651)</f>
        <v>0</v>
      </c>
      <c r="F651" s="122"/>
      <c r="G651" s="124">
        <f t="shared" si="102"/>
        <v>0</v>
      </c>
      <c r="H651" s="126" t="str">
        <f t="array" ref="H651">INDEX('Panduan Gaji'!$Q:$Q,MATCH(D651,'Panduan Gaji'!$C:$C,0))</f>
        <v>KG</v>
      </c>
      <c r="I651" s="128" t="s">
        <v>138</v>
      </c>
      <c r="J651" s="308">
        <v>0.4090277777777778</v>
      </c>
      <c r="K651" s="308">
        <v>0.9166666666666666</v>
      </c>
      <c r="L651" s="145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 ht="13.5" hidden="1" customHeight="1">
      <c r="A652" s="116">
        <f t="shared" si="97"/>
        <v>17</v>
      </c>
      <c r="B652" s="118">
        <v>46247.0</v>
      </c>
      <c r="C652" s="119"/>
      <c r="D652" s="120" t="str">
        <f t="shared" si="98"/>
        <v>Ferdy</v>
      </c>
      <c r="E652" s="121">
        <f>SUMIFS(SSOD!$C:$C,SSOD!$B:$B,Hitungan!D652,SSOD!$A:$A,Hitungan!C652)</f>
        <v>0</v>
      </c>
      <c r="F652" s="122"/>
      <c r="G652" s="124">
        <f t="shared" si="102"/>
        <v>0</v>
      </c>
      <c r="H652" s="126" t="str">
        <f t="array" ref="H652">INDEX('Panduan Gaji'!$Q:$Q,MATCH(D652,'Panduan Gaji'!$C:$C,0))</f>
        <v>KG</v>
      </c>
      <c r="I652" s="128" t="s">
        <v>138</v>
      </c>
      <c r="J652" s="308">
        <v>0.4055555555555556</v>
      </c>
      <c r="K652" s="308">
        <v>0.9166666666666666</v>
      </c>
      <c r="L652" s="145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 ht="13.5" hidden="1" customHeight="1">
      <c r="A653" s="116">
        <f t="shared" si="97"/>
        <v>17</v>
      </c>
      <c r="B653" s="118">
        <v>46248.0</v>
      </c>
      <c r="C653" s="119"/>
      <c r="D653" s="120" t="str">
        <f t="shared" si="98"/>
        <v>Ferdy</v>
      </c>
      <c r="E653" s="121">
        <f>SUMIFS(SSOD!$C:$C,SSOD!$B:$B,Hitungan!D653,SSOD!$A:$A,Hitungan!C653)</f>
        <v>0</v>
      </c>
      <c r="F653" s="122"/>
      <c r="G653" s="124">
        <f t="shared" si="102"/>
        <v>0</v>
      </c>
      <c r="H653" s="126" t="str">
        <f t="array" ref="H653">INDEX('Panduan Gaji'!$Q:$Q,MATCH(D653,'Panduan Gaji'!$C:$C,0))</f>
        <v>KG</v>
      </c>
      <c r="I653" s="128" t="s">
        <v>138</v>
      </c>
      <c r="J653" s="308">
        <v>0.4125</v>
      </c>
      <c r="K653" s="310">
        <v>0.9166666666666666</v>
      </c>
      <c r="L653" s="145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 ht="13.5" hidden="1" customHeight="1">
      <c r="A654" s="116">
        <f t="shared" si="97"/>
        <v>17</v>
      </c>
      <c r="B654" s="118">
        <v>46249.0</v>
      </c>
      <c r="C654" s="119"/>
      <c r="D654" s="120" t="str">
        <f t="shared" si="98"/>
        <v>Ferdy</v>
      </c>
      <c r="E654" s="121">
        <f>SUMIFS(SSOD!$C:$C,SSOD!$B:$B,Hitungan!D654,SSOD!$A:$A,Hitungan!C654)</f>
        <v>0</v>
      </c>
      <c r="F654" s="122"/>
      <c r="G654" s="124">
        <f t="shared" si="102"/>
        <v>0</v>
      </c>
      <c r="H654" s="126" t="str">
        <f t="array" ref="H654">INDEX('Panduan Gaji'!$Q:$Q,MATCH(D654,'Panduan Gaji'!$C:$C,0))</f>
        <v>KG</v>
      </c>
      <c r="I654" s="128" t="s">
        <v>138</v>
      </c>
      <c r="J654" s="308">
        <v>0.4027777777777778</v>
      </c>
      <c r="K654" s="308">
        <v>0.9166666666666666</v>
      </c>
      <c r="L654" s="145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 ht="13.5" hidden="1" customHeight="1">
      <c r="A655" s="116">
        <f t="shared" si="97"/>
        <v>17</v>
      </c>
      <c r="B655" s="118">
        <v>46250.0</v>
      </c>
      <c r="C655" s="119"/>
      <c r="D655" s="120" t="str">
        <f t="shared" si="98"/>
        <v>Ferdy</v>
      </c>
      <c r="E655" s="121">
        <f>SUMIFS(SSOD!$C:$C,SSOD!$B:$B,Hitungan!D655,SSOD!$A:$A,Hitungan!C655)</f>
        <v>0</v>
      </c>
      <c r="F655" s="122"/>
      <c r="G655" s="124">
        <f t="shared" si="102"/>
        <v>0</v>
      </c>
      <c r="H655" s="126" t="str">
        <f t="array" ref="H655">INDEX('Panduan Gaji'!$Q:$Q,MATCH(D655,'Panduan Gaji'!$C:$C,0))</f>
        <v>KG</v>
      </c>
      <c r="I655" s="128" t="s">
        <v>138</v>
      </c>
      <c r="J655" s="308">
        <v>0.4104166666666667</v>
      </c>
      <c r="K655" s="308">
        <v>0.9166666666666666</v>
      </c>
      <c r="L655" s="145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 ht="13.5" hidden="1" customHeight="1">
      <c r="A656" s="116">
        <f t="shared" si="97"/>
        <v>17</v>
      </c>
      <c r="B656" s="118">
        <v>46251.0</v>
      </c>
      <c r="C656" s="119"/>
      <c r="D656" s="120" t="str">
        <f t="shared" si="98"/>
        <v>Ferdy</v>
      </c>
      <c r="E656" s="121">
        <f>SUMIFS(SSOD!$C:$C,SSOD!$B:$B,Hitungan!D656,SSOD!$A:$A,Hitungan!C656)</f>
        <v>0</v>
      </c>
      <c r="F656" s="122"/>
      <c r="G656" s="124">
        <f t="shared" si="102"/>
        <v>0</v>
      </c>
      <c r="H656" s="126" t="str">
        <f t="array" ref="H656">INDEX('Panduan Gaji'!$Q:$Q,MATCH(D656,'Panduan Gaji'!$C:$C,0))</f>
        <v>KG</v>
      </c>
      <c r="I656" s="128" t="s">
        <v>138</v>
      </c>
      <c r="J656" s="308">
        <v>0.3986111111111111</v>
      </c>
      <c r="K656" s="308">
        <v>0.9166666666666666</v>
      </c>
      <c r="L656" s="119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 ht="13.5" hidden="1" customHeight="1">
      <c r="A657" s="116">
        <f t="shared" si="97"/>
        <v>17</v>
      </c>
      <c r="B657" s="118">
        <v>46252.0</v>
      </c>
      <c r="C657" s="119" t="s">
        <v>12</v>
      </c>
      <c r="D657" s="120" t="str">
        <f t="shared" si="98"/>
        <v>Ferdy</v>
      </c>
      <c r="E657" s="121">
        <f>SUMIFS(SSOD!$C:$C,SSOD!$B:$B,Hitungan!D657,SSOD!$A:$A,Hitungan!C657)</f>
        <v>18000</v>
      </c>
      <c r="F657" s="122">
        <v>1.5</v>
      </c>
      <c r="G657" s="124">
        <f t="shared" si="102"/>
        <v>27000</v>
      </c>
      <c r="H657" s="126" t="str">
        <f t="array" ref="H657">INDEX('Panduan Gaji'!$Q:$Q,MATCH(D657,'Panduan Gaji'!$C:$C,0))</f>
        <v>KG</v>
      </c>
      <c r="I657" s="128" t="s">
        <v>138</v>
      </c>
      <c r="J657" s="308">
        <v>0.3347222222222222</v>
      </c>
      <c r="K657" s="308">
        <v>0.9166666666666666</v>
      </c>
      <c r="L657" s="119" t="s">
        <v>197</v>
      </c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 ht="13.5" hidden="1" customHeight="1">
      <c r="A658" s="116">
        <f t="shared" si="97"/>
        <v>17</v>
      </c>
      <c r="B658" s="118">
        <v>46253.0</v>
      </c>
      <c r="C658" s="119"/>
      <c r="D658" s="120" t="str">
        <f t="shared" si="98"/>
        <v>Ferdy</v>
      </c>
      <c r="E658" s="121">
        <f>SUMIFS(SSOD!$C:$C,SSOD!$B:$B,Hitungan!D658,SSOD!$A:$A,Hitungan!C658)</f>
        <v>0</v>
      </c>
      <c r="F658" s="122"/>
      <c r="G658" s="124">
        <f t="shared" si="102"/>
        <v>0</v>
      </c>
      <c r="H658" s="126" t="str">
        <f t="array" ref="H658">INDEX('Panduan Gaji'!$Q:$Q,MATCH(D658,'Panduan Gaji'!$C:$C,0))</f>
        <v>KG</v>
      </c>
      <c r="I658" s="128" t="s">
        <v>138</v>
      </c>
      <c r="J658" s="308"/>
      <c r="K658" s="308"/>
      <c r="L658" s="119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 ht="13.5" hidden="1" customHeight="1">
      <c r="A659" s="116">
        <f t="shared" si="97"/>
        <v>17</v>
      </c>
      <c r="B659" s="118">
        <v>46254.0</v>
      </c>
      <c r="C659" s="119"/>
      <c r="D659" s="120" t="str">
        <f t="shared" si="98"/>
        <v>Ferdy</v>
      </c>
      <c r="E659" s="121">
        <f>SUMIFS(SSOD!$C:$C,SSOD!$B:$B,Hitungan!D659,SSOD!$A:$A,Hitungan!C659)</f>
        <v>0</v>
      </c>
      <c r="F659" s="122"/>
      <c r="G659" s="124">
        <f t="shared" si="102"/>
        <v>0</v>
      </c>
      <c r="H659" s="126" t="str">
        <f t="array" ref="H659">INDEX('Panduan Gaji'!$Q:$Q,MATCH(D659,'Panduan Gaji'!$C:$C,0))</f>
        <v>KG</v>
      </c>
      <c r="I659" s="128" t="s">
        <v>138</v>
      </c>
      <c r="J659" s="308">
        <v>0.4048611111111111</v>
      </c>
      <c r="K659" s="308">
        <v>0.9166666666666666</v>
      </c>
      <c r="L659" s="145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 ht="13.5" hidden="1" customHeight="1">
      <c r="A660" s="116">
        <f t="shared" si="97"/>
        <v>17</v>
      </c>
      <c r="B660" s="118">
        <v>46255.0</v>
      </c>
      <c r="C660" s="119"/>
      <c r="D660" s="120" t="str">
        <f t="shared" si="98"/>
        <v>Ferdy</v>
      </c>
      <c r="E660" s="121">
        <f>SUMIFS(SSOD!$C:$C,SSOD!$B:$B,Hitungan!D660,SSOD!$A:$A,Hitungan!C660)</f>
        <v>0</v>
      </c>
      <c r="F660" s="122"/>
      <c r="G660" s="124">
        <f t="shared" si="102"/>
        <v>0</v>
      </c>
      <c r="H660" s="126" t="str">
        <f t="array" ref="H660">INDEX('Panduan Gaji'!$Q:$Q,MATCH(D660,'Panduan Gaji'!$C:$C,0))</f>
        <v>KG</v>
      </c>
      <c r="I660" s="128" t="s">
        <v>138</v>
      </c>
      <c r="J660" s="308">
        <v>0.4069444444444444</v>
      </c>
      <c r="K660" s="308">
        <v>0.9166666666666666</v>
      </c>
      <c r="L660" s="119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 ht="13.5" hidden="1" customHeight="1">
      <c r="A661" s="116">
        <f t="shared" si="97"/>
        <v>17</v>
      </c>
      <c r="B661" s="118">
        <v>46256.0</v>
      </c>
      <c r="C661" s="119"/>
      <c r="D661" s="120" t="str">
        <f t="shared" si="98"/>
        <v>Ferdy</v>
      </c>
      <c r="E661" s="121">
        <f>SUMIFS(SSOD!$C:$C,SSOD!$B:$B,Hitungan!D661,SSOD!$A:$A,Hitungan!C661)</f>
        <v>0</v>
      </c>
      <c r="F661" s="122"/>
      <c r="G661" s="124">
        <f t="shared" si="102"/>
        <v>0</v>
      </c>
      <c r="H661" s="126" t="str">
        <f t="array" ref="H661">INDEX('Panduan Gaji'!$Q:$Q,MATCH(D661,'Panduan Gaji'!$C:$C,0))</f>
        <v>KG</v>
      </c>
      <c r="I661" s="128" t="s">
        <v>138</v>
      </c>
      <c r="J661" s="308">
        <v>0.4020833333333333</v>
      </c>
      <c r="K661" s="308">
        <v>0.9166666666666666</v>
      </c>
      <c r="L661" s="119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 ht="13.5" hidden="1" customHeight="1">
      <c r="A662" s="116">
        <f t="shared" si="97"/>
        <v>17</v>
      </c>
      <c r="B662" s="118">
        <v>46257.0</v>
      </c>
      <c r="C662" s="119"/>
      <c r="D662" s="120" t="str">
        <f t="shared" si="98"/>
        <v>Ferdy</v>
      </c>
      <c r="E662" s="121">
        <f>SUMIFS(SSOD!$C:$C,SSOD!$B:$B,Hitungan!D662,SSOD!$A:$A,Hitungan!C662)</f>
        <v>0</v>
      </c>
      <c r="F662" s="122"/>
      <c r="G662" s="124">
        <f t="shared" si="102"/>
        <v>0</v>
      </c>
      <c r="H662" s="126" t="str">
        <f t="array" ref="H662">INDEX('Panduan Gaji'!$Q:$Q,MATCH(D662,'Panduan Gaji'!$C:$C,0))</f>
        <v>KG</v>
      </c>
      <c r="I662" s="128" t="s">
        <v>138</v>
      </c>
      <c r="J662" s="308">
        <v>0.3986111111111111</v>
      </c>
      <c r="K662" s="308">
        <v>0.9166666666666666</v>
      </c>
      <c r="L662" s="119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 ht="15.75" hidden="1" customHeight="1">
      <c r="A663" s="116">
        <f t="shared" si="97"/>
        <v>17</v>
      </c>
      <c r="B663" s="118">
        <v>46258.0</v>
      </c>
      <c r="C663" s="119"/>
      <c r="D663" s="120" t="str">
        <f t="shared" si="98"/>
        <v>Ferdy</v>
      </c>
      <c r="E663" s="121">
        <f>SUMIFS(SSOD!$C:$C,SSOD!$B:$B,Hitungan!D663,SSOD!$A:$A,Hitungan!C663)</f>
        <v>0</v>
      </c>
      <c r="F663" s="122"/>
      <c r="G663" s="124">
        <f t="shared" si="102"/>
        <v>0</v>
      </c>
      <c r="H663" s="220" t="str">
        <f t="array" ref="H663">INDEX('Panduan Gaji'!$Q:$Q,MATCH(D663,'Panduan Gaji'!$C:$C,0))</f>
        <v>KG</v>
      </c>
      <c r="I663" s="128" t="s">
        <v>138</v>
      </c>
      <c r="J663" s="308">
        <v>0.4027777777777778</v>
      </c>
      <c r="K663" s="308"/>
      <c r="L663" s="119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 ht="15.75" hidden="1" customHeight="1">
      <c r="A664" s="222"/>
      <c r="B664" s="223"/>
      <c r="C664" s="224"/>
      <c r="D664" s="225"/>
      <c r="E664" s="226"/>
      <c r="F664" s="227"/>
      <c r="G664" s="228"/>
      <c r="H664" s="229"/>
      <c r="I664" s="22"/>
      <c r="J664" s="230"/>
      <c r="K664" s="230"/>
      <c r="L664" s="224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 ht="13.5" hidden="1" customHeight="1">
      <c r="A665" s="26">
        <v>18.0</v>
      </c>
      <c r="B665" s="28"/>
      <c r="C665" s="30" t="s">
        <v>6</v>
      </c>
      <c r="D665" s="33" t="s">
        <v>94</v>
      </c>
      <c r="E665" s="42">
        <f>SUMIFS(SSOD!$C:$C,SSOD!$B:$B,Hitungan!D665,SSOD!$A:$A,Hitungan!C665)</f>
        <v>1800000</v>
      </c>
      <c r="F665" s="44">
        <v>1.0</v>
      </c>
      <c r="G665" s="47">
        <f t="shared" ref="G665:G668" si="103">E665*F665</f>
        <v>1800000</v>
      </c>
      <c r="H665" s="51" t="str">
        <f t="array" ref="H665">INDEX('Panduan Gaji'!$Q:$Q,MATCH(D665,'Panduan Gaji'!$C:$C,0))</f>
        <v>KG</v>
      </c>
      <c r="I665" s="53"/>
      <c r="J665" s="54"/>
      <c r="K665" s="54"/>
      <c r="L665" s="55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 ht="13.5" hidden="1" customHeight="1">
      <c r="A666" s="26">
        <f t="shared" ref="A666:A704" si="104">A665</f>
        <v>18</v>
      </c>
      <c r="B666" s="28"/>
      <c r="C666" s="30" t="s">
        <v>17</v>
      </c>
      <c r="D666" s="33" t="str">
        <f t="shared" ref="D666:D704" si="105">D665</f>
        <v>Sabrina</v>
      </c>
      <c r="E666" s="42">
        <f>SUMIFS(SSOD!$C:$C,SSOD!$B:$B,Hitungan!D666,SSOD!$A:$A,Hitungan!C666)</f>
        <v>0</v>
      </c>
      <c r="F666" s="44"/>
      <c r="G666" s="47">
        <f t="shared" si="103"/>
        <v>0</v>
      </c>
      <c r="H666" s="51" t="str">
        <f t="array" ref="H666">INDEX('Panduan Gaji'!$Q:$Q,MATCH(D666,'Panduan Gaji'!$C:$C,0))</f>
        <v>KG</v>
      </c>
      <c r="I666" s="53"/>
      <c r="J666" s="54"/>
      <c r="K666" s="54"/>
      <c r="L666" s="55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 ht="13.5" hidden="1" customHeight="1">
      <c r="A667" s="26">
        <f t="shared" si="104"/>
        <v>18</v>
      </c>
      <c r="B667" s="28"/>
      <c r="C667" s="30" t="s">
        <v>7</v>
      </c>
      <c r="D667" s="33" t="str">
        <f t="shared" si="105"/>
        <v>Sabrina</v>
      </c>
      <c r="E667" s="42">
        <f>SUMIFS(SSOD!$C:$C,SSOD!$B:$B,Hitungan!D667,SSOD!$A:$A,Hitungan!C667)</f>
        <v>21000</v>
      </c>
      <c r="F667" s="44">
        <f t="shared" ref="F667:F668" si="106">SUMPRODUCT(--((($J$675:$J$704&lt;&gt;"")+($K$675:$K$704&lt;&gt;""))&gt;0))</f>
        <v>22</v>
      </c>
      <c r="G667" s="47">
        <f t="shared" si="103"/>
        <v>462000</v>
      </c>
      <c r="H667" s="51" t="str">
        <f t="array" ref="H667">INDEX('Panduan Gaji'!$Q:$Q,MATCH(D667,'Panduan Gaji'!$C:$C,0))</f>
        <v>KG</v>
      </c>
      <c r="I667" s="53"/>
      <c r="J667" s="88"/>
      <c r="K667" s="88"/>
      <c r="L667" s="55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 ht="13.5" hidden="1" customHeight="1">
      <c r="A668" s="26">
        <f t="shared" si="104"/>
        <v>18</v>
      </c>
      <c r="B668" s="28"/>
      <c r="C668" s="30" t="s">
        <v>9</v>
      </c>
      <c r="D668" s="33" t="str">
        <f t="shared" si="105"/>
        <v>Sabrina</v>
      </c>
      <c r="E668" s="42">
        <f>SUMIFS(SSOD!$C:$C,SSOD!$B:$B,Hitungan!D668,SSOD!$A:$A,Hitungan!C668)</f>
        <v>46000</v>
      </c>
      <c r="F668" s="44">
        <f t="shared" si="106"/>
        <v>22</v>
      </c>
      <c r="G668" s="47">
        <f t="shared" si="103"/>
        <v>1012000</v>
      </c>
      <c r="H668" s="51" t="str">
        <f t="array" ref="H668">INDEX('Panduan Gaji'!$Q:$Q,MATCH(D668,'Panduan Gaji'!$C:$C,0))</f>
        <v>KG</v>
      </c>
      <c r="I668" s="53"/>
      <c r="J668" s="88"/>
      <c r="K668" s="88"/>
      <c r="L668" s="9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 ht="15.75" hidden="1" customHeight="1">
      <c r="A669" s="26">
        <f t="shared" si="104"/>
        <v>18</v>
      </c>
      <c r="B669" s="28"/>
      <c r="C669" s="30" t="s">
        <v>39</v>
      </c>
      <c r="D669" s="33" t="str">
        <f t="shared" si="105"/>
        <v>Sabrina</v>
      </c>
      <c r="E669" s="42">
        <v>367854.0</v>
      </c>
      <c r="F669" s="44">
        <v>1.0</v>
      </c>
      <c r="G669" s="47">
        <f>F669*E669</f>
        <v>367854</v>
      </c>
      <c r="H669" s="51" t="str">
        <f t="array" ref="H669">INDEX('Panduan Gaji'!$Q:$Q,MATCH(D669,'Panduan Gaji'!$C:$C,0))</f>
        <v>KG</v>
      </c>
      <c r="I669" s="53"/>
      <c r="J669" s="88"/>
      <c r="K669" s="88"/>
      <c r="L669" s="9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 ht="15.75" hidden="1" customHeight="1">
      <c r="A670" s="26">
        <f t="shared" si="104"/>
        <v>18</v>
      </c>
      <c r="B670" s="28"/>
      <c r="C670" s="30" t="s">
        <v>12</v>
      </c>
      <c r="D670" s="33" t="str">
        <f t="shared" si="105"/>
        <v>Sabrina</v>
      </c>
      <c r="E670" s="42">
        <f>SUMIFS(SSOD!$C:$C,SSOD!$B:$B,Hitungan!D670,SSOD!$A:$A,Hitungan!C670)</f>
        <v>15333.33333</v>
      </c>
      <c r="F670" s="44">
        <f>SUMIF($C$675:$C$704,C670,$F$675:$F$704)</f>
        <v>0</v>
      </c>
      <c r="G670" s="47">
        <f t="shared" ref="G670:G671" si="107">E670*F670</f>
        <v>0</v>
      </c>
      <c r="H670" s="51" t="str">
        <f t="array" ref="H670">INDEX('Panduan Gaji'!$Q:$Q,MATCH(D670,'Panduan Gaji'!$C:$C,0))</f>
        <v>KG</v>
      </c>
      <c r="I670" s="53"/>
      <c r="J670" s="88"/>
      <c r="K670" s="88"/>
      <c r="L670" s="100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 ht="15.75" hidden="1" customHeight="1">
      <c r="A671" s="26">
        <f t="shared" si="104"/>
        <v>18</v>
      </c>
      <c r="B671" s="28"/>
      <c r="C671" s="102" t="s">
        <v>30</v>
      </c>
      <c r="D671" s="33" t="str">
        <f t="shared" si="105"/>
        <v>Sabrina</v>
      </c>
      <c r="E671" s="42">
        <f>SUMIFS(SSOD!$C:$C,SSOD!$B:$B,Hitungan!D671,SSOD!$A:$A,Hitungan!C671)</f>
        <v>15333.33333</v>
      </c>
      <c r="F671" s="44">
        <f t="shared" ref="F671:F672" si="108">COUNTIF($C$675:$C$704,C671)</f>
        <v>0</v>
      </c>
      <c r="G671" s="47">
        <f t="shared" si="107"/>
        <v>0</v>
      </c>
      <c r="H671" s="51" t="str">
        <f t="array" ref="H671">INDEX('Panduan Gaji'!$Q:$Q,MATCH(D671,'Panduan Gaji'!$C:$C,0))</f>
        <v>KG</v>
      </c>
      <c r="I671" s="53"/>
      <c r="J671" s="105"/>
      <c r="K671" s="105"/>
      <c r="L671" s="10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 ht="15.75" hidden="1" customHeight="1">
      <c r="A672" s="26">
        <f t="shared" si="104"/>
        <v>18</v>
      </c>
      <c r="B672" s="28"/>
      <c r="C672" s="30" t="s">
        <v>33</v>
      </c>
      <c r="D672" s="33" t="str">
        <f t="shared" si="105"/>
        <v>Sabrina</v>
      </c>
      <c r="E672" s="42"/>
      <c r="F672" s="44">
        <f t="shared" si="108"/>
        <v>0</v>
      </c>
      <c r="G672" s="47">
        <f>SUMIF($C$675:$C$704,C672,$E$675:$E$704)</f>
        <v>0</v>
      </c>
      <c r="H672" s="51" t="str">
        <f t="array" ref="H672">INDEX('Panduan Gaji'!$Q:$Q,MATCH(D672,'Panduan Gaji'!$C:$C,0))</f>
        <v>KG</v>
      </c>
      <c r="I672" s="53"/>
      <c r="J672" s="105"/>
      <c r="K672" s="105"/>
      <c r="L672" s="10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 ht="15.75" hidden="1" customHeight="1">
      <c r="A673" s="26">
        <f t="shared" si="104"/>
        <v>18</v>
      </c>
      <c r="B673" s="28"/>
      <c r="C673" s="30" t="s">
        <v>83</v>
      </c>
      <c r="D673" s="33" t="str">
        <f t="shared" si="105"/>
        <v>Sabrina</v>
      </c>
      <c r="E673" s="42"/>
      <c r="F673" s="44"/>
      <c r="G673" s="47"/>
      <c r="H673" s="51" t="str">
        <f t="array" ref="H673">INDEX('Panduan Gaji'!$Q:$Q,MATCH(D673,'Panduan Gaji'!$C:$C,0))</f>
        <v>KG</v>
      </c>
      <c r="I673" s="53"/>
      <c r="J673" s="105"/>
      <c r="K673" s="105"/>
      <c r="L673" s="10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 ht="13.5" hidden="1" customHeight="1">
      <c r="A674" s="26">
        <f t="shared" si="104"/>
        <v>18</v>
      </c>
      <c r="B674" s="28"/>
      <c r="C674" s="30" t="s">
        <v>85</v>
      </c>
      <c r="D674" s="33" t="str">
        <f t="shared" si="105"/>
        <v>Sabrina</v>
      </c>
      <c r="E674" s="42"/>
      <c r="F674" s="44"/>
      <c r="G674" s="47"/>
      <c r="H674" s="51" t="str">
        <f t="array" ref="H674">INDEX('Panduan Gaji'!$Q:$Q,MATCH(D674,'Panduan Gaji'!$C:$C,0))</f>
        <v>KG</v>
      </c>
      <c r="I674" s="53"/>
      <c r="J674" s="105"/>
      <c r="K674" s="105"/>
      <c r="L674" s="106"/>
      <c r="M674" s="56"/>
      <c r="N674" s="56"/>
      <c r="O674" s="22"/>
      <c r="P674" s="56"/>
      <c r="Q674" s="56"/>
      <c r="R674" s="56"/>
      <c r="S674" s="56"/>
      <c r="T674" s="56"/>
      <c r="U674" s="56"/>
      <c r="V674" s="56"/>
      <c r="W674" s="56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 ht="13.5" hidden="1" customHeight="1">
      <c r="A675" s="116">
        <f t="shared" si="104"/>
        <v>18</v>
      </c>
      <c r="B675" s="118">
        <v>46229.0</v>
      </c>
      <c r="C675" s="119"/>
      <c r="D675" s="120" t="str">
        <f t="shared" si="105"/>
        <v>Sabrina</v>
      </c>
      <c r="E675" s="121">
        <f>SUMIFS(SSOD!$C:$C,SSOD!$B:$B,Hitungan!D675,SSOD!$A:$A,Hitungan!C675)</f>
        <v>0</v>
      </c>
      <c r="F675" s="122"/>
      <c r="G675" s="124">
        <f t="shared" ref="G675:G704" si="109">E675*F675</f>
        <v>0</v>
      </c>
      <c r="H675" s="126" t="str">
        <f t="array" ref="H675">INDEX('Panduan Gaji'!$Q:$Q,MATCH(D675,'Panduan Gaji'!$C:$C,0))</f>
        <v>KG</v>
      </c>
      <c r="I675" s="128" t="s">
        <v>138</v>
      </c>
      <c r="J675" s="308">
        <v>0.4125</v>
      </c>
      <c r="K675" s="308">
        <v>0.9166666666666666</v>
      </c>
      <c r="L675" s="130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 ht="13.5" hidden="1" customHeight="1">
      <c r="A676" s="116">
        <f t="shared" si="104"/>
        <v>18</v>
      </c>
      <c r="B676" s="118">
        <v>46230.0</v>
      </c>
      <c r="C676" s="119"/>
      <c r="D676" s="120" t="str">
        <f t="shared" si="105"/>
        <v>Sabrina</v>
      </c>
      <c r="E676" s="121">
        <f>SUMIFS(SSOD!$C:$C,SSOD!$B:$B,Hitungan!D676,SSOD!$A:$A,Hitungan!C676)</f>
        <v>0</v>
      </c>
      <c r="F676" s="122"/>
      <c r="G676" s="124">
        <f t="shared" si="109"/>
        <v>0</v>
      </c>
      <c r="H676" s="126" t="str">
        <f t="array" ref="H676">INDEX('Panduan Gaji'!$Q:$Q,MATCH(D676,'Panduan Gaji'!$C:$C,0))</f>
        <v>KG</v>
      </c>
      <c r="I676" s="128" t="s">
        <v>138</v>
      </c>
      <c r="J676" s="308">
        <v>0.4090277777777778</v>
      </c>
      <c r="K676" s="308">
        <v>0.9166666666666666</v>
      </c>
      <c r="L676" s="138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 ht="13.5" hidden="1" customHeight="1">
      <c r="A677" s="116">
        <f t="shared" si="104"/>
        <v>18</v>
      </c>
      <c r="B677" s="118">
        <v>46231.0</v>
      </c>
      <c r="C677" s="119"/>
      <c r="D677" s="120" t="str">
        <f t="shared" si="105"/>
        <v>Sabrina</v>
      </c>
      <c r="E677" s="121">
        <f>SUMIFS(SSOD!$C:$C,SSOD!$B:$B,Hitungan!D677,SSOD!$A:$A,Hitungan!C677)</f>
        <v>0</v>
      </c>
      <c r="F677" s="122"/>
      <c r="G677" s="124">
        <f t="shared" si="109"/>
        <v>0</v>
      </c>
      <c r="H677" s="126" t="str">
        <f t="array" ref="H677">INDEX('Panduan Gaji'!$Q:$Q,MATCH(D677,'Panduan Gaji'!$C:$C,0))</f>
        <v>KG</v>
      </c>
      <c r="I677" s="128" t="s">
        <v>138</v>
      </c>
      <c r="J677" s="308">
        <v>0.4111111111111111</v>
      </c>
      <c r="K677" s="308">
        <v>0.9166666666666666</v>
      </c>
      <c r="L677" s="145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 ht="13.5" hidden="1" customHeight="1">
      <c r="A678" s="116">
        <f t="shared" si="104"/>
        <v>18</v>
      </c>
      <c r="B678" s="118">
        <v>46232.0</v>
      </c>
      <c r="C678" s="146"/>
      <c r="D678" s="120" t="str">
        <f t="shared" si="105"/>
        <v>Sabrina</v>
      </c>
      <c r="E678" s="147">
        <f>SUMIFS(SSOD!$C:$C,SSOD!$B:$B,Hitungan!D678,SSOD!$A:$A,Hitungan!C678)</f>
        <v>0</v>
      </c>
      <c r="F678" s="148"/>
      <c r="G678" s="124">
        <f t="shared" si="109"/>
        <v>0</v>
      </c>
      <c r="H678" s="126" t="str">
        <f t="array" ref="H678">INDEX('Panduan Gaji'!$Q:$Q,MATCH(D678,'Panduan Gaji'!$C:$C,0))</f>
        <v>KG</v>
      </c>
      <c r="I678" s="128" t="s">
        <v>138</v>
      </c>
      <c r="J678" s="308"/>
      <c r="K678" s="308"/>
      <c r="L678" s="153"/>
      <c r="M678" s="16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 ht="13.5" hidden="1" customHeight="1">
      <c r="A679" s="116">
        <f t="shared" si="104"/>
        <v>18</v>
      </c>
      <c r="B679" s="118">
        <v>46233.0</v>
      </c>
      <c r="C679" s="119"/>
      <c r="D679" s="120" t="str">
        <f t="shared" si="105"/>
        <v>Sabrina</v>
      </c>
      <c r="E679" s="121">
        <f>SUMIFS(SSOD!$C:$C,SSOD!$B:$B,Hitungan!D679,SSOD!$A:$A,Hitungan!C679)</f>
        <v>0</v>
      </c>
      <c r="F679" s="122"/>
      <c r="G679" s="124">
        <f t="shared" si="109"/>
        <v>0</v>
      </c>
      <c r="H679" s="126" t="str">
        <f t="array" ref="H679">INDEX('Panduan Gaji'!$Q:$Q,MATCH(D679,'Panduan Gaji'!$C:$C,0))</f>
        <v>KG</v>
      </c>
      <c r="I679" s="128" t="s">
        <v>138</v>
      </c>
      <c r="J679" s="308"/>
      <c r="K679" s="308"/>
      <c r="L679" s="164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 ht="13.5" hidden="1" customHeight="1">
      <c r="A680" s="116">
        <f t="shared" si="104"/>
        <v>18</v>
      </c>
      <c r="B680" s="118">
        <v>46234.0</v>
      </c>
      <c r="C680" s="119"/>
      <c r="D680" s="120" t="str">
        <f t="shared" si="105"/>
        <v>Sabrina</v>
      </c>
      <c r="E680" s="121">
        <f>SUMIFS(SSOD!$C:$C,SSOD!$B:$B,Hitungan!D680,SSOD!$A:$A,Hitungan!C680)</f>
        <v>0</v>
      </c>
      <c r="F680" s="122"/>
      <c r="G680" s="124">
        <f t="shared" si="109"/>
        <v>0</v>
      </c>
      <c r="H680" s="126" t="str">
        <f t="array" ref="H680">INDEX('Panduan Gaji'!$Q:$Q,MATCH(D680,'Panduan Gaji'!$C:$C,0))</f>
        <v>KG</v>
      </c>
      <c r="I680" s="128" t="s">
        <v>138</v>
      </c>
      <c r="J680" s="308">
        <v>0.4090277777777778</v>
      </c>
      <c r="K680" s="308">
        <v>0.9166666666666666</v>
      </c>
      <c r="L680" s="130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 ht="13.5" hidden="1" customHeight="1">
      <c r="A681" s="116">
        <f t="shared" si="104"/>
        <v>18</v>
      </c>
      <c r="B681" s="118">
        <v>46235.0</v>
      </c>
      <c r="C681" s="119"/>
      <c r="D681" s="120" t="str">
        <f t="shared" si="105"/>
        <v>Sabrina</v>
      </c>
      <c r="E681" s="121">
        <f>SUMIFS(SSOD!$C:$C,SSOD!$B:$B,Hitungan!D681,SSOD!$A:$A,Hitungan!C681)</f>
        <v>0</v>
      </c>
      <c r="F681" s="122"/>
      <c r="G681" s="124">
        <f t="shared" si="109"/>
        <v>0</v>
      </c>
      <c r="H681" s="126" t="str">
        <f t="array" ref="H681">INDEX('Panduan Gaji'!$Q:$Q,MATCH(D681,'Panduan Gaji'!$C:$C,0))</f>
        <v>KG</v>
      </c>
      <c r="I681" s="128" t="s">
        <v>138</v>
      </c>
      <c r="J681" s="309">
        <v>0.4104166666666667</v>
      </c>
      <c r="K681" s="308">
        <v>0.9166666666666666</v>
      </c>
      <c r="L681" s="145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 ht="13.5" hidden="1" customHeight="1">
      <c r="A682" s="116">
        <f t="shared" si="104"/>
        <v>18</v>
      </c>
      <c r="B682" s="118">
        <v>46236.0</v>
      </c>
      <c r="C682" s="119"/>
      <c r="D682" s="120" t="str">
        <f t="shared" si="105"/>
        <v>Sabrina</v>
      </c>
      <c r="E682" s="121">
        <v>0.0</v>
      </c>
      <c r="F682" s="122"/>
      <c r="G682" s="124">
        <f t="shared" si="109"/>
        <v>0</v>
      </c>
      <c r="H682" s="126" t="str">
        <f t="array" ref="H682">INDEX('Panduan Gaji'!$Q:$Q,MATCH(D682,'Panduan Gaji'!$C:$C,0))</f>
        <v>KG</v>
      </c>
      <c r="I682" s="128" t="s">
        <v>138</v>
      </c>
      <c r="J682" s="309">
        <v>0.4083333333333333</v>
      </c>
      <c r="K682" s="308">
        <v>0.9166666666666666</v>
      </c>
      <c r="L682" s="145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 ht="13.5" hidden="1" customHeight="1">
      <c r="A683" s="116">
        <f t="shared" si="104"/>
        <v>18</v>
      </c>
      <c r="B683" s="118">
        <v>46237.0</v>
      </c>
      <c r="C683" s="119"/>
      <c r="D683" s="120" t="str">
        <f t="shared" si="105"/>
        <v>Sabrina</v>
      </c>
      <c r="E683" s="121">
        <f>SUMIFS(SSOD!$C:$C,SSOD!$B:$B,Hitungan!D683,SSOD!$A:$A,Hitungan!C683)</f>
        <v>0</v>
      </c>
      <c r="F683" s="122"/>
      <c r="G683" s="124">
        <f t="shared" si="109"/>
        <v>0</v>
      </c>
      <c r="H683" s="126" t="str">
        <f t="array" ref="H683">INDEX('Panduan Gaji'!$Q:$Q,MATCH(D683,'Panduan Gaji'!$C:$C,0))</f>
        <v>KG</v>
      </c>
      <c r="I683" s="128" t="s">
        <v>138</v>
      </c>
      <c r="J683" s="309">
        <v>0.4166666666666667</v>
      </c>
      <c r="K683" s="308">
        <v>0.9166666666666666</v>
      </c>
      <c r="L683" s="145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 ht="13.5" hidden="1" customHeight="1">
      <c r="A684" s="116">
        <f t="shared" si="104"/>
        <v>18</v>
      </c>
      <c r="B684" s="118">
        <v>46238.0</v>
      </c>
      <c r="C684" s="181"/>
      <c r="D684" s="120" t="str">
        <f t="shared" si="105"/>
        <v>Sabrina</v>
      </c>
      <c r="E684" s="121">
        <f>SUMIFS(SSOD!$C:$C,SSOD!$B:$B,Hitungan!D684,SSOD!$A:$A,Hitungan!C684)</f>
        <v>0</v>
      </c>
      <c r="F684" s="182"/>
      <c r="G684" s="52">
        <f t="shared" si="109"/>
        <v>0</v>
      </c>
      <c r="H684" s="126" t="str">
        <f t="array" ref="H684">INDEX('Panduan Gaji'!$Q:$Q,MATCH(D684,'Panduan Gaji'!$C:$C,0))</f>
        <v>KG</v>
      </c>
      <c r="I684" s="128" t="s">
        <v>138</v>
      </c>
      <c r="J684" s="309">
        <v>0.4159722222222222</v>
      </c>
      <c r="K684" s="308">
        <v>0.9166666666666666</v>
      </c>
      <c r="L684" s="119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 ht="13.5" hidden="1" customHeight="1">
      <c r="A685" s="116">
        <f t="shared" si="104"/>
        <v>18</v>
      </c>
      <c r="B685" s="118">
        <v>46239.0</v>
      </c>
      <c r="C685" s="119"/>
      <c r="D685" s="120" t="str">
        <f t="shared" si="105"/>
        <v>Sabrina</v>
      </c>
      <c r="E685" s="121">
        <f>SUMIFS(SSOD!$C:$C,SSOD!$B:$B,Hitungan!D685,SSOD!$A:$A,Hitungan!C685)</f>
        <v>0</v>
      </c>
      <c r="F685" s="122"/>
      <c r="G685" s="124">
        <f t="shared" si="109"/>
        <v>0</v>
      </c>
      <c r="H685" s="126" t="str">
        <f t="array" ref="H685">INDEX('Panduan Gaji'!$Q:$Q,MATCH(D685,'Panduan Gaji'!$C:$C,0))</f>
        <v>KG</v>
      </c>
      <c r="I685" s="128" t="s">
        <v>138</v>
      </c>
      <c r="J685" s="309"/>
      <c r="K685" s="308"/>
      <c r="L685" s="145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 ht="13.5" hidden="1" customHeight="1">
      <c r="A686" s="116">
        <f t="shared" si="104"/>
        <v>18</v>
      </c>
      <c r="B686" s="118">
        <v>46240.0</v>
      </c>
      <c r="C686" s="119"/>
      <c r="D686" s="120" t="str">
        <f t="shared" si="105"/>
        <v>Sabrina</v>
      </c>
      <c r="E686" s="121">
        <f>SUMIFS(SSOD!$C:$C,SSOD!$B:$B,Hitungan!D686,SSOD!$A:$A,Hitungan!C686)</f>
        <v>0</v>
      </c>
      <c r="F686" s="122"/>
      <c r="G686" s="124">
        <f t="shared" si="109"/>
        <v>0</v>
      </c>
      <c r="H686" s="126" t="str">
        <f t="array" ref="H686">INDEX('Panduan Gaji'!$Q:$Q,MATCH(D686,'Panduan Gaji'!$C:$C,0))</f>
        <v>KG</v>
      </c>
      <c r="I686" s="128" t="s">
        <v>138</v>
      </c>
      <c r="J686" s="308"/>
      <c r="K686" s="308"/>
      <c r="L686" s="145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 ht="13.5" hidden="1" customHeight="1">
      <c r="A687" s="116">
        <f t="shared" si="104"/>
        <v>18</v>
      </c>
      <c r="B687" s="118">
        <v>46241.0</v>
      </c>
      <c r="C687" s="119"/>
      <c r="D687" s="120" t="str">
        <f t="shared" si="105"/>
        <v>Sabrina</v>
      </c>
      <c r="E687" s="121">
        <f>SUMIFS(SSOD!$C:$C,SSOD!$B:$B,Hitungan!D687,SSOD!$A:$A,Hitungan!C687)</f>
        <v>0</v>
      </c>
      <c r="F687" s="122"/>
      <c r="G687" s="124">
        <f t="shared" si="109"/>
        <v>0</v>
      </c>
      <c r="H687" s="126" t="str">
        <f t="array" ref="H687">INDEX('Panduan Gaji'!$Q:$Q,MATCH(D687,'Panduan Gaji'!$C:$C,0))</f>
        <v>KG</v>
      </c>
      <c r="I687" s="128" t="s">
        <v>138</v>
      </c>
      <c r="J687" s="308">
        <v>0.40625</v>
      </c>
      <c r="K687" s="310">
        <v>0.9166666666666666</v>
      </c>
      <c r="L687" s="119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 ht="13.5" hidden="1" customHeight="1">
      <c r="A688" s="116">
        <f t="shared" si="104"/>
        <v>18</v>
      </c>
      <c r="B688" s="118">
        <v>46242.0</v>
      </c>
      <c r="C688" s="119"/>
      <c r="D688" s="120" t="str">
        <f t="shared" si="105"/>
        <v>Sabrina</v>
      </c>
      <c r="E688" s="121">
        <f>SUMIFS(SSOD!$C:$C,SSOD!$B:$B,Hitungan!D688,SSOD!$A:$A,Hitungan!C688)</f>
        <v>0</v>
      </c>
      <c r="F688" s="122"/>
      <c r="G688" s="124">
        <f t="shared" si="109"/>
        <v>0</v>
      </c>
      <c r="H688" s="126" t="str">
        <f t="array" ref="H688">INDEX('Panduan Gaji'!$Q:$Q,MATCH(D688,'Panduan Gaji'!$C:$C,0))</f>
        <v>KG</v>
      </c>
      <c r="I688" s="128" t="s">
        <v>138</v>
      </c>
      <c r="J688" s="309">
        <v>0.4048611111111111</v>
      </c>
      <c r="K688" s="309">
        <v>0.9166666666666666</v>
      </c>
      <c r="L688" s="187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 ht="13.5" hidden="1" customHeight="1">
      <c r="A689" s="116">
        <f t="shared" si="104"/>
        <v>18</v>
      </c>
      <c r="B689" s="118">
        <v>46243.0</v>
      </c>
      <c r="C689" s="119"/>
      <c r="D689" s="120" t="str">
        <f t="shared" si="105"/>
        <v>Sabrina</v>
      </c>
      <c r="E689" s="121">
        <f>SUMIFS(SSOD!$C:$C,SSOD!$B:$B,Hitungan!D689,SSOD!$A:$A,Hitungan!C689)</f>
        <v>0</v>
      </c>
      <c r="F689" s="122"/>
      <c r="G689" s="124">
        <f t="shared" si="109"/>
        <v>0</v>
      </c>
      <c r="H689" s="126" t="str">
        <f t="array" ref="H689">INDEX('Panduan Gaji'!$Q:$Q,MATCH(D689,'Panduan Gaji'!$C:$C,0))</f>
        <v>KG</v>
      </c>
      <c r="I689" s="128" t="s">
        <v>138</v>
      </c>
      <c r="J689" s="309">
        <v>0.4131944444444444</v>
      </c>
      <c r="K689" s="309">
        <v>0.9166666666666666</v>
      </c>
      <c r="L689" s="187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 ht="13.5" hidden="1" customHeight="1">
      <c r="A690" s="116">
        <f t="shared" si="104"/>
        <v>18</v>
      </c>
      <c r="B690" s="118">
        <v>46244.0</v>
      </c>
      <c r="C690" s="119"/>
      <c r="D690" s="120" t="str">
        <f t="shared" si="105"/>
        <v>Sabrina</v>
      </c>
      <c r="E690" s="121">
        <f>SUMIFS(SSOD!$C:$C,SSOD!$B:$B,Hitungan!D690,SSOD!$A:$A,Hitungan!C690)</f>
        <v>0</v>
      </c>
      <c r="F690" s="122"/>
      <c r="G690" s="124">
        <f t="shared" si="109"/>
        <v>0</v>
      </c>
      <c r="H690" s="126" t="str">
        <f t="array" ref="H690">INDEX('Panduan Gaji'!$Q:$Q,MATCH(D690,'Panduan Gaji'!$C:$C,0))</f>
        <v>KG</v>
      </c>
      <c r="I690" s="128" t="s">
        <v>138</v>
      </c>
      <c r="J690" s="309">
        <v>0.4090277777777778</v>
      </c>
      <c r="K690" s="309">
        <v>0.9166666666666666</v>
      </c>
      <c r="L690" s="187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 ht="13.5" hidden="1" customHeight="1">
      <c r="A691" s="116">
        <f t="shared" si="104"/>
        <v>18</v>
      </c>
      <c r="B691" s="118">
        <v>46245.0</v>
      </c>
      <c r="C691" s="119"/>
      <c r="D691" s="120" t="str">
        <f t="shared" si="105"/>
        <v>Sabrina</v>
      </c>
      <c r="E691" s="121">
        <f>SUMIFS(SSOD!$C:$C,SSOD!$B:$B,Hitungan!D691,SSOD!$A:$A,Hitungan!C691)</f>
        <v>0</v>
      </c>
      <c r="F691" s="122"/>
      <c r="G691" s="124">
        <f t="shared" si="109"/>
        <v>0</v>
      </c>
      <c r="H691" s="126" t="str">
        <f t="array" ref="H691">INDEX('Panduan Gaji'!$Q:$Q,MATCH(D691,'Panduan Gaji'!$C:$C,0))</f>
        <v>KG</v>
      </c>
      <c r="I691" s="128" t="s">
        <v>138</v>
      </c>
      <c r="J691" s="308">
        <v>0.4111111111111111</v>
      </c>
      <c r="K691" s="308"/>
      <c r="L691" s="145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 ht="13.5" hidden="1" customHeight="1">
      <c r="A692" s="116">
        <f t="shared" si="104"/>
        <v>18</v>
      </c>
      <c r="B692" s="118">
        <v>46246.0</v>
      </c>
      <c r="C692" s="119"/>
      <c r="D692" s="120" t="str">
        <f t="shared" si="105"/>
        <v>Sabrina</v>
      </c>
      <c r="E692" s="121">
        <f>SUMIFS(SSOD!$C:$C,SSOD!$B:$B,Hitungan!D692,SSOD!$A:$A,Hitungan!C692)</f>
        <v>0</v>
      </c>
      <c r="F692" s="122"/>
      <c r="G692" s="124">
        <f t="shared" si="109"/>
        <v>0</v>
      </c>
      <c r="H692" s="126" t="str">
        <f t="array" ref="H692">INDEX('Panduan Gaji'!$Q:$Q,MATCH(D692,'Panduan Gaji'!$C:$C,0))</f>
        <v>KG</v>
      </c>
      <c r="I692" s="128" t="s">
        <v>138</v>
      </c>
      <c r="J692" s="308"/>
      <c r="K692" s="308"/>
      <c r="L692" s="145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 ht="13.5" hidden="1" customHeight="1">
      <c r="A693" s="116">
        <f t="shared" si="104"/>
        <v>18</v>
      </c>
      <c r="B693" s="118">
        <v>46247.0</v>
      </c>
      <c r="C693" s="119"/>
      <c r="D693" s="120" t="str">
        <f t="shared" si="105"/>
        <v>Sabrina</v>
      </c>
      <c r="E693" s="121">
        <f>SUMIFS(SSOD!$C:$C,SSOD!$B:$B,Hitungan!D693,SSOD!$A:$A,Hitungan!C693)</f>
        <v>0</v>
      </c>
      <c r="F693" s="122"/>
      <c r="G693" s="124">
        <f t="shared" si="109"/>
        <v>0</v>
      </c>
      <c r="H693" s="126" t="str">
        <f t="array" ref="H693">INDEX('Panduan Gaji'!$Q:$Q,MATCH(D693,'Panduan Gaji'!$C:$C,0))</f>
        <v>KG</v>
      </c>
      <c r="I693" s="128" t="s">
        <v>138</v>
      </c>
      <c r="J693" s="308"/>
      <c r="K693" s="308"/>
      <c r="L693" s="145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 ht="13.5" hidden="1" customHeight="1">
      <c r="A694" s="116">
        <f t="shared" si="104"/>
        <v>18</v>
      </c>
      <c r="B694" s="118">
        <v>46248.0</v>
      </c>
      <c r="C694" s="119"/>
      <c r="D694" s="120" t="str">
        <f t="shared" si="105"/>
        <v>Sabrina</v>
      </c>
      <c r="E694" s="121">
        <f>SUMIFS(SSOD!$C:$C,SSOD!$B:$B,Hitungan!D694,SSOD!$A:$A,Hitungan!C694)</f>
        <v>0</v>
      </c>
      <c r="F694" s="122"/>
      <c r="G694" s="124">
        <f t="shared" si="109"/>
        <v>0</v>
      </c>
      <c r="H694" s="126" t="str">
        <f t="array" ref="H694">INDEX('Panduan Gaji'!$Q:$Q,MATCH(D694,'Panduan Gaji'!$C:$C,0))</f>
        <v>KG</v>
      </c>
      <c r="I694" s="128" t="s">
        <v>138</v>
      </c>
      <c r="J694" s="308">
        <v>0.4159722222222222</v>
      </c>
      <c r="K694" s="310">
        <v>0.9166666666666666</v>
      </c>
      <c r="L694" s="145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 ht="13.5" hidden="1" customHeight="1">
      <c r="A695" s="116">
        <f t="shared" si="104"/>
        <v>18</v>
      </c>
      <c r="B695" s="118">
        <v>46249.0</v>
      </c>
      <c r="C695" s="119"/>
      <c r="D695" s="120" t="str">
        <f t="shared" si="105"/>
        <v>Sabrina</v>
      </c>
      <c r="E695" s="121">
        <f>SUMIFS(SSOD!$C:$C,SSOD!$B:$B,Hitungan!D695,SSOD!$A:$A,Hitungan!C695)</f>
        <v>0</v>
      </c>
      <c r="F695" s="122"/>
      <c r="G695" s="124">
        <f t="shared" si="109"/>
        <v>0</v>
      </c>
      <c r="H695" s="126" t="str">
        <f t="array" ref="H695">INDEX('Panduan Gaji'!$Q:$Q,MATCH(D695,'Panduan Gaji'!$C:$C,0))</f>
        <v>KG</v>
      </c>
      <c r="I695" s="128" t="s">
        <v>138</v>
      </c>
      <c r="J695" s="308">
        <v>0.4083333333333333</v>
      </c>
      <c r="K695" s="308">
        <v>0.9166666666666666</v>
      </c>
      <c r="L695" s="145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 ht="13.5" hidden="1" customHeight="1">
      <c r="A696" s="116">
        <f t="shared" si="104"/>
        <v>18</v>
      </c>
      <c r="B696" s="118">
        <v>46250.0</v>
      </c>
      <c r="C696" s="119"/>
      <c r="D696" s="120" t="str">
        <f t="shared" si="105"/>
        <v>Sabrina</v>
      </c>
      <c r="E696" s="121">
        <f>SUMIFS(SSOD!$C:$C,SSOD!$B:$B,Hitungan!D696,SSOD!$A:$A,Hitungan!C696)</f>
        <v>0</v>
      </c>
      <c r="F696" s="122"/>
      <c r="G696" s="124">
        <f t="shared" si="109"/>
        <v>0</v>
      </c>
      <c r="H696" s="126" t="str">
        <f t="array" ref="H696">INDEX('Panduan Gaji'!$Q:$Q,MATCH(D696,'Panduan Gaji'!$C:$C,0))</f>
        <v>KG</v>
      </c>
      <c r="I696" s="128" t="s">
        <v>138</v>
      </c>
      <c r="J696" s="308">
        <v>0.4180555555555556</v>
      </c>
      <c r="K696" s="308">
        <v>0.9166666666666666</v>
      </c>
      <c r="L696" s="145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 ht="13.5" hidden="1" customHeight="1">
      <c r="A697" s="116">
        <f t="shared" si="104"/>
        <v>18</v>
      </c>
      <c r="B697" s="118">
        <v>46251.0</v>
      </c>
      <c r="C697" s="119"/>
      <c r="D697" s="120" t="str">
        <f t="shared" si="105"/>
        <v>Sabrina</v>
      </c>
      <c r="E697" s="121">
        <f>SUMIFS(SSOD!$C:$C,SSOD!$B:$B,Hitungan!D697,SSOD!$A:$A,Hitungan!C697)</f>
        <v>0</v>
      </c>
      <c r="F697" s="122"/>
      <c r="G697" s="124">
        <f t="shared" si="109"/>
        <v>0</v>
      </c>
      <c r="H697" s="126" t="str">
        <f t="array" ref="H697">INDEX('Panduan Gaji'!$Q:$Q,MATCH(D697,'Panduan Gaji'!$C:$C,0))</f>
        <v>KG</v>
      </c>
      <c r="I697" s="128" t="s">
        <v>138</v>
      </c>
      <c r="J697" s="308">
        <v>0.4125</v>
      </c>
      <c r="K697" s="308">
        <v>0.9166666666666666</v>
      </c>
      <c r="L697" s="119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 ht="13.5" hidden="1" customHeight="1">
      <c r="A698" s="116">
        <f t="shared" si="104"/>
        <v>18</v>
      </c>
      <c r="B698" s="118">
        <v>46252.0</v>
      </c>
      <c r="C698" s="119"/>
      <c r="D698" s="120" t="str">
        <f t="shared" si="105"/>
        <v>Sabrina</v>
      </c>
      <c r="E698" s="121">
        <f>SUMIFS(SSOD!$C:$C,SSOD!$B:$B,Hitungan!D698,SSOD!$A:$A,Hitungan!C698)</f>
        <v>0</v>
      </c>
      <c r="F698" s="122"/>
      <c r="G698" s="124">
        <f t="shared" si="109"/>
        <v>0</v>
      </c>
      <c r="H698" s="126" t="str">
        <f t="array" ref="H698">INDEX('Panduan Gaji'!$Q:$Q,MATCH(D698,'Panduan Gaji'!$C:$C,0))</f>
        <v>KG</v>
      </c>
      <c r="I698" s="128" t="s">
        <v>138</v>
      </c>
      <c r="J698" s="308">
        <v>0.4166666666666667</v>
      </c>
      <c r="K698" s="308">
        <v>0.9166666666666666</v>
      </c>
      <c r="L698" s="119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 ht="13.5" hidden="1" customHeight="1">
      <c r="A699" s="116">
        <f t="shared" si="104"/>
        <v>18</v>
      </c>
      <c r="B699" s="118">
        <v>46253.0</v>
      </c>
      <c r="C699" s="119"/>
      <c r="D699" s="120" t="str">
        <f t="shared" si="105"/>
        <v>Sabrina</v>
      </c>
      <c r="E699" s="121">
        <f>SUMIFS(SSOD!$C:$C,SSOD!$B:$B,Hitungan!D699,SSOD!$A:$A,Hitungan!C699)</f>
        <v>0</v>
      </c>
      <c r="F699" s="122"/>
      <c r="G699" s="124">
        <f t="shared" si="109"/>
        <v>0</v>
      </c>
      <c r="H699" s="126" t="str">
        <f t="array" ref="H699">INDEX('Panduan Gaji'!$Q:$Q,MATCH(D699,'Panduan Gaji'!$C:$C,0))</f>
        <v>KG</v>
      </c>
      <c r="I699" s="128" t="s">
        <v>138</v>
      </c>
      <c r="J699" s="308">
        <v>0.4104166666666667</v>
      </c>
      <c r="K699" s="308">
        <v>0.9166666666666666</v>
      </c>
      <c r="L699" s="119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 ht="13.5" hidden="1" customHeight="1">
      <c r="A700" s="116">
        <f t="shared" si="104"/>
        <v>18</v>
      </c>
      <c r="B700" s="118">
        <v>46254.0</v>
      </c>
      <c r="C700" s="119"/>
      <c r="D700" s="120" t="str">
        <f t="shared" si="105"/>
        <v>Sabrina</v>
      </c>
      <c r="E700" s="121">
        <f>SUMIFS(SSOD!$C:$C,SSOD!$B:$B,Hitungan!D700,SSOD!$A:$A,Hitungan!C700)</f>
        <v>0</v>
      </c>
      <c r="F700" s="122"/>
      <c r="G700" s="124">
        <f t="shared" si="109"/>
        <v>0</v>
      </c>
      <c r="H700" s="126" t="str">
        <f t="array" ref="H700">INDEX('Panduan Gaji'!$Q:$Q,MATCH(D700,'Panduan Gaji'!$C:$C,0))</f>
        <v>KG</v>
      </c>
      <c r="I700" s="128" t="s">
        <v>138</v>
      </c>
      <c r="J700" s="308"/>
      <c r="K700" s="308"/>
      <c r="L700" s="145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 ht="13.5" hidden="1" customHeight="1">
      <c r="A701" s="116">
        <f t="shared" si="104"/>
        <v>18</v>
      </c>
      <c r="B701" s="118">
        <v>46255.0</v>
      </c>
      <c r="C701" s="119"/>
      <c r="D701" s="120" t="str">
        <f t="shared" si="105"/>
        <v>Sabrina</v>
      </c>
      <c r="E701" s="121">
        <f>SUMIFS(SSOD!$C:$C,SSOD!$B:$B,Hitungan!D701,SSOD!$A:$A,Hitungan!C701)</f>
        <v>0</v>
      </c>
      <c r="F701" s="122"/>
      <c r="G701" s="124">
        <f t="shared" si="109"/>
        <v>0</v>
      </c>
      <c r="H701" s="126" t="str">
        <f t="array" ref="H701">INDEX('Panduan Gaji'!$Q:$Q,MATCH(D701,'Panduan Gaji'!$C:$C,0))</f>
        <v>KG</v>
      </c>
      <c r="I701" s="128" t="s">
        <v>138</v>
      </c>
      <c r="J701" s="308"/>
      <c r="K701" s="308"/>
      <c r="L701" s="119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 ht="13.5" hidden="1" customHeight="1">
      <c r="A702" s="116">
        <f t="shared" si="104"/>
        <v>18</v>
      </c>
      <c r="B702" s="118">
        <v>46256.0</v>
      </c>
      <c r="C702" s="119"/>
      <c r="D702" s="120" t="str">
        <f t="shared" si="105"/>
        <v>Sabrina</v>
      </c>
      <c r="E702" s="121">
        <f>SUMIFS(SSOD!$C:$C,SSOD!$B:$B,Hitungan!D702,SSOD!$A:$A,Hitungan!C702)</f>
        <v>0</v>
      </c>
      <c r="F702" s="122"/>
      <c r="G702" s="124">
        <f t="shared" si="109"/>
        <v>0</v>
      </c>
      <c r="H702" s="126" t="str">
        <f t="array" ref="H702">INDEX('Panduan Gaji'!$Q:$Q,MATCH(D702,'Panduan Gaji'!$C:$C,0))</f>
        <v>KG</v>
      </c>
      <c r="I702" s="128" t="s">
        <v>138</v>
      </c>
      <c r="J702" s="308">
        <v>0.4201388888888889</v>
      </c>
      <c r="K702" s="308">
        <v>0.9166666666666666</v>
      </c>
      <c r="L702" s="119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 ht="13.5" hidden="1" customHeight="1">
      <c r="A703" s="116">
        <f t="shared" si="104"/>
        <v>18</v>
      </c>
      <c r="B703" s="118">
        <v>46257.0</v>
      </c>
      <c r="C703" s="119"/>
      <c r="D703" s="120" t="str">
        <f t="shared" si="105"/>
        <v>Sabrina</v>
      </c>
      <c r="E703" s="121">
        <f>SUMIFS(SSOD!$C:$C,SSOD!$B:$B,Hitungan!D703,SSOD!$A:$A,Hitungan!C703)</f>
        <v>0</v>
      </c>
      <c r="F703" s="122"/>
      <c r="G703" s="124">
        <f t="shared" si="109"/>
        <v>0</v>
      </c>
      <c r="H703" s="126" t="str">
        <f t="array" ref="H703">INDEX('Panduan Gaji'!$Q:$Q,MATCH(D703,'Panduan Gaji'!$C:$C,0))</f>
        <v>KG</v>
      </c>
      <c r="I703" s="128" t="s">
        <v>138</v>
      </c>
      <c r="J703" s="308">
        <v>0.4104166666666667</v>
      </c>
      <c r="K703" s="308">
        <v>0.9166666666666666</v>
      </c>
      <c r="L703" s="119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 ht="15.75" hidden="1" customHeight="1">
      <c r="A704" s="116">
        <f t="shared" si="104"/>
        <v>18</v>
      </c>
      <c r="B704" s="118">
        <v>46258.0</v>
      </c>
      <c r="C704" s="119"/>
      <c r="D704" s="120" t="str">
        <f t="shared" si="105"/>
        <v>Sabrina</v>
      </c>
      <c r="E704" s="121">
        <f>SUMIFS(SSOD!$C:$C,SSOD!$B:$B,Hitungan!D704,SSOD!$A:$A,Hitungan!C704)</f>
        <v>0</v>
      </c>
      <c r="F704" s="122"/>
      <c r="G704" s="124">
        <f t="shared" si="109"/>
        <v>0</v>
      </c>
      <c r="H704" s="220" t="str">
        <f t="array" ref="H704">INDEX('Panduan Gaji'!$Q:$Q,MATCH(D704,'Panduan Gaji'!$C:$C,0))</f>
        <v>KG</v>
      </c>
      <c r="I704" s="128" t="s">
        <v>138</v>
      </c>
      <c r="J704" s="308">
        <v>0.4118055555555555</v>
      </c>
      <c r="K704" s="308"/>
      <c r="L704" s="119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 ht="15.75" hidden="1" customHeight="1">
      <c r="A705" s="222"/>
      <c r="B705" s="223"/>
      <c r="C705" s="224"/>
      <c r="D705" s="225"/>
      <c r="E705" s="226"/>
      <c r="F705" s="227"/>
      <c r="G705" s="228"/>
      <c r="H705" s="229"/>
      <c r="I705" s="22"/>
      <c r="J705" s="230"/>
      <c r="K705" s="230"/>
      <c r="L705" s="224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 ht="13.5" hidden="1" customHeight="1">
      <c r="A706" s="26">
        <v>19.0</v>
      </c>
      <c r="B706" s="28"/>
      <c r="C706" s="30" t="s">
        <v>6</v>
      </c>
      <c r="D706" s="33" t="s">
        <v>103</v>
      </c>
      <c r="E706" s="42">
        <f>SUMIFS(SSOD!$C:$C,SSOD!$B:$B,Hitungan!D706,SSOD!$A:$A,Hitungan!C706)</f>
        <v>2250000</v>
      </c>
      <c r="F706" s="44">
        <v>1.0</v>
      </c>
      <c r="G706" s="47">
        <f t="shared" ref="G706:G709" si="110">E706*F706</f>
        <v>2250000</v>
      </c>
      <c r="H706" s="51" t="str">
        <f t="array" ref="H706">INDEX('Panduan Gaji'!$Q:$Q,MATCH(D706,'Panduan Gaji'!$C:$C,0))</f>
        <v>KG</v>
      </c>
      <c r="I706" s="53"/>
      <c r="J706" s="54"/>
      <c r="K706" s="54"/>
      <c r="L706" s="55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 ht="13.5" hidden="1" customHeight="1">
      <c r="A707" s="26">
        <f t="shared" ref="A707:A745" si="111">A706</f>
        <v>19</v>
      </c>
      <c r="B707" s="28"/>
      <c r="C707" s="30" t="s">
        <v>17</v>
      </c>
      <c r="D707" s="33" t="str">
        <f t="shared" ref="D707:D745" si="112">D706</f>
        <v>Rovi</v>
      </c>
      <c r="E707" s="42">
        <f>SUMIFS(SSOD!$C:$C,SSOD!$B:$B,Hitungan!D707,SSOD!$A:$A,Hitungan!C707)</f>
        <v>0</v>
      </c>
      <c r="F707" s="44"/>
      <c r="G707" s="47">
        <f t="shared" si="110"/>
        <v>0</v>
      </c>
      <c r="H707" s="51" t="str">
        <f t="array" ref="H707">INDEX('Panduan Gaji'!$Q:$Q,MATCH(D707,'Panduan Gaji'!$C:$C,0))</f>
        <v>KG</v>
      </c>
      <c r="I707" s="53"/>
      <c r="J707" s="54"/>
      <c r="K707" s="54"/>
      <c r="L707" s="55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 ht="13.5" hidden="1" customHeight="1">
      <c r="A708" s="26">
        <f t="shared" si="111"/>
        <v>19</v>
      </c>
      <c r="B708" s="28"/>
      <c r="C708" s="30" t="s">
        <v>7</v>
      </c>
      <c r="D708" s="33" t="str">
        <f t="shared" si="112"/>
        <v>Rovi</v>
      </c>
      <c r="E708" s="42">
        <f>SUMIFS(SSOD!$C:$C,SSOD!$B:$B,Hitungan!D708,SSOD!$A:$A,Hitungan!C708)</f>
        <v>21000</v>
      </c>
      <c r="F708" s="44">
        <f t="shared" ref="F708:F709" si="113">SUMPRODUCT(--((($J$716:$J$745&lt;&gt;"")+($K$716:$K$745&lt;&gt;""))&gt;0))</f>
        <v>23</v>
      </c>
      <c r="G708" s="47">
        <f t="shared" si="110"/>
        <v>483000</v>
      </c>
      <c r="H708" s="51" t="str">
        <f t="array" ref="H708">INDEX('Panduan Gaji'!$Q:$Q,MATCH(D708,'Panduan Gaji'!$C:$C,0))</f>
        <v>KG</v>
      </c>
      <c r="I708" s="53"/>
      <c r="J708" s="88"/>
      <c r="K708" s="88"/>
      <c r="L708" s="55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 ht="13.5" hidden="1" customHeight="1">
      <c r="A709" s="26">
        <f t="shared" si="111"/>
        <v>19</v>
      </c>
      <c r="B709" s="28"/>
      <c r="C709" s="30" t="s">
        <v>9</v>
      </c>
      <c r="D709" s="33" t="str">
        <f t="shared" si="112"/>
        <v>Rovi</v>
      </c>
      <c r="E709" s="42">
        <f>SUMIFS(SSOD!$C:$C,SSOD!$B:$B,Hitungan!D709,SSOD!$A:$A,Hitungan!C709)</f>
        <v>40000</v>
      </c>
      <c r="F709" s="44">
        <f t="shared" si="113"/>
        <v>23</v>
      </c>
      <c r="G709" s="47">
        <f t="shared" si="110"/>
        <v>920000</v>
      </c>
      <c r="H709" s="51" t="str">
        <f t="array" ref="H709">INDEX('Panduan Gaji'!$Q:$Q,MATCH(D709,'Panduan Gaji'!$C:$C,0))</f>
        <v>KG</v>
      </c>
      <c r="I709" s="53"/>
      <c r="J709" s="88"/>
      <c r="K709" s="88"/>
      <c r="L709" s="9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 ht="15.75" hidden="1" customHeight="1">
      <c r="A710" s="26">
        <f t="shared" si="111"/>
        <v>19</v>
      </c>
      <c r="B710" s="28"/>
      <c r="C710" s="30" t="s">
        <v>39</v>
      </c>
      <c r="D710" s="33" t="str">
        <f t="shared" si="112"/>
        <v>Rovi</v>
      </c>
      <c r="E710" s="42">
        <v>334558.0</v>
      </c>
      <c r="F710" s="44">
        <v>1.0</v>
      </c>
      <c r="G710" s="47">
        <f>F710*E710</f>
        <v>334558</v>
      </c>
      <c r="H710" s="51" t="str">
        <f t="array" ref="H710">INDEX('Panduan Gaji'!$Q:$Q,MATCH(D710,'Panduan Gaji'!$C:$C,0))</f>
        <v>KG</v>
      </c>
      <c r="I710" s="53"/>
      <c r="J710" s="88"/>
      <c r="K710" s="88"/>
      <c r="L710" s="9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 ht="15.75" hidden="1" customHeight="1">
      <c r="A711" s="26">
        <f t="shared" si="111"/>
        <v>19</v>
      </c>
      <c r="B711" s="28"/>
      <c r="C711" s="30" t="s">
        <v>12</v>
      </c>
      <c r="D711" s="33" t="str">
        <f t="shared" si="112"/>
        <v>Rovi</v>
      </c>
      <c r="E711" s="42">
        <f>SUMIFS(SSOD!$C:$C,SSOD!$B:$B,Hitungan!D711,SSOD!$A:$A,Hitungan!C711)</f>
        <v>13333.33333</v>
      </c>
      <c r="F711" s="44">
        <f>SUMIF($C$716:$C$745,C711,$F$716:$F$745)</f>
        <v>0</v>
      </c>
      <c r="G711" s="47">
        <f t="shared" ref="G711:G712" si="114">E711*F711</f>
        <v>0</v>
      </c>
      <c r="H711" s="51" t="str">
        <f t="array" ref="H711">INDEX('Panduan Gaji'!$Q:$Q,MATCH(D711,'Panduan Gaji'!$C:$C,0))</f>
        <v>KG</v>
      </c>
      <c r="I711" s="53"/>
      <c r="J711" s="88"/>
      <c r="K711" s="88"/>
      <c r="L711" s="100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 ht="15.75" hidden="1" customHeight="1">
      <c r="A712" s="26">
        <f t="shared" si="111"/>
        <v>19</v>
      </c>
      <c r="B712" s="28"/>
      <c r="C712" s="102" t="s">
        <v>30</v>
      </c>
      <c r="D712" s="33" t="str">
        <f t="shared" si="112"/>
        <v>Rovi</v>
      </c>
      <c r="E712" s="42">
        <f>SUMIFS(SSOD!$C:$C,SSOD!$B:$B,Hitungan!D712,SSOD!$A:$A,Hitungan!C712)</f>
        <v>13333.33333</v>
      </c>
      <c r="F712" s="44">
        <f t="shared" ref="F712:F713" si="115">COUNTIF($C$716:$C$745,C712)</f>
        <v>0</v>
      </c>
      <c r="G712" s="47">
        <f t="shared" si="114"/>
        <v>0</v>
      </c>
      <c r="H712" s="51" t="str">
        <f t="array" ref="H712">INDEX('Panduan Gaji'!$Q:$Q,MATCH(D712,'Panduan Gaji'!$C:$C,0))</f>
        <v>KG</v>
      </c>
      <c r="I712" s="53"/>
      <c r="J712" s="105"/>
      <c r="K712" s="105"/>
      <c r="L712" s="10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 ht="15.75" hidden="1" customHeight="1">
      <c r="A713" s="26">
        <f t="shared" si="111"/>
        <v>19</v>
      </c>
      <c r="B713" s="28"/>
      <c r="C713" s="30" t="s">
        <v>33</v>
      </c>
      <c r="D713" s="33" t="str">
        <f t="shared" si="112"/>
        <v>Rovi</v>
      </c>
      <c r="E713" s="42"/>
      <c r="F713" s="44">
        <f t="shared" si="115"/>
        <v>0</v>
      </c>
      <c r="G713" s="47">
        <f>SUMIF($C$716:$C$745,C713,$E$716:$E$745)</f>
        <v>0</v>
      </c>
      <c r="H713" s="51" t="str">
        <f t="array" ref="H713">INDEX('Panduan Gaji'!$Q:$Q,MATCH(D713,'Panduan Gaji'!$C:$C,0))</f>
        <v>KG</v>
      </c>
      <c r="I713" s="53"/>
      <c r="J713" s="105"/>
      <c r="K713" s="105"/>
      <c r="L713" s="10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 ht="15.75" hidden="1" customHeight="1">
      <c r="A714" s="26">
        <f t="shared" si="111"/>
        <v>19</v>
      </c>
      <c r="B714" s="28"/>
      <c r="C714" s="30" t="s">
        <v>83</v>
      </c>
      <c r="D714" s="33" t="str">
        <f t="shared" si="112"/>
        <v>Rovi</v>
      </c>
      <c r="E714" s="42"/>
      <c r="F714" s="44"/>
      <c r="G714" s="47"/>
      <c r="H714" s="51" t="str">
        <f t="array" ref="H714">INDEX('Panduan Gaji'!$Q:$Q,MATCH(D714,'Panduan Gaji'!$C:$C,0))</f>
        <v>KG</v>
      </c>
      <c r="I714" s="53"/>
      <c r="J714" s="105"/>
      <c r="K714" s="105"/>
      <c r="L714" s="10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 ht="13.5" hidden="1" customHeight="1">
      <c r="A715" s="26">
        <f t="shared" si="111"/>
        <v>19</v>
      </c>
      <c r="B715" s="28"/>
      <c r="C715" s="30" t="s">
        <v>85</v>
      </c>
      <c r="D715" s="33" t="str">
        <f t="shared" si="112"/>
        <v>Rovi</v>
      </c>
      <c r="E715" s="42"/>
      <c r="F715" s="44"/>
      <c r="G715" s="47"/>
      <c r="H715" s="51" t="str">
        <f t="array" ref="H715">INDEX('Panduan Gaji'!$Q:$Q,MATCH(D715,'Panduan Gaji'!$C:$C,0))</f>
        <v>KG</v>
      </c>
      <c r="I715" s="53"/>
      <c r="J715" s="105"/>
      <c r="K715" s="105"/>
      <c r="L715" s="106"/>
      <c r="M715" s="56"/>
      <c r="N715" s="56"/>
      <c r="O715" s="22"/>
      <c r="P715" s="56"/>
      <c r="Q715" s="56"/>
      <c r="R715" s="56"/>
      <c r="S715" s="56"/>
      <c r="T715" s="56"/>
      <c r="U715" s="56"/>
      <c r="V715" s="56"/>
      <c r="W715" s="56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 ht="13.5" hidden="1" customHeight="1">
      <c r="A716" s="116">
        <f t="shared" si="111"/>
        <v>19</v>
      </c>
      <c r="B716" s="118">
        <v>46229.0</v>
      </c>
      <c r="C716" s="119"/>
      <c r="D716" s="120" t="str">
        <f t="shared" si="112"/>
        <v>Rovi</v>
      </c>
      <c r="E716" s="121">
        <f>SUMIFS(SSOD!$C:$C,SSOD!$B:$B,Hitungan!D716,SSOD!$A:$A,Hitungan!C716)</f>
        <v>0</v>
      </c>
      <c r="F716" s="122"/>
      <c r="G716" s="124">
        <f t="shared" ref="G716:G745" si="116">E716*F716</f>
        <v>0</v>
      </c>
      <c r="H716" s="126" t="str">
        <f t="array" ref="H716">INDEX('Panduan Gaji'!$Q:$Q,MATCH(D716,'Panduan Gaji'!$C:$C,0))</f>
        <v>KG</v>
      </c>
      <c r="I716" s="128" t="s">
        <v>138</v>
      </c>
      <c r="J716" s="308">
        <v>0.4097222222222222</v>
      </c>
      <c r="K716" s="308">
        <v>0.9166666666666666</v>
      </c>
      <c r="L716" s="130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 ht="13.5" hidden="1" customHeight="1">
      <c r="A717" s="116">
        <f t="shared" si="111"/>
        <v>19</v>
      </c>
      <c r="B717" s="118">
        <v>46230.0</v>
      </c>
      <c r="C717" s="119"/>
      <c r="D717" s="120" t="str">
        <f t="shared" si="112"/>
        <v>Rovi</v>
      </c>
      <c r="E717" s="121">
        <f>SUMIFS(SSOD!$C:$C,SSOD!$B:$B,Hitungan!D717,SSOD!$A:$A,Hitungan!C717)</f>
        <v>0</v>
      </c>
      <c r="F717" s="122"/>
      <c r="G717" s="124">
        <f t="shared" si="116"/>
        <v>0</v>
      </c>
      <c r="H717" s="126" t="str">
        <f t="array" ref="H717">INDEX('Panduan Gaji'!$Q:$Q,MATCH(D717,'Panduan Gaji'!$C:$C,0))</f>
        <v>KG</v>
      </c>
      <c r="I717" s="128" t="s">
        <v>138</v>
      </c>
      <c r="J717" s="308"/>
      <c r="K717" s="308"/>
      <c r="L717" s="138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 ht="13.5" hidden="1" customHeight="1">
      <c r="A718" s="116">
        <f t="shared" si="111"/>
        <v>19</v>
      </c>
      <c r="B718" s="118">
        <v>46231.0</v>
      </c>
      <c r="C718" s="119"/>
      <c r="D718" s="120" t="str">
        <f t="shared" si="112"/>
        <v>Rovi</v>
      </c>
      <c r="E718" s="121">
        <f>SUMIFS(SSOD!$C:$C,SSOD!$B:$B,Hitungan!D718,SSOD!$A:$A,Hitungan!C718)</f>
        <v>0</v>
      </c>
      <c r="F718" s="122"/>
      <c r="G718" s="124">
        <f t="shared" si="116"/>
        <v>0</v>
      </c>
      <c r="H718" s="126" t="str">
        <f t="array" ref="H718">INDEX('Panduan Gaji'!$Q:$Q,MATCH(D718,'Panduan Gaji'!$C:$C,0))</f>
        <v>KG</v>
      </c>
      <c r="I718" s="128" t="s">
        <v>138</v>
      </c>
      <c r="J718" s="308"/>
      <c r="K718" s="308"/>
      <c r="L718" s="145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 ht="13.5" hidden="1" customHeight="1">
      <c r="A719" s="116">
        <f t="shared" si="111"/>
        <v>19</v>
      </c>
      <c r="B719" s="118">
        <v>46232.0</v>
      </c>
      <c r="C719" s="146"/>
      <c r="D719" s="120" t="str">
        <f t="shared" si="112"/>
        <v>Rovi</v>
      </c>
      <c r="E719" s="147">
        <f>SUMIFS(SSOD!$C:$C,SSOD!$B:$B,Hitungan!D719,SSOD!$A:$A,Hitungan!C719)</f>
        <v>0</v>
      </c>
      <c r="F719" s="148"/>
      <c r="G719" s="124">
        <f t="shared" si="116"/>
        <v>0</v>
      </c>
      <c r="H719" s="126" t="str">
        <f t="array" ref="H719">INDEX('Panduan Gaji'!$Q:$Q,MATCH(D719,'Panduan Gaji'!$C:$C,0))</f>
        <v>KG</v>
      </c>
      <c r="I719" s="128" t="s">
        <v>138</v>
      </c>
      <c r="J719" s="308">
        <v>0.4069444444444444</v>
      </c>
      <c r="K719" s="308">
        <v>0.9166666666666666</v>
      </c>
      <c r="L719" s="153"/>
      <c r="M719" s="16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 ht="13.5" hidden="1" customHeight="1">
      <c r="A720" s="116">
        <f t="shared" si="111"/>
        <v>19</v>
      </c>
      <c r="B720" s="118">
        <v>46233.0</v>
      </c>
      <c r="C720" s="119"/>
      <c r="D720" s="120" t="str">
        <f t="shared" si="112"/>
        <v>Rovi</v>
      </c>
      <c r="E720" s="121">
        <f>SUMIFS(SSOD!$C:$C,SSOD!$B:$B,Hitungan!D720,SSOD!$A:$A,Hitungan!C720)</f>
        <v>0</v>
      </c>
      <c r="F720" s="122"/>
      <c r="G720" s="124">
        <f t="shared" si="116"/>
        <v>0</v>
      </c>
      <c r="H720" s="126" t="str">
        <f t="array" ref="H720">INDEX('Panduan Gaji'!$Q:$Q,MATCH(D720,'Panduan Gaji'!$C:$C,0))</f>
        <v>KG</v>
      </c>
      <c r="I720" s="128" t="s">
        <v>138</v>
      </c>
      <c r="J720" s="308">
        <v>0.4118055555555555</v>
      </c>
      <c r="K720" s="308">
        <v>0.9166666666666666</v>
      </c>
      <c r="L720" s="164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 ht="13.5" hidden="1" customHeight="1">
      <c r="A721" s="116">
        <f t="shared" si="111"/>
        <v>19</v>
      </c>
      <c r="B721" s="118">
        <v>46234.0</v>
      </c>
      <c r="C721" s="119"/>
      <c r="D721" s="120" t="str">
        <f t="shared" si="112"/>
        <v>Rovi</v>
      </c>
      <c r="E721" s="121">
        <f>SUMIFS(SSOD!$C:$C,SSOD!$B:$B,Hitungan!D721,SSOD!$A:$A,Hitungan!C721)</f>
        <v>0</v>
      </c>
      <c r="F721" s="122"/>
      <c r="G721" s="124">
        <f t="shared" si="116"/>
        <v>0</v>
      </c>
      <c r="H721" s="126" t="str">
        <f t="array" ref="H721">INDEX('Panduan Gaji'!$Q:$Q,MATCH(D721,'Panduan Gaji'!$C:$C,0))</f>
        <v>KG</v>
      </c>
      <c r="I721" s="128" t="s">
        <v>138</v>
      </c>
      <c r="J721" s="308">
        <v>0.4118055555555555</v>
      </c>
      <c r="K721" s="308">
        <v>0.9166666666666666</v>
      </c>
      <c r="L721" s="130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 ht="13.5" hidden="1" customHeight="1">
      <c r="A722" s="116">
        <f t="shared" si="111"/>
        <v>19</v>
      </c>
      <c r="B722" s="118">
        <v>46235.0</v>
      </c>
      <c r="C722" s="119"/>
      <c r="D722" s="120" t="str">
        <f t="shared" si="112"/>
        <v>Rovi</v>
      </c>
      <c r="E722" s="121">
        <f>SUMIFS(SSOD!$C:$C,SSOD!$B:$B,Hitungan!D722,SSOD!$A:$A,Hitungan!C722)</f>
        <v>0</v>
      </c>
      <c r="F722" s="122"/>
      <c r="G722" s="124">
        <f t="shared" si="116"/>
        <v>0</v>
      </c>
      <c r="H722" s="126" t="str">
        <f t="array" ref="H722">INDEX('Panduan Gaji'!$Q:$Q,MATCH(D722,'Panduan Gaji'!$C:$C,0))</f>
        <v>KG</v>
      </c>
      <c r="I722" s="128" t="s">
        <v>138</v>
      </c>
      <c r="J722" s="309">
        <v>0.4131944444444444</v>
      </c>
      <c r="K722" s="308">
        <v>0.9159722222222222</v>
      </c>
      <c r="L722" s="145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 ht="13.5" hidden="1" customHeight="1">
      <c r="A723" s="116">
        <f t="shared" si="111"/>
        <v>19</v>
      </c>
      <c r="B723" s="118">
        <v>46236.0</v>
      </c>
      <c r="C723" s="119"/>
      <c r="D723" s="120" t="str">
        <f t="shared" si="112"/>
        <v>Rovi</v>
      </c>
      <c r="E723" s="121">
        <v>0.0</v>
      </c>
      <c r="F723" s="122"/>
      <c r="G723" s="124">
        <f t="shared" si="116"/>
        <v>0</v>
      </c>
      <c r="H723" s="126" t="str">
        <f t="array" ref="H723">INDEX('Panduan Gaji'!$Q:$Q,MATCH(D723,'Panduan Gaji'!$C:$C,0))</f>
        <v>KG</v>
      </c>
      <c r="I723" s="128" t="s">
        <v>138</v>
      </c>
      <c r="J723" s="309">
        <v>0.4131944444444444</v>
      </c>
      <c r="K723" s="308">
        <v>0.9166666666666666</v>
      </c>
      <c r="L723" s="145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 ht="13.5" hidden="1" customHeight="1">
      <c r="A724" s="116">
        <f t="shared" si="111"/>
        <v>19</v>
      </c>
      <c r="B724" s="118">
        <v>46237.0</v>
      </c>
      <c r="C724" s="119"/>
      <c r="D724" s="120" t="str">
        <f t="shared" si="112"/>
        <v>Rovi</v>
      </c>
      <c r="E724" s="121">
        <f>SUMIFS(SSOD!$C:$C,SSOD!$B:$B,Hitungan!D724,SSOD!$A:$A,Hitungan!C724)</f>
        <v>0</v>
      </c>
      <c r="F724" s="122"/>
      <c r="G724" s="124">
        <f t="shared" si="116"/>
        <v>0</v>
      </c>
      <c r="H724" s="126" t="str">
        <f t="array" ref="H724">INDEX('Panduan Gaji'!$Q:$Q,MATCH(D724,'Panduan Gaji'!$C:$C,0))</f>
        <v>KG</v>
      </c>
      <c r="I724" s="128" t="s">
        <v>138</v>
      </c>
      <c r="J724" s="309"/>
      <c r="K724" s="308"/>
      <c r="L724" s="145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 ht="13.5" hidden="1" customHeight="1">
      <c r="A725" s="116">
        <f t="shared" si="111"/>
        <v>19</v>
      </c>
      <c r="B725" s="118">
        <v>46238.0</v>
      </c>
      <c r="C725" s="181"/>
      <c r="D725" s="120" t="str">
        <f t="shared" si="112"/>
        <v>Rovi</v>
      </c>
      <c r="E725" s="121">
        <f>SUMIFS(SSOD!$C:$C,SSOD!$B:$B,Hitungan!D725,SSOD!$A:$A,Hitungan!C725)</f>
        <v>0</v>
      </c>
      <c r="F725" s="182"/>
      <c r="G725" s="52">
        <f t="shared" si="116"/>
        <v>0</v>
      </c>
      <c r="H725" s="126" t="str">
        <f t="array" ref="H725">INDEX('Panduan Gaji'!$Q:$Q,MATCH(D725,'Panduan Gaji'!$C:$C,0))</f>
        <v>KG</v>
      </c>
      <c r="I725" s="128" t="s">
        <v>138</v>
      </c>
      <c r="J725" s="309">
        <v>0.4083333333333333</v>
      </c>
      <c r="K725" s="308">
        <v>0.9166666666666666</v>
      </c>
      <c r="L725" s="119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 ht="13.5" hidden="1" customHeight="1">
      <c r="A726" s="116">
        <f t="shared" si="111"/>
        <v>19</v>
      </c>
      <c r="B726" s="118">
        <v>46239.0</v>
      </c>
      <c r="C726" s="119"/>
      <c r="D726" s="120" t="str">
        <f t="shared" si="112"/>
        <v>Rovi</v>
      </c>
      <c r="E726" s="121">
        <f>SUMIFS(SSOD!$C:$C,SSOD!$B:$B,Hitungan!D726,SSOD!$A:$A,Hitungan!C726)</f>
        <v>0</v>
      </c>
      <c r="F726" s="122"/>
      <c r="G726" s="124">
        <f t="shared" si="116"/>
        <v>0</v>
      </c>
      <c r="H726" s="126" t="str">
        <f t="array" ref="H726">INDEX('Panduan Gaji'!$Q:$Q,MATCH(D726,'Panduan Gaji'!$C:$C,0))</f>
        <v>KG</v>
      </c>
      <c r="I726" s="128" t="s">
        <v>138</v>
      </c>
      <c r="J726" s="309">
        <v>0.4111111111111111</v>
      </c>
      <c r="K726" s="308">
        <v>0.9166666666666666</v>
      </c>
      <c r="L726" s="145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 ht="13.5" hidden="1" customHeight="1">
      <c r="A727" s="116">
        <f t="shared" si="111"/>
        <v>19</v>
      </c>
      <c r="B727" s="118">
        <v>46240.0</v>
      </c>
      <c r="C727" s="119"/>
      <c r="D727" s="120" t="str">
        <f t="shared" si="112"/>
        <v>Rovi</v>
      </c>
      <c r="E727" s="121">
        <f>SUMIFS(SSOD!$C:$C,SSOD!$B:$B,Hitungan!D727,SSOD!$A:$A,Hitungan!C727)</f>
        <v>0</v>
      </c>
      <c r="F727" s="122"/>
      <c r="G727" s="124">
        <f t="shared" si="116"/>
        <v>0</v>
      </c>
      <c r="H727" s="126" t="str">
        <f t="array" ref="H727">INDEX('Panduan Gaji'!$Q:$Q,MATCH(D727,'Panduan Gaji'!$C:$C,0))</f>
        <v>KG</v>
      </c>
      <c r="I727" s="128" t="s">
        <v>138</v>
      </c>
      <c r="J727" s="308">
        <v>0.4118055555555555</v>
      </c>
      <c r="K727" s="308">
        <v>0.9166666666666666</v>
      </c>
      <c r="L727" s="145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 ht="13.5" hidden="1" customHeight="1">
      <c r="A728" s="116">
        <f t="shared" si="111"/>
        <v>19</v>
      </c>
      <c r="B728" s="118">
        <v>46241.0</v>
      </c>
      <c r="C728" s="119"/>
      <c r="D728" s="120" t="str">
        <f t="shared" si="112"/>
        <v>Rovi</v>
      </c>
      <c r="E728" s="121">
        <f>SUMIFS(SSOD!$C:$C,SSOD!$B:$B,Hitungan!D728,SSOD!$A:$A,Hitungan!C728)</f>
        <v>0</v>
      </c>
      <c r="F728" s="122"/>
      <c r="G728" s="124">
        <f t="shared" si="116"/>
        <v>0</v>
      </c>
      <c r="H728" s="126" t="str">
        <f t="array" ref="H728">INDEX('Panduan Gaji'!$Q:$Q,MATCH(D728,'Panduan Gaji'!$C:$C,0))</f>
        <v>KG</v>
      </c>
      <c r="I728" s="128" t="s">
        <v>138</v>
      </c>
      <c r="J728" s="308"/>
      <c r="K728" s="310"/>
      <c r="L728" s="119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 ht="13.5" hidden="1" customHeight="1">
      <c r="A729" s="116">
        <f t="shared" si="111"/>
        <v>19</v>
      </c>
      <c r="B729" s="118">
        <v>46242.0</v>
      </c>
      <c r="C729" s="119"/>
      <c r="D729" s="120" t="str">
        <f t="shared" si="112"/>
        <v>Rovi</v>
      </c>
      <c r="E729" s="121">
        <f>SUMIFS(SSOD!$C:$C,SSOD!$B:$B,Hitungan!D729,SSOD!$A:$A,Hitungan!C729)</f>
        <v>0</v>
      </c>
      <c r="F729" s="122"/>
      <c r="G729" s="124">
        <f t="shared" si="116"/>
        <v>0</v>
      </c>
      <c r="H729" s="126" t="str">
        <f t="array" ref="H729">INDEX('Panduan Gaji'!$Q:$Q,MATCH(D729,'Panduan Gaji'!$C:$C,0))</f>
        <v>KG</v>
      </c>
      <c r="I729" s="128" t="s">
        <v>138</v>
      </c>
      <c r="J729" s="309">
        <v>0.4090277777777778</v>
      </c>
      <c r="K729" s="309">
        <v>0.9166666666666666</v>
      </c>
      <c r="L729" s="187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 ht="13.5" hidden="1" customHeight="1">
      <c r="A730" s="116">
        <f t="shared" si="111"/>
        <v>19</v>
      </c>
      <c r="B730" s="118">
        <v>46243.0</v>
      </c>
      <c r="C730" s="119"/>
      <c r="D730" s="120" t="str">
        <f t="shared" si="112"/>
        <v>Rovi</v>
      </c>
      <c r="E730" s="121">
        <f>SUMIFS(SSOD!$C:$C,SSOD!$B:$B,Hitungan!D730,SSOD!$A:$A,Hitungan!C730)</f>
        <v>0</v>
      </c>
      <c r="F730" s="122"/>
      <c r="G730" s="124">
        <f t="shared" si="116"/>
        <v>0</v>
      </c>
      <c r="H730" s="126" t="str">
        <f t="array" ref="H730">INDEX('Panduan Gaji'!$Q:$Q,MATCH(D730,'Panduan Gaji'!$C:$C,0))</f>
        <v>KG</v>
      </c>
      <c r="I730" s="128" t="s">
        <v>138</v>
      </c>
      <c r="J730" s="309">
        <v>0.4097222222222222</v>
      </c>
      <c r="K730" s="309">
        <v>0.9166666666666666</v>
      </c>
      <c r="L730" s="187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 ht="13.5" hidden="1" customHeight="1">
      <c r="A731" s="116">
        <f t="shared" si="111"/>
        <v>19</v>
      </c>
      <c r="B731" s="118">
        <v>46244.0</v>
      </c>
      <c r="C731" s="119"/>
      <c r="D731" s="120" t="str">
        <f t="shared" si="112"/>
        <v>Rovi</v>
      </c>
      <c r="E731" s="121">
        <f>SUMIFS(SSOD!$C:$C,SSOD!$B:$B,Hitungan!D731,SSOD!$A:$A,Hitungan!C731)</f>
        <v>0</v>
      </c>
      <c r="F731" s="122"/>
      <c r="G731" s="124">
        <f t="shared" si="116"/>
        <v>0</v>
      </c>
      <c r="H731" s="126" t="str">
        <f t="array" ref="H731">INDEX('Panduan Gaji'!$Q:$Q,MATCH(D731,'Panduan Gaji'!$C:$C,0))</f>
        <v>KG</v>
      </c>
      <c r="I731" s="128" t="s">
        <v>138</v>
      </c>
      <c r="J731" s="309"/>
      <c r="K731" s="309"/>
      <c r="L731" s="187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 ht="13.5" hidden="1" customHeight="1">
      <c r="A732" s="116">
        <f t="shared" si="111"/>
        <v>19</v>
      </c>
      <c r="B732" s="118">
        <v>46245.0</v>
      </c>
      <c r="C732" s="119"/>
      <c r="D732" s="120" t="str">
        <f t="shared" si="112"/>
        <v>Rovi</v>
      </c>
      <c r="E732" s="121">
        <f>SUMIFS(SSOD!$C:$C,SSOD!$B:$B,Hitungan!D732,SSOD!$A:$A,Hitungan!C732)</f>
        <v>0</v>
      </c>
      <c r="F732" s="122"/>
      <c r="G732" s="124">
        <f t="shared" si="116"/>
        <v>0</v>
      </c>
      <c r="H732" s="126" t="str">
        <f t="array" ref="H732">INDEX('Panduan Gaji'!$Q:$Q,MATCH(D732,'Panduan Gaji'!$C:$C,0))</f>
        <v>KG</v>
      </c>
      <c r="I732" s="128" t="s">
        <v>138</v>
      </c>
      <c r="J732" s="308">
        <v>0.4090277777777778</v>
      </c>
      <c r="K732" s="308">
        <v>0.9166666666666666</v>
      </c>
      <c r="L732" s="145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 ht="13.5" hidden="1" customHeight="1">
      <c r="A733" s="116">
        <f t="shared" si="111"/>
        <v>19</v>
      </c>
      <c r="B733" s="118">
        <v>46246.0</v>
      </c>
      <c r="C733" s="119"/>
      <c r="D733" s="120" t="str">
        <f t="shared" si="112"/>
        <v>Rovi</v>
      </c>
      <c r="E733" s="121">
        <f>SUMIFS(SSOD!$C:$C,SSOD!$B:$B,Hitungan!D733,SSOD!$A:$A,Hitungan!C733)</f>
        <v>0</v>
      </c>
      <c r="F733" s="122"/>
      <c r="G733" s="124">
        <f t="shared" si="116"/>
        <v>0</v>
      </c>
      <c r="H733" s="126" t="str">
        <f t="array" ref="H733">INDEX('Panduan Gaji'!$Q:$Q,MATCH(D733,'Panduan Gaji'!$C:$C,0))</f>
        <v>KG</v>
      </c>
      <c r="I733" s="128" t="s">
        <v>138</v>
      </c>
      <c r="J733" s="308">
        <v>0.4104166666666667</v>
      </c>
      <c r="K733" s="308">
        <v>0.9166666666666666</v>
      </c>
      <c r="L733" s="145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 ht="13.5" hidden="1" customHeight="1">
      <c r="A734" s="116">
        <f t="shared" si="111"/>
        <v>19</v>
      </c>
      <c r="B734" s="118">
        <v>46247.0</v>
      </c>
      <c r="C734" s="119"/>
      <c r="D734" s="120" t="str">
        <f t="shared" si="112"/>
        <v>Rovi</v>
      </c>
      <c r="E734" s="121">
        <f>SUMIFS(SSOD!$C:$C,SSOD!$B:$B,Hitungan!D734,SSOD!$A:$A,Hitungan!C734)</f>
        <v>0</v>
      </c>
      <c r="F734" s="122"/>
      <c r="G734" s="124">
        <f t="shared" si="116"/>
        <v>0</v>
      </c>
      <c r="H734" s="126" t="str">
        <f t="array" ref="H734">INDEX('Panduan Gaji'!$Q:$Q,MATCH(D734,'Panduan Gaji'!$C:$C,0))</f>
        <v>KG</v>
      </c>
      <c r="I734" s="128" t="s">
        <v>138</v>
      </c>
      <c r="J734" s="308">
        <v>0.4138888888888889</v>
      </c>
      <c r="K734" s="308">
        <v>0.9166666666666666</v>
      </c>
      <c r="L734" s="145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 ht="13.5" hidden="1" customHeight="1">
      <c r="A735" s="116">
        <f t="shared" si="111"/>
        <v>19</v>
      </c>
      <c r="B735" s="118">
        <v>46248.0</v>
      </c>
      <c r="C735" s="119"/>
      <c r="D735" s="120" t="str">
        <f t="shared" si="112"/>
        <v>Rovi</v>
      </c>
      <c r="E735" s="121">
        <f>SUMIFS(SSOD!$C:$C,SSOD!$B:$B,Hitungan!D735,SSOD!$A:$A,Hitungan!C735)</f>
        <v>0</v>
      </c>
      <c r="F735" s="122"/>
      <c r="G735" s="124">
        <f t="shared" si="116"/>
        <v>0</v>
      </c>
      <c r="H735" s="126" t="str">
        <f t="array" ref="H735">INDEX('Panduan Gaji'!$Q:$Q,MATCH(D735,'Panduan Gaji'!$C:$C,0))</f>
        <v>KG</v>
      </c>
      <c r="I735" s="128" t="s">
        <v>138</v>
      </c>
      <c r="J735" s="308">
        <v>0.40625</v>
      </c>
      <c r="K735" s="310">
        <v>0.9166666666666666</v>
      </c>
      <c r="L735" s="145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 ht="13.5" hidden="1" customHeight="1">
      <c r="A736" s="116">
        <f t="shared" si="111"/>
        <v>19</v>
      </c>
      <c r="B736" s="118">
        <v>46249.0</v>
      </c>
      <c r="C736" s="119"/>
      <c r="D736" s="120" t="str">
        <f t="shared" si="112"/>
        <v>Rovi</v>
      </c>
      <c r="E736" s="121">
        <f>SUMIFS(SSOD!$C:$C,SSOD!$B:$B,Hitungan!D736,SSOD!$A:$A,Hitungan!C736)</f>
        <v>0</v>
      </c>
      <c r="F736" s="122"/>
      <c r="G736" s="124">
        <f t="shared" si="116"/>
        <v>0</v>
      </c>
      <c r="H736" s="126" t="str">
        <f t="array" ref="H736">INDEX('Panduan Gaji'!$Q:$Q,MATCH(D736,'Panduan Gaji'!$C:$C,0))</f>
        <v>KG</v>
      </c>
      <c r="I736" s="128" t="s">
        <v>138</v>
      </c>
      <c r="J736" s="308"/>
      <c r="K736" s="308"/>
      <c r="L736" s="145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 ht="13.5" hidden="1" customHeight="1">
      <c r="A737" s="116">
        <f t="shared" si="111"/>
        <v>19</v>
      </c>
      <c r="B737" s="118">
        <v>46250.0</v>
      </c>
      <c r="C737" s="119"/>
      <c r="D737" s="120" t="str">
        <f t="shared" si="112"/>
        <v>Rovi</v>
      </c>
      <c r="E737" s="121">
        <f>SUMIFS(SSOD!$C:$C,SSOD!$B:$B,Hitungan!D737,SSOD!$A:$A,Hitungan!C737)</f>
        <v>0</v>
      </c>
      <c r="F737" s="122"/>
      <c r="G737" s="124">
        <f t="shared" si="116"/>
        <v>0</v>
      </c>
      <c r="H737" s="126" t="str">
        <f t="array" ref="H737">INDEX('Panduan Gaji'!$Q:$Q,MATCH(D737,'Panduan Gaji'!$C:$C,0))</f>
        <v>KG</v>
      </c>
      <c r="I737" s="128" t="s">
        <v>138</v>
      </c>
      <c r="J737" s="308">
        <v>0.4083333333333333</v>
      </c>
      <c r="K737" s="308">
        <v>0.9166666666666666</v>
      </c>
      <c r="L737" s="145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 ht="13.5" hidden="1" customHeight="1">
      <c r="A738" s="116">
        <f t="shared" si="111"/>
        <v>19</v>
      </c>
      <c r="B738" s="118">
        <v>46251.0</v>
      </c>
      <c r="C738" s="119"/>
      <c r="D738" s="120" t="str">
        <f t="shared" si="112"/>
        <v>Rovi</v>
      </c>
      <c r="E738" s="121">
        <f>SUMIFS(SSOD!$C:$C,SSOD!$B:$B,Hitungan!D738,SSOD!$A:$A,Hitungan!C738)</f>
        <v>0</v>
      </c>
      <c r="F738" s="122"/>
      <c r="G738" s="124">
        <f t="shared" si="116"/>
        <v>0</v>
      </c>
      <c r="H738" s="126" t="str">
        <f t="array" ref="H738">INDEX('Panduan Gaji'!$Q:$Q,MATCH(D738,'Panduan Gaji'!$C:$C,0))</f>
        <v>KG</v>
      </c>
      <c r="I738" s="128" t="s">
        <v>138</v>
      </c>
      <c r="J738" s="308">
        <v>0.4104166666666667</v>
      </c>
      <c r="K738" s="308">
        <v>0.9166666666666666</v>
      </c>
      <c r="L738" s="119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 ht="13.5" hidden="1" customHeight="1">
      <c r="A739" s="116">
        <f t="shared" si="111"/>
        <v>19</v>
      </c>
      <c r="B739" s="118">
        <v>46252.0</v>
      </c>
      <c r="C739" s="119"/>
      <c r="D739" s="120" t="str">
        <f t="shared" si="112"/>
        <v>Rovi</v>
      </c>
      <c r="E739" s="121">
        <f>SUMIFS(SSOD!$C:$C,SSOD!$B:$B,Hitungan!D739,SSOD!$A:$A,Hitungan!C739)</f>
        <v>0</v>
      </c>
      <c r="F739" s="122"/>
      <c r="G739" s="124">
        <f t="shared" si="116"/>
        <v>0</v>
      </c>
      <c r="H739" s="126" t="str">
        <f t="array" ref="H739">INDEX('Panduan Gaji'!$Q:$Q,MATCH(D739,'Panduan Gaji'!$C:$C,0))</f>
        <v>KG</v>
      </c>
      <c r="I739" s="128" t="s">
        <v>138</v>
      </c>
      <c r="J739" s="308"/>
      <c r="K739" s="308"/>
      <c r="L739" s="119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 ht="13.5" hidden="1" customHeight="1">
      <c r="A740" s="116">
        <f t="shared" si="111"/>
        <v>19</v>
      </c>
      <c r="B740" s="118">
        <v>46253.0</v>
      </c>
      <c r="C740" s="119"/>
      <c r="D740" s="120" t="str">
        <f t="shared" si="112"/>
        <v>Rovi</v>
      </c>
      <c r="E740" s="121">
        <f>SUMIFS(SSOD!$C:$C,SSOD!$B:$B,Hitungan!D740,SSOD!$A:$A,Hitungan!C740)</f>
        <v>0</v>
      </c>
      <c r="F740" s="122"/>
      <c r="G740" s="124">
        <f t="shared" si="116"/>
        <v>0</v>
      </c>
      <c r="H740" s="126" t="str">
        <f t="array" ref="H740">INDEX('Panduan Gaji'!$Q:$Q,MATCH(D740,'Panduan Gaji'!$C:$C,0))</f>
        <v>KG</v>
      </c>
      <c r="I740" s="128" t="s">
        <v>138</v>
      </c>
      <c r="J740" s="308">
        <v>0.4118055555555555</v>
      </c>
      <c r="K740" s="308">
        <v>0.9166666666666666</v>
      </c>
      <c r="L740" s="119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 ht="13.5" hidden="1" customHeight="1">
      <c r="A741" s="116">
        <f t="shared" si="111"/>
        <v>19</v>
      </c>
      <c r="B741" s="118">
        <v>46254.0</v>
      </c>
      <c r="C741" s="119"/>
      <c r="D741" s="120" t="str">
        <f t="shared" si="112"/>
        <v>Rovi</v>
      </c>
      <c r="E741" s="121">
        <f>SUMIFS(SSOD!$C:$C,SSOD!$B:$B,Hitungan!D741,SSOD!$A:$A,Hitungan!C741)</f>
        <v>0</v>
      </c>
      <c r="F741" s="122"/>
      <c r="G741" s="124">
        <f t="shared" si="116"/>
        <v>0</v>
      </c>
      <c r="H741" s="126" t="str">
        <f t="array" ref="H741">INDEX('Panduan Gaji'!$Q:$Q,MATCH(D741,'Panduan Gaji'!$C:$C,0))</f>
        <v>KG</v>
      </c>
      <c r="I741" s="128" t="s">
        <v>138</v>
      </c>
      <c r="J741" s="308">
        <v>0.4097222222222222</v>
      </c>
      <c r="K741" s="308">
        <v>0.9166666666666666</v>
      </c>
      <c r="L741" s="145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 ht="13.5" hidden="1" customHeight="1">
      <c r="A742" s="116">
        <f t="shared" si="111"/>
        <v>19</v>
      </c>
      <c r="B742" s="118">
        <v>46255.0</v>
      </c>
      <c r="C742" s="119"/>
      <c r="D742" s="120" t="str">
        <f t="shared" si="112"/>
        <v>Rovi</v>
      </c>
      <c r="E742" s="121">
        <f>SUMIFS(SSOD!$C:$C,SSOD!$B:$B,Hitungan!D742,SSOD!$A:$A,Hitungan!C742)</f>
        <v>0</v>
      </c>
      <c r="F742" s="122"/>
      <c r="G742" s="124">
        <f t="shared" si="116"/>
        <v>0</v>
      </c>
      <c r="H742" s="126" t="str">
        <f t="array" ref="H742">INDEX('Panduan Gaji'!$Q:$Q,MATCH(D742,'Panduan Gaji'!$C:$C,0))</f>
        <v>KG</v>
      </c>
      <c r="I742" s="128" t="s">
        <v>138</v>
      </c>
      <c r="J742" s="308">
        <v>0.4125</v>
      </c>
      <c r="K742" s="308">
        <v>0.9166666666666666</v>
      </c>
      <c r="L742" s="119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 ht="13.5" hidden="1" customHeight="1">
      <c r="A743" s="116">
        <f t="shared" si="111"/>
        <v>19</v>
      </c>
      <c r="B743" s="118">
        <v>46256.0</v>
      </c>
      <c r="C743" s="119"/>
      <c r="D743" s="120" t="str">
        <f t="shared" si="112"/>
        <v>Rovi</v>
      </c>
      <c r="E743" s="121">
        <f>SUMIFS(SSOD!$C:$C,SSOD!$B:$B,Hitungan!D743,SSOD!$A:$A,Hitungan!C743)</f>
        <v>0</v>
      </c>
      <c r="F743" s="122"/>
      <c r="G743" s="124">
        <f t="shared" si="116"/>
        <v>0</v>
      </c>
      <c r="H743" s="126" t="str">
        <f t="array" ref="H743">INDEX('Panduan Gaji'!$Q:$Q,MATCH(D743,'Panduan Gaji'!$C:$C,0))</f>
        <v>KG</v>
      </c>
      <c r="I743" s="128" t="s">
        <v>138</v>
      </c>
      <c r="J743" s="308">
        <v>0.4111111111111111</v>
      </c>
      <c r="K743" s="308">
        <v>0.9166666666666666</v>
      </c>
      <c r="L743" s="119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 ht="13.5" hidden="1" customHeight="1">
      <c r="A744" s="116">
        <f t="shared" si="111"/>
        <v>19</v>
      </c>
      <c r="B744" s="118">
        <v>46257.0</v>
      </c>
      <c r="C744" s="119"/>
      <c r="D744" s="120" t="str">
        <f t="shared" si="112"/>
        <v>Rovi</v>
      </c>
      <c r="E744" s="121">
        <f>SUMIFS(SSOD!$C:$C,SSOD!$B:$B,Hitungan!D744,SSOD!$A:$A,Hitungan!C744)</f>
        <v>0</v>
      </c>
      <c r="F744" s="122"/>
      <c r="G744" s="124">
        <f t="shared" si="116"/>
        <v>0</v>
      </c>
      <c r="H744" s="126" t="str">
        <f t="array" ref="H744">INDEX('Panduan Gaji'!$Q:$Q,MATCH(D744,'Panduan Gaji'!$C:$C,0))</f>
        <v>KG</v>
      </c>
      <c r="I744" s="128" t="s">
        <v>138</v>
      </c>
      <c r="J744" s="308">
        <v>0.40625</v>
      </c>
      <c r="K744" s="308">
        <v>0.9166666666666666</v>
      </c>
      <c r="L744" s="119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 ht="15.75" hidden="1" customHeight="1">
      <c r="A745" s="116">
        <f t="shared" si="111"/>
        <v>19</v>
      </c>
      <c r="B745" s="118">
        <v>46258.0</v>
      </c>
      <c r="C745" s="119"/>
      <c r="D745" s="120" t="str">
        <f t="shared" si="112"/>
        <v>Rovi</v>
      </c>
      <c r="E745" s="121">
        <f>SUMIFS(SSOD!$C:$C,SSOD!$B:$B,Hitungan!D745,SSOD!$A:$A,Hitungan!C745)</f>
        <v>0</v>
      </c>
      <c r="F745" s="122"/>
      <c r="G745" s="124">
        <f t="shared" si="116"/>
        <v>0</v>
      </c>
      <c r="H745" s="220" t="str">
        <f t="array" ref="H745">INDEX('Panduan Gaji'!$Q:$Q,MATCH(D745,'Panduan Gaji'!$C:$C,0))</f>
        <v>KG</v>
      </c>
      <c r="I745" s="128" t="s">
        <v>138</v>
      </c>
      <c r="J745" s="308">
        <v>0.4118055555555555</v>
      </c>
      <c r="K745" s="308"/>
      <c r="L745" s="119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 ht="13.5" hidden="1" customHeight="1">
      <c r="A746" s="26">
        <v>20.0</v>
      </c>
      <c r="B746" s="28"/>
      <c r="C746" s="30" t="s">
        <v>6</v>
      </c>
      <c r="D746" s="33" t="s">
        <v>98</v>
      </c>
      <c r="E746" s="42">
        <f>SUMIFS(SSOD!$C:$C,SSOD!$B:$B,Hitungan!D746,SSOD!$A:$A,Hitungan!C746)</f>
        <v>1700000</v>
      </c>
      <c r="F746" s="44">
        <v>1.0</v>
      </c>
      <c r="G746" s="47">
        <f>(E746/24)*F748</f>
        <v>354166.6667</v>
      </c>
      <c r="H746" s="51" t="str">
        <f t="array" ref="H746">INDEX('Panduan Gaji'!$Q:$Q,MATCH(D746,'Panduan Gaji'!$C:$C,0))</f>
        <v>KG</v>
      </c>
      <c r="I746" s="53"/>
      <c r="J746" s="54"/>
      <c r="K746" s="54"/>
      <c r="L746" s="55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 ht="13.5" hidden="1" customHeight="1">
      <c r="A747" s="26">
        <f t="shared" ref="A747:A785" si="117">A746</f>
        <v>20</v>
      </c>
      <c r="B747" s="28"/>
      <c r="C747" s="30" t="s">
        <v>17</v>
      </c>
      <c r="D747" s="33" t="str">
        <f t="shared" ref="D747:D785" si="118">D746</f>
        <v>Nurwahid</v>
      </c>
      <c r="E747" s="42">
        <f>SUMIFS(SSOD!$C:$C,SSOD!$B:$B,Hitungan!D747,SSOD!$A:$A,Hitungan!C747)</f>
        <v>0</v>
      </c>
      <c r="F747" s="44"/>
      <c r="G747" s="47">
        <f t="shared" ref="G747:G749" si="119">E747*F747</f>
        <v>0</v>
      </c>
      <c r="H747" s="51" t="str">
        <f t="array" ref="H747">INDEX('Panduan Gaji'!$Q:$Q,MATCH(D747,'Panduan Gaji'!$C:$C,0))</f>
        <v>KG</v>
      </c>
      <c r="I747" s="53"/>
      <c r="J747" s="54"/>
      <c r="K747" s="54"/>
      <c r="L747" s="55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 ht="13.5" hidden="1" customHeight="1">
      <c r="A748" s="26">
        <f t="shared" si="117"/>
        <v>20</v>
      </c>
      <c r="B748" s="28"/>
      <c r="C748" s="30" t="s">
        <v>7</v>
      </c>
      <c r="D748" s="33" t="str">
        <f t="shared" si="118"/>
        <v>Nurwahid</v>
      </c>
      <c r="E748" s="42">
        <f>SUMIFS(SSOD!$C:$C,SSOD!$B:$B,Hitungan!D748,SSOD!$A:$A,Hitungan!C748)</f>
        <v>21000</v>
      </c>
      <c r="F748" s="44">
        <f t="shared" ref="F748:F749" si="120">SUMPRODUCT(--((($J$756:$J$785&lt;&gt;"")+($K$756:$K$785&lt;&gt;""))&gt;0))</f>
        <v>5</v>
      </c>
      <c r="G748" s="47">
        <f t="shared" si="119"/>
        <v>105000</v>
      </c>
      <c r="H748" s="51" t="str">
        <f t="array" ref="H748">INDEX('Panduan Gaji'!$Q:$Q,MATCH(D748,'Panduan Gaji'!$C:$C,0))</f>
        <v>KG</v>
      </c>
      <c r="I748" s="53"/>
      <c r="J748" s="88"/>
      <c r="K748" s="88"/>
      <c r="L748" s="55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 ht="13.5" hidden="1" customHeight="1">
      <c r="A749" s="26">
        <f t="shared" si="117"/>
        <v>20</v>
      </c>
      <c r="B749" s="28"/>
      <c r="C749" s="30" t="s">
        <v>9</v>
      </c>
      <c r="D749" s="33" t="str">
        <f t="shared" si="118"/>
        <v>Nurwahid</v>
      </c>
      <c r="E749" s="42">
        <f>SUMIFS(SSOD!$C:$C,SSOD!$B:$B,Hitungan!D749,SSOD!$A:$A,Hitungan!C749)</f>
        <v>29000</v>
      </c>
      <c r="F749" s="44">
        <f t="shared" si="120"/>
        <v>5</v>
      </c>
      <c r="G749" s="47">
        <f t="shared" si="119"/>
        <v>145000</v>
      </c>
      <c r="H749" s="51" t="str">
        <f t="array" ref="H749">INDEX('Panduan Gaji'!$Q:$Q,MATCH(D749,'Panduan Gaji'!$C:$C,0))</f>
        <v>KG</v>
      </c>
      <c r="I749" s="53"/>
      <c r="J749" s="88"/>
      <c r="K749" s="88"/>
      <c r="L749" s="9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 ht="15.75" hidden="1" customHeight="1">
      <c r="A750" s="26">
        <f t="shared" si="117"/>
        <v>20</v>
      </c>
      <c r="B750" s="28"/>
      <c r="C750" s="30" t="s">
        <v>39</v>
      </c>
      <c r="D750" s="33" t="str">
        <f t="shared" si="118"/>
        <v>Nurwahid</v>
      </c>
      <c r="E750" s="42">
        <v>80584.0</v>
      </c>
      <c r="F750" s="44">
        <v>1.0</v>
      </c>
      <c r="G750" s="47">
        <f>F750*E750</f>
        <v>80584</v>
      </c>
      <c r="H750" s="51" t="str">
        <f t="array" ref="H750">INDEX('Panduan Gaji'!$Q:$Q,MATCH(D750,'Panduan Gaji'!$C:$C,0))</f>
        <v>KG</v>
      </c>
      <c r="I750" s="53"/>
      <c r="J750" s="105"/>
      <c r="K750" s="105"/>
      <c r="L750" s="10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 ht="15.75" hidden="1" customHeight="1">
      <c r="A751" s="26">
        <f t="shared" si="117"/>
        <v>20</v>
      </c>
      <c r="B751" s="28"/>
      <c r="C751" s="30" t="s">
        <v>12</v>
      </c>
      <c r="D751" s="33" t="str">
        <f t="shared" si="118"/>
        <v>Nurwahid</v>
      </c>
      <c r="E751" s="42">
        <f>SUMIFS(SSOD!$C:$C,SSOD!$B:$B,Hitungan!D751,SSOD!$A:$A,Hitungan!C751)</f>
        <v>9666.666667</v>
      </c>
      <c r="F751" s="44">
        <f>SUMIF($C$756:$C$785,C751,$F$756:$F$785)</f>
        <v>0</v>
      </c>
      <c r="G751" s="47">
        <f t="shared" ref="G751:G752" si="121">E751*F751</f>
        <v>0</v>
      </c>
      <c r="H751" s="51" t="str">
        <f t="array" ref="H751">INDEX('Panduan Gaji'!$Q:$Q,MATCH(D751,'Panduan Gaji'!$C:$C,0))</f>
        <v>KG</v>
      </c>
      <c r="I751" s="53"/>
      <c r="J751" s="88"/>
      <c r="K751" s="88"/>
      <c r="L751" s="100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 ht="15.75" hidden="1" customHeight="1">
      <c r="A752" s="26">
        <f t="shared" si="117"/>
        <v>20</v>
      </c>
      <c r="B752" s="28"/>
      <c r="C752" s="102" t="s">
        <v>30</v>
      </c>
      <c r="D752" s="33" t="str">
        <f t="shared" si="118"/>
        <v>Nurwahid</v>
      </c>
      <c r="E752" s="42">
        <f>SUMIFS(SSOD!$C:$C,SSOD!$B:$B,Hitungan!D752,SSOD!$A:$A,Hitungan!C752)</f>
        <v>9666.666667</v>
      </c>
      <c r="F752" s="44">
        <f t="shared" ref="F752:F753" si="122">COUNTIF($C$756:$C$785,C752)</f>
        <v>0</v>
      </c>
      <c r="G752" s="47">
        <f t="shared" si="121"/>
        <v>0</v>
      </c>
      <c r="H752" s="51" t="str">
        <f t="array" ref="H752">INDEX('Panduan Gaji'!$Q:$Q,MATCH(D752,'Panduan Gaji'!$C:$C,0))</f>
        <v>KG</v>
      </c>
      <c r="I752" s="53"/>
      <c r="J752" s="105"/>
      <c r="K752" s="105"/>
      <c r="L752" s="10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 ht="15.75" hidden="1" customHeight="1">
      <c r="A753" s="26">
        <f t="shared" si="117"/>
        <v>20</v>
      </c>
      <c r="B753" s="28"/>
      <c r="C753" s="30" t="s">
        <v>33</v>
      </c>
      <c r="D753" s="33" t="str">
        <f t="shared" si="118"/>
        <v>Nurwahid</v>
      </c>
      <c r="E753" s="42"/>
      <c r="F753" s="44">
        <f t="shared" si="122"/>
        <v>0</v>
      </c>
      <c r="G753" s="47">
        <f>SUMIF($C$756:$C$785,C753,$E$756:$E$785)</f>
        <v>0</v>
      </c>
      <c r="H753" s="51" t="str">
        <f t="array" ref="H753">INDEX('Panduan Gaji'!$Q:$Q,MATCH(D753,'Panduan Gaji'!$C:$C,0))</f>
        <v>KG</v>
      </c>
      <c r="I753" s="53"/>
      <c r="J753" s="105"/>
      <c r="K753" s="105"/>
      <c r="L753" s="10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 ht="15.75" hidden="1" customHeight="1">
      <c r="A754" s="26">
        <f t="shared" si="117"/>
        <v>20</v>
      </c>
      <c r="B754" s="28"/>
      <c r="C754" s="30" t="s">
        <v>83</v>
      </c>
      <c r="D754" s="33" t="str">
        <f t="shared" si="118"/>
        <v>Nurwahid</v>
      </c>
      <c r="E754" s="42"/>
      <c r="F754" s="44"/>
      <c r="G754" s="47"/>
      <c r="H754" s="51" t="str">
        <f t="array" ref="H754">INDEX('Panduan Gaji'!$Q:$Q,MATCH(D754,'Panduan Gaji'!$C:$C,0))</f>
        <v>KG</v>
      </c>
      <c r="I754" s="53"/>
      <c r="J754" s="105"/>
      <c r="K754" s="105"/>
      <c r="L754" s="10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 ht="13.5" hidden="1" customHeight="1">
      <c r="A755" s="26">
        <f t="shared" si="117"/>
        <v>20</v>
      </c>
      <c r="B755" s="28"/>
      <c r="C755" s="30" t="s">
        <v>85</v>
      </c>
      <c r="D755" s="33" t="str">
        <f t="shared" si="118"/>
        <v>Nurwahid</v>
      </c>
      <c r="E755" s="42"/>
      <c r="F755" s="44"/>
      <c r="G755" s="47"/>
      <c r="H755" s="51" t="str">
        <f t="array" ref="H755">INDEX('Panduan Gaji'!$Q:$Q,MATCH(D755,'Panduan Gaji'!$C:$C,0))</f>
        <v>KG</v>
      </c>
      <c r="I755" s="53"/>
      <c r="J755" s="105"/>
      <c r="K755" s="105"/>
      <c r="L755" s="106"/>
      <c r="M755" s="56"/>
      <c r="N755" s="56"/>
      <c r="O755" s="22"/>
      <c r="P755" s="56"/>
      <c r="Q755" s="56"/>
      <c r="R755" s="56"/>
      <c r="S755" s="56"/>
      <c r="T755" s="56"/>
      <c r="U755" s="56"/>
      <c r="V755" s="56"/>
      <c r="W755" s="56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 ht="13.5" hidden="1" customHeight="1">
      <c r="A756" s="116">
        <f t="shared" si="117"/>
        <v>20</v>
      </c>
      <c r="B756" s="118">
        <v>46229.0</v>
      </c>
      <c r="C756" s="119"/>
      <c r="D756" s="120" t="str">
        <f t="shared" si="118"/>
        <v>Nurwahid</v>
      </c>
      <c r="E756" s="121">
        <f>SUMIFS(SSOD!$C:$C,SSOD!$B:$B,Hitungan!D756,SSOD!$A:$A,Hitungan!C756)</f>
        <v>0</v>
      </c>
      <c r="F756" s="122"/>
      <c r="G756" s="124">
        <f t="shared" ref="G756:G785" si="123">E756*F756</f>
        <v>0</v>
      </c>
      <c r="H756" s="126" t="str">
        <f t="array" ref="H756">INDEX('Panduan Gaji'!$Q:$Q,MATCH(D756,'Panduan Gaji'!$C:$C,0))</f>
        <v>KG</v>
      </c>
      <c r="I756" s="128" t="s">
        <v>138</v>
      </c>
      <c r="J756" s="308">
        <v>0.4166666666666667</v>
      </c>
      <c r="K756" s="308">
        <v>0.9166666666666666</v>
      </c>
      <c r="L756" s="130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 ht="13.5" hidden="1" customHeight="1">
      <c r="A757" s="116">
        <f t="shared" si="117"/>
        <v>20</v>
      </c>
      <c r="B757" s="118">
        <v>46230.0</v>
      </c>
      <c r="C757" s="119"/>
      <c r="D757" s="120" t="str">
        <f t="shared" si="118"/>
        <v>Nurwahid</v>
      </c>
      <c r="E757" s="121">
        <f>SUMIFS(SSOD!$C:$C,SSOD!$B:$B,Hitungan!D757,SSOD!$A:$A,Hitungan!C757)</f>
        <v>0</v>
      </c>
      <c r="F757" s="122"/>
      <c r="G757" s="124">
        <f t="shared" si="123"/>
        <v>0</v>
      </c>
      <c r="H757" s="126" t="str">
        <f t="array" ref="H757">INDEX('Panduan Gaji'!$Q:$Q,MATCH(D757,'Panduan Gaji'!$C:$C,0))</f>
        <v>KG</v>
      </c>
      <c r="I757" s="128" t="s">
        <v>138</v>
      </c>
      <c r="J757" s="308"/>
      <c r="K757" s="308"/>
      <c r="L757" s="138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 ht="13.5" hidden="1" customHeight="1">
      <c r="A758" s="116">
        <f t="shared" si="117"/>
        <v>20</v>
      </c>
      <c r="B758" s="118">
        <v>46231.0</v>
      </c>
      <c r="C758" s="119"/>
      <c r="D758" s="120" t="str">
        <f t="shared" si="118"/>
        <v>Nurwahid</v>
      </c>
      <c r="E758" s="121">
        <f>SUMIFS(SSOD!$C:$C,SSOD!$B:$B,Hitungan!D758,SSOD!$A:$A,Hitungan!C758)</f>
        <v>0</v>
      </c>
      <c r="F758" s="122"/>
      <c r="G758" s="124">
        <f t="shared" si="123"/>
        <v>0</v>
      </c>
      <c r="H758" s="126" t="str">
        <f t="array" ref="H758">INDEX('Panduan Gaji'!$Q:$Q,MATCH(D758,'Panduan Gaji'!$C:$C,0))</f>
        <v>KG</v>
      </c>
      <c r="I758" s="128" t="s">
        <v>138</v>
      </c>
      <c r="J758" s="308">
        <v>0.4159722222222222</v>
      </c>
      <c r="K758" s="308">
        <v>0.9166666666666666</v>
      </c>
      <c r="L758" s="145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 ht="13.5" hidden="1" customHeight="1">
      <c r="A759" s="116">
        <f t="shared" si="117"/>
        <v>20</v>
      </c>
      <c r="B759" s="118">
        <v>46232.0</v>
      </c>
      <c r="C759" s="146"/>
      <c r="D759" s="120" t="str">
        <f t="shared" si="118"/>
        <v>Nurwahid</v>
      </c>
      <c r="E759" s="147">
        <f>SUMIFS(SSOD!$C:$C,SSOD!$B:$B,Hitungan!D759,SSOD!$A:$A,Hitungan!C759)</f>
        <v>0</v>
      </c>
      <c r="F759" s="148"/>
      <c r="G759" s="124">
        <f t="shared" si="123"/>
        <v>0</v>
      </c>
      <c r="H759" s="126" t="str">
        <f t="array" ref="H759">INDEX('Panduan Gaji'!$Q:$Q,MATCH(D759,'Panduan Gaji'!$C:$C,0))</f>
        <v>KG</v>
      </c>
      <c r="I759" s="128" t="s">
        <v>138</v>
      </c>
      <c r="J759" s="308">
        <v>0.4180555555555556</v>
      </c>
      <c r="K759" s="308">
        <v>0.9166666666666666</v>
      </c>
      <c r="L759" s="153"/>
      <c r="M759" s="16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 ht="13.5" hidden="1" customHeight="1">
      <c r="A760" s="116">
        <f t="shared" si="117"/>
        <v>20</v>
      </c>
      <c r="B760" s="118">
        <v>46233.0</v>
      </c>
      <c r="C760" s="119"/>
      <c r="D760" s="120" t="str">
        <f t="shared" si="118"/>
        <v>Nurwahid</v>
      </c>
      <c r="E760" s="121">
        <f>SUMIFS(SSOD!$C:$C,SSOD!$B:$B,Hitungan!D760,SSOD!$A:$A,Hitungan!C760)</f>
        <v>0</v>
      </c>
      <c r="F760" s="122"/>
      <c r="G760" s="124">
        <f t="shared" si="123"/>
        <v>0</v>
      </c>
      <c r="H760" s="126" t="str">
        <f t="array" ref="H760">INDEX('Panduan Gaji'!$Q:$Q,MATCH(D760,'Panduan Gaji'!$C:$C,0))</f>
        <v>KG</v>
      </c>
      <c r="I760" s="128" t="s">
        <v>138</v>
      </c>
      <c r="J760" s="308"/>
      <c r="K760" s="308"/>
      <c r="L760" s="164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 ht="13.5" hidden="1" customHeight="1">
      <c r="A761" s="116">
        <f t="shared" si="117"/>
        <v>20</v>
      </c>
      <c r="B761" s="118">
        <v>46234.0</v>
      </c>
      <c r="C761" s="119"/>
      <c r="D761" s="120" t="str">
        <f t="shared" si="118"/>
        <v>Nurwahid</v>
      </c>
      <c r="E761" s="121">
        <f>SUMIFS(SSOD!$C:$C,SSOD!$B:$B,Hitungan!D761,SSOD!$A:$A,Hitungan!C761)</f>
        <v>0</v>
      </c>
      <c r="F761" s="122"/>
      <c r="G761" s="124">
        <f t="shared" si="123"/>
        <v>0</v>
      </c>
      <c r="H761" s="126" t="str">
        <f t="array" ref="H761">INDEX('Panduan Gaji'!$Q:$Q,MATCH(D761,'Panduan Gaji'!$C:$C,0))</f>
        <v>KG</v>
      </c>
      <c r="I761" s="128" t="s">
        <v>138</v>
      </c>
      <c r="J761" s="308"/>
      <c r="K761" s="310"/>
      <c r="L761" s="130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 ht="13.5" hidden="1" customHeight="1">
      <c r="A762" s="116">
        <f t="shared" si="117"/>
        <v>20</v>
      </c>
      <c r="B762" s="118">
        <v>46235.0</v>
      </c>
      <c r="C762" s="119"/>
      <c r="D762" s="120" t="str">
        <f t="shared" si="118"/>
        <v>Nurwahid</v>
      </c>
      <c r="E762" s="121">
        <f>SUMIFS(SSOD!$C:$C,SSOD!$B:$B,Hitungan!D762,SSOD!$A:$A,Hitungan!C762)</f>
        <v>0</v>
      </c>
      <c r="F762" s="122"/>
      <c r="G762" s="124">
        <f t="shared" si="123"/>
        <v>0</v>
      </c>
      <c r="H762" s="126" t="str">
        <f t="array" ref="H762">INDEX('Panduan Gaji'!$Q:$Q,MATCH(D762,'Panduan Gaji'!$C:$C,0))</f>
        <v>KG</v>
      </c>
      <c r="I762" s="128" t="s">
        <v>138</v>
      </c>
      <c r="J762" s="309">
        <v>0.4145833333333334</v>
      </c>
      <c r="K762" s="308">
        <v>0.9166666666666666</v>
      </c>
      <c r="L762" s="145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 ht="13.5" hidden="1" customHeight="1">
      <c r="A763" s="116">
        <f t="shared" si="117"/>
        <v>20</v>
      </c>
      <c r="B763" s="118">
        <v>46236.0</v>
      </c>
      <c r="C763" s="119"/>
      <c r="D763" s="120" t="str">
        <f t="shared" si="118"/>
        <v>Nurwahid</v>
      </c>
      <c r="E763" s="121">
        <v>0.0</v>
      </c>
      <c r="F763" s="122"/>
      <c r="G763" s="124">
        <f t="shared" si="123"/>
        <v>0</v>
      </c>
      <c r="H763" s="126" t="str">
        <f t="array" ref="H763">INDEX('Panduan Gaji'!$Q:$Q,MATCH(D763,'Panduan Gaji'!$C:$C,0))</f>
        <v>KG</v>
      </c>
      <c r="I763" s="128" t="s">
        <v>138</v>
      </c>
      <c r="J763" s="309">
        <v>0.4180555555555556</v>
      </c>
      <c r="K763" s="308">
        <v>0.9166666666666666</v>
      </c>
      <c r="L763" s="145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 ht="13.5" hidden="1" customHeight="1">
      <c r="A764" s="116">
        <f t="shared" si="117"/>
        <v>20</v>
      </c>
      <c r="B764" s="118">
        <v>46237.0</v>
      </c>
      <c r="C764" s="119"/>
      <c r="D764" s="120" t="str">
        <f t="shared" si="118"/>
        <v>Nurwahid</v>
      </c>
      <c r="E764" s="121">
        <f>SUMIFS(SSOD!$C:$C,SSOD!$B:$B,Hitungan!D764,SSOD!$A:$A,Hitungan!C764)</f>
        <v>0</v>
      </c>
      <c r="F764" s="122"/>
      <c r="G764" s="124">
        <f t="shared" si="123"/>
        <v>0</v>
      </c>
      <c r="H764" s="126" t="str">
        <f t="array" ref="H764">INDEX('Panduan Gaji'!$Q:$Q,MATCH(D764,'Panduan Gaji'!$C:$C,0))</f>
        <v>KG</v>
      </c>
      <c r="I764" s="128" t="s">
        <v>138</v>
      </c>
      <c r="J764" s="309"/>
      <c r="K764" s="351"/>
      <c r="L764" s="145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 ht="13.5" hidden="1" customHeight="1">
      <c r="A765" s="116">
        <f t="shared" si="117"/>
        <v>20</v>
      </c>
      <c r="B765" s="118">
        <v>46238.0</v>
      </c>
      <c r="C765" s="181"/>
      <c r="D765" s="120" t="str">
        <f t="shared" si="118"/>
        <v>Nurwahid</v>
      </c>
      <c r="E765" s="121">
        <f>SUMIFS(SSOD!$C:$C,SSOD!$B:$B,Hitungan!D765,SSOD!$A:$A,Hitungan!C765)</f>
        <v>0</v>
      </c>
      <c r="F765" s="182"/>
      <c r="G765" s="52">
        <f t="shared" si="123"/>
        <v>0</v>
      </c>
      <c r="H765" s="126" t="str">
        <f t="array" ref="H765">INDEX('Panduan Gaji'!$Q:$Q,MATCH(D765,'Panduan Gaji'!$C:$C,0))</f>
        <v>KG</v>
      </c>
      <c r="I765" s="128" t="s">
        <v>138</v>
      </c>
      <c r="J765" s="309"/>
      <c r="K765" s="351"/>
      <c r="L765" s="119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 ht="13.5" hidden="1" customHeight="1">
      <c r="A766" s="116">
        <f t="shared" si="117"/>
        <v>20</v>
      </c>
      <c r="B766" s="118">
        <v>46239.0</v>
      </c>
      <c r="C766" s="119"/>
      <c r="D766" s="120" t="str">
        <f t="shared" si="118"/>
        <v>Nurwahid</v>
      </c>
      <c r="E766" s="121">
        <f>SUMIFS(SSOD!$C:$C,SSOD!$B:$B,Hitungan!D766,SSOD!$A:$A,Hitungan!C766)</f>
        <v>0</v>
      </c>
      <c r="F766" s="122"/>
      <c r="G766" s="124">
        <f t="shared" si="123"/>
        <v>0</v>
      </c>
      <c r="H766" s="126" t="str">
        <f t="array" ref="H766">INDEX('Panduan Gaji'!$Q:$Q,MATCH(D766,'Panduan Gaji'!$C:$C,0))</f>
        <v>KG</v>
      </c>
      <c r="I766" s="128" t="s">
        <v>138</v>
      </c>
      <c r="J766" s="309"/>
      <c r="K766" s="351"/>
      <c r="L766" s="145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 ht="13.5" hidden="1" customHeight="1">
      <c r="A767" s="116">
        <f t="shared" si="117"/>
        <v>20</v>
      </c>
      <c r="B767" s="118">
        <v>46240.0</v>
      </c>
      <c r="C767" s="119"/>
      <c r="D767" s="120" t="str">
        <f t="shared" si="118"/>
        <v>Nurwahid</v>
      </c>
      <c r="E767" s="121">
        <f>SUMIFS(SSOD!$C:$C,SSOD!$B:$B,Hitungan!D767,SSOD!$A:$A,Hitungan!C767)</f>
        <v>0</v>
      </c>
      <c r="F767" s="122"/>
      <c r="G767" s="124">
        <f t="shared" si="123"/>
        <v>0</v>
      </c>
      <c r="H767" s="126" t="str">
        <f t="array" ref="H767">INDEX('Panduan Gaji'!$Q:$Q,MATCH(D767,'Panduan Gaji'!$C:$C,0))</f>
        <v>KG</v>
      </c>
      <c r="I767" s="128" t="s">
        <v>138</v>
      </c>
      <c r="J767" s="308"/>
      <c r="K767" s="351"/>
      <c r="L767" s="145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 ht="13.5" hidden="1" customHeight="1">
      <c r="A768" s="116">
        <f t="shared" si="117"/>
        <v>20</v>
      </c>
      <c r="B768" s="118">
        <v>46241.0</v>
      </c>
      <c r="C768" s="119"/>
      <c r="D768" s="120" t="str">
        <f t="shared" si="118"/>
        <v>Nurwahid</v>
      </c>
      <c r="E768" s="121">
        <f>SUMIFS(SSOD!$C:$C,SSOD!$B:$B,Hitungan!D768,SSOD!$A:$A,Hitungan!C768)</f>
        <v>0</v>
      </c>
      <c r="F768" s="122"/>
      <c r="G768" s="124">
        <f t="shared" si="123"/>
        <v>0</v>
      </c>
      <c r="H768" s="126" t="str">
        <f t="array" ref="H768">INDEX('Panduan Gaji'!$Q:$Q,MATCH(D768,'Panduan Gaji'!$C:$C,0))</f>
        <v>KG</v>
      </c>
      <c r="I768" s="128" t="s">
        <v>138</v>
      </c>
      <c r="J768" s="308"/>
      <c r="K768" s="352"/>
      <c r="L768" s="119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 ht="13.5" hidden="1" customHeight="1">
      <c r="A769" s="116">
        <f t="shared" si="117"/>
        <v>20</v>
      </c>
      <c r="B769" s="118">
        <v>46242.0</v>
      </c>
      <c r="C769" s="119"/>
      <c r="D769" s="120" t="str">
        <f t="shared" si="118"/>
        <v>Nurwahid</v>
      </c>
      <c r="E769" s="121">
        <f>SUMIFS(SSOD!$C:$C,SSOD!$B:$B,Hitungan!D769,SSOD!$A:$A,Hitungan!C769)</f>
        <v>0</v>
      </c>
      <c r="F769" s="122"/>
      <c r="G769" s="124">
        <f t="shared" si="123"/>
        <v>0</v>
      </c>
      <c r="H769" s="126" t="str">
        <f t="array" ref="H769">INDEX('Panduan Gaji'!$Q:$Q,MATCH(D769,'Panduan Gaji'!$C:$C,0))</f>
        <v>KG</v>
      </c>
      <c r="I769" s="128" t="s">
        <v>138</v>
      </c>
      <c r="J769" s="309"/>
      <c r="K769" s="353"/>
      <c r="L769" s="187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 ht="13.5" hidden="1" customHeight="1">
      <c r="A770" s="116">
        <f t="shared" si="117"/>
        <v>20</v>
      </c>
      <c r="B770" s="118">
        <v>46243.0</v>
      </c>
      <c r="C770" s="119"/>
      <c r="D770" s="120" t="str">
        <f t="shared" si="118"/>
        <v>Nurwahid</v>
      </c>
      <c r="E770" s="121">
        <f>SUMIFS(SSOD!$C:$C,SSOD!$B:$B,Hitungan!D770,SSOD!$A:$A,Hitungan!C770)</f>
        <v>0</v>
      </c>
      <c r="F770" s="122"/>
      <c r="G770" s="124">
        <f t="shared" si="123"/>
        <v>0</v>
      </c>
      <c r="H770" s="126" t="str">
        <f t="array" ref="H770">INDEX('Panduan Gaji'!$Q:$Q,MATCH(D770,'Panduan Gaji'!$C:$C,0))</f>
        <v>KG</v>
      </c>
      <c r="I770" s="128" t="s">
        <v>138</v>
      </c>
      <c r="J770" s="309"/>
      <c r="K770" s="353"/>
      <c r="L770" s="187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 ht="13.5" hidden="1" customHeight="1">
      <c r="A771" s="116">
        <f t="shared" si="117"/>
        <v>20</v>
      </c>
      <c r="B771" s="118">
        <v>46244.0</v>
      </c>
      <c r="C771" s="119"/>
      <c r="D771" s="120" t="str">
        <f t="shared" si="118"/>
        <v>Nurwahid</v>
      </c>
      <c r="E771" s="121">
        <f>SUMIFS(SSOD!$C:$C,SSOD!$B:$B,Hitungan!D771,SSOD!$A:$A,Hitungan!C771)</f>
        <v>0</v>
      </c>
      <c r="F771" s="122"/>
      <c r="G771" s="124">
        <f t="shared" si="123"/>
        <v>0</v>
      </c>
      <c r="H771" s="126" t="str">
        <f t="array" ref="H771">INDEX('Panduan Gaji'!$Q:$Q,MATCH(D771,'Panduan Gaji'!$C:$C,0))</f>
        <v>KG</v>
      </c>
      <c r="I771" s="128" t="s">
        <v>138</v>
      </c>
      <c r="J771" s="309"/>
      <c r="K771" s="353"/>
      <c r="L771" s="187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 ht="13.5" hidden="1" customHeight="1">
      <c r="A772" s="116">
        <f t="shared" si="117"/>
        <v>20</v>
      </c>
      <c r="B772" s="118">
        <v>46245.0</v>
      </c>
      <c r="C772" s="119"/>
      <c r="D772" s="120" t="str">
        <f t="shared" si="118"/>
        <v>Nurwahid</v>
      </c>
      <c r="E772" s="121">
        <f>SUMIFS(SSOD!$C:$C,SSOD!$B:$B,Hitungan!D772,SSOD!$A:$A,Hitungan!C772)</f>
        <v>0</v>
      </c>
      <c r="F772" s="122"/>
      <c r="G772" s="124">
        <f t="shared" si="123"/>
        <v>0</v>
      </c>
      <c r="H772" s="126" t="str">
        <f t="array" ref="H772">INDEX('Panduan Gaji'!$Q:$Q,MATCH(D772,'Panduan Gaji'!$C:$C,0))</f>
        <v>KG</v>
      </c>
      <c r="I772" s="128" t="s">
        <v>138</v>
      </c>
      <c r="J772" s="308"/>
      <c r="K772" s="351"/>
      <c r="L772" s="145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 ht="13.5" hidden="1" customHeight="1">
      <c r="A773" s="116">
        <f t="shared" si="117"/>
        <v>20</v>
      </c>
      <c r="B773" s="118">
        <v>46246.0</v>
      </c>
      <c r="C773" s="119"/>
      <c r="D773" s="120" t="str">
        <f t="shared" si="118"/>
        <v>Nurwahid</v>
      </c>
      <c r="E773" s="121">
        <f>SUMIFS(SSOD!$C:$C,SSOD!$B:$B,Hitungan!D773,SSOD!$A:$A,Hitungan!C773)</f>
        <v>0</v>
      </c>
      <c r="F773" s="122"/>
      <c r="G773" s="124">
        <f t="shared" si="123"/>
        <v>0</v>
      </c>
      <c r="H773" s="126" t="str">
        <f t="array" ref="H773">INDEX('Panduan Gaji'!$Q:$Q,MATCH(D773,'Panduan Gaji'!$C:$C,0))</f>
        <v>KG</v>
      </c>
      <c r="I773" s="128" t="s">
        <v>138</v>
      </c>
      <c r="J773" s="308"/>
      <c r="K773" s="351"/>
      <c r="L773" s="145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 ht="13.5" hidden="1" customHeight="1">
      <c r="A774" s="116">
        <f t="shared" si="117"/>
        <v>20</v>
      </c>
      <c r="B774" s="118">
        <v>46247.0</v>
      </c>
      <c r="C774" s="119"/>
      <c r="D774" s="120" t="str">
        <f t="shared" si="118"/>
        <v>Nurwahid</v>
      </c>
      <c r="E774" s="121">
        <f>SUMIFS(SSOD!$C:$C,SSOD!$B:$B,Hitungan!D774,SSOD!$A:$A,Hitungan!C774)</f>
        <v>0</v>
      </c>
      <c r="F774" s="122"/>
      <c r="G774" s="124">
        <f t="shared" si="123"/>
        <v>0</v>
      </c>
      <c r="H774" s="126" t="str">
        <f t="array" ref="H774">INDEX('Panduan Gaji'!$Q:$Q,MATCH(D774,'Panduan Gaji'!$C:$C,0))</f>
        <v>KG</v>
      </c>
      <c r="I774" s="128" t="s">
        <v>138</v>
      </c>
      <c r="J774" s="308"/>
      <c r="K774" s="351"/>
      <c r="L774" s="145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 ht="13.5" hidden="1" customHeight="1">
      <c r="A775" s="116">
        <f t="shared" si="117"/>
        <v>20</v>
      </c>
      <c r="B775" s="118">
        <v>46248.0</v>
      </c>
      <c r="C775" s="119"/>
      <c r="D775" s="120" t="str">
        <f t="shared" si="118"/>
        <v>Nurwahid</v>
      </c>
      <c r="E775" s="121">
        <f>SUMIFS(SSOD!$C:$C,SSOD!$B:$B,Hitungan!D775,SSOD!$A:$A,Hitungan!C775)</f>
        <v>0</v>
      </c>
      <c r="F775" s="122"/>
      <c r="G775" s="124">
        <f t="shared" si="123"/>
        <v>0</v>
      </c>
      <c r="H775" s="126" t="str">
        <f t="array" ref="H775">INDEX('Panduan Gaji'!$Q:$Q,MATCH(D775,'Panduan Gaji'!$C:$C,0))</f>
        <v>KG</v>
      </c>
      <c r="I775" s="128" t="s">
        <v>138</v>
      </c>
      <c r="J775" s="308"/>
      <c r="K775" s="352"/>
      <c r="L775" s="145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 ht="13.5" hidden="1" customHeight="1">
      <c r="A776" s="116">
        <f t="shared" si="117"/>
        <v>20</v>
      </c>
      <c r="B776" s="118">
        <v>46249.0</v>
      </c>
      <c r="C776" s="119"/>
      <c r="D776" s="120" t="str">
        <f t="shared" si="118"/>
        <v>Nurwahid</v>
      </c>
      <c r="E776" s="121">
        <f>SUMIFS(SSOD!$C:$C,SSOD!$B:$B,Hitungan!D776,SSOD!$A:$A,Hitungan!C776)</f>
        <v>0</v>
      </c>
      <c r="F776" s="122"/>
      <c r="G776" s="124">
        <f t="shared" si="123"/>
        <v>0</v>
      </c>
      <c r="H776" s="126" t="str">
        <f t="array" ref="H776">INDEX('Panduan Gaji'!$Q:$Q,MATCH(D776,'Panduan Gaji'!$C:$C,0))</f>
        <v>KG</v>
      </c>
      <c r="I776" s="128" t="s">
        <v>138</v>
      </c>
      <c r="J776" s="308"/>
      <c r="K776" s="351"/>
      <c r="L776" s="145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 ht="13.5" hidden="1" customHeight="1">
      <c r="A777" s="116">
        <f t="shared" si="117"/>
        <v>20</v>
      </c>
      <c r="B777" s="118">
        <v>46250.0</v>
      </c>
      <c r="C777" s="119"/>
      <c r="D777" s="120" t="str">
        <f t="shared" si="118"/>
        <v>Nurwahid</v>
      </c>
      <c r="E777" s="121">
        <f>SUMIFS(SSOD!$C:$C,SSOD!$B:$B,Hitungan!D777,SSOD!$A:$A,Hitungan!C777)</f>
        <v>0</v>
      </c>
      <c r="F777" s="122"/>
      <c r="G777" s="124">
        <f t="shared" si="123"/>
        <v>0</v>
      </c>
      <c r="H777" s="126" t="str">
        <f t="array" ref="H777">INDEX('Panduan Gaji'!$Q:$Q,MATCH(D777,'Panduan Gaji'!$C:$C,0))</f>
        <v>KG</v>
      </c>
      <c r="I777" s="128" t="s">
        <v>138</v>
      </c>
      <c r="J777" s="308"/>
      <c r="K777" s="351"/>
      <c r="L777" s="145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 ht="13.5" hidden="1" customHeight="1">
      <c r="A778" s="116">
        <f t="shared" si="117"/>
        <v>20</v>
      </c>
      <c r="B778" s="118">
        <v>46251.0</v>
      </c>
      <c r="C778" s="119"/>
      <c r="D778" s="120" t="str">
        <f t="shared" si="118"/>
        <v>Nurwahid</v>
      </c>
      <c r="E778" s="121">
        <f>SUMIFS(SSOD!$C:$C,SSOD!$B:$B,Hitungan!D778,SSOD!$A:$A,Hitungan!C778)</f>
        <v>0</v>
      </c>
      <c r="F778" s="122"/>
      <c r="G778" s="124">
        <f t="shared" si="123"/>
        <v>0</v>
      </c>
      <c r="H778" s="126" t="str">
        <f t="array" ref="H778">INDEX('Panduan Gaji'!$Q:$Q,MATCH(D778,'Panduan Gaji'!$C:$C,0))</f>
        <v>KG</v>
      </c>
      <c r="I778" s="128" t="s">
        <v>138</v>
      </c>
      <c r="J778" s="308"/>
      <c r="K778" s="351"/>
      <c r="L778" s="119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 ht="13.5" hidden="1" customHeight="1">
      <c r="A779" s="116">
        <f t="shared" si="117"/>
        <v>20</v>
      </c>
      <c r="B779" s="118">
        <v>46252.0</v>
      </c>
      <c r="C779" s="119"/>
      <c r="D779" s="120" t="str">
        <f t="shared" si="118"/>
        <v>Nurwahid</v>
      </c>
      <c r="E779" s="121">
        <f>SUMIFS(SSOD!$C:$C,SSOD!$B:$B,Hitungan!D779,SSOD!$A:$A,Hitungan!C779)</f>
        <v>0</v>
      </c>
      <c r="F779" s="122"/>
      <c r="G779" s="124">
        <f t="shared" si="123"/>
        <v>0</v>
      </c>
      <c r="H779" s="126" t="str">
        <f t="array" ref="H779">INDEX('Panduan Gaji'!$Q:$Q,MATCH(D779,'Panduan Gaji'!$C:$C,0))</f>
        <v>KG</v>
      </c>
      <c r="I779" s="128" t="s">
        <v>138</v>
      </c>
      <c r="J779" s="308"/>
      <c r="K779" s="351"/>
      <c r="L779" s="119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 ht="13.5" hidden="1" customHeight="1">
      <c r="A780" s="116">
        <f t="shared" si="117"/>
        <v>20</v>
      </c>
      <c r="B780" s="118">
        <v>46253.0</v>
      </c>
      <c r="C780" s="119"/>
      <c r="D780" s="120" t="str">
        <f t="shared" si="118"/>
        <v>Nurwahid</v>
      </c>
      <c r="E780" s="121">
        <f>SUMIFS(SSOD!$C:$C,SSOD!$B:$B,Hitungan!D780,SSOD!$A:$A,Hitungan!C780)</f>
        <v>0</v>
      </c>
      <c r="F780" s="122"/>
      <c r="G780" s="124">
        <f t="shared" si="123"/>
        <v>0</v>
      </c>
      <c r="H780" s="126" t="str">
        <f t="array" ref="H780">INDEX('Panduan Gaji'!$Q:$Q,MATCH(D780,'Panduan Gaji'!$C:$C,0))</f>
        <v>KG</v>
      </c>
      <c r="I780" s="128" t="s">
        <v>138</v>
      </c>
      <c r="J780" s="308"/>
      <c r="K780" s="351"/>
      <c r="L780" s="119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 ht="13.5" hidden="1" customHeight="1">
      <c r="A781" s="116">
        <f t="shared" si="117"/>
        <v>20</v>
      </c>
      <c r="B781" s="118">
        <v>46254.0</v>
      </c>
      <c r="C781" s="119"/>
      <c r="D781" s="120" t="str">
        <f t="shared" si="118"/>
        <v>Nurwahid</v>
      </c>
      <c r="E781" s="121">
        <f>SUMIFS(SSOD!$C:$C,SSOD!$B:$B,Hitungan!D781,SSOD!$A:$A,Hitungan!C781)</f>
        <v>0</v>
      </c>
      <c r="F781" s="122"/>
      <c r="G781" s="124">
        <f t="shared" si="123"/>
        <v>0</v>
      </c>
      <c r="H781" s="126" t="str">
        <f t="array" ref="H781">INDEX('Panduan Gaji'!$Q:$Q,MATCH(D781,'Panduan Gaji'!$C:$C,0))</f>
        <v>KG</v>
      </c>
      <c r="I781" s="128" t="s">
        <v>138</v>
      </c>
      <c r="J781" s="308"/>
      <c r="K781" s="351"/>
      <c r="L781" s="145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 ht="13.5" hidden="1" customHeight="1">
      <c r="A782" s="116">
        <f t="shared" si="117"/>
        <v>20</v>
      </c>
      <c r="B782" s="118">
        <v>46255.0</v>
      </c>
      <c r="C782" s="119"/>
      <c r="D782" s="120" t="str">
        <f t="shared" si="118"/>
        <v>Nurwahid</v>
      </c>
      <c r="E782" s="121">
        <f>SUMIFS(SSOD!$C:$C,SSOD!$B:$B,Hitungan!D782,SSOD!$A:$A,Hitungan!C782)</f>
        <v>0</v>
      </c>
      <c r="F782" s="122"/>
      <c r="G782" s="124">
        <f t="shared" si="123"/>
        <v>0</v>
      </c>
      <c r="H782" s="126" t="str">
        <f t="array" ref="H782">INDEX('Panduan Gaji'!$Q:$Q,MATCH(D782,'Panduan Gaji'!$C:$C,0))</f>
        <v>KG</v>
      </c>
      <c r="I782" s="128" t="s">
        <v>138</v>
      </c>
      <c r="J782" s="308"/>
      <c r="K782" s="351"/>
      <c r="L782" s="119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 ht="13.5" hidden="1" customHeight="1">
      <c r="A783" s="116">
        <f t="shared" si="117"/>
        <v>20</v>
      </c>
      <c r="B783" s="118">
        <v>46256.0</v>
      </c>
      <c r="C783" s="119"/>
      <c r="D783" s="120" t="str">
        <f t="shared" si="118"/>
        <v>Nurwahid</v>
      </c>
      <c r="E783" s="121">
        <f>SUMIFS(SSOD!$C:$C,SSOD!$B:$B,Hitungan!D783,SSOD!$A:$A,Hitungan!C783)</f>
        <v>0</v>
      </c>
      <c r="F783" s="122"/>
      <c r="G783" s="124">
        <f t="shared" si="123"/>
        <v>0</v>
      </c>
      <c r="H783" s="126" t="str">
        <f t="array" ref="H783">INDEX('Panduan Gaji'!$Q:$Q,MATCH(D783,'Panduan Gaji'!$C:$C,0))</f>
        <v>KG</v>
      </c>
      <c r="I783" s="128" t="s">
        <v>138</v>
      </c>
      <c r="J783" s="308"/>
      <c r="K783" s="351"/>
      <c r="L783" s="119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 ht="13.5" hidden="1" customHeight="1">
      <c r="A784" s="116">
        <f t="shared" si="117"/>
        <v>20</v>
      </c>
      <c r="B784" s="118">
        <v>46257.0</v>
      </c>
      <c r="C784" s="119"/>
      <c r="D784" s="120" t="str">
        <f t="shared" si="118"/>
        <v>Nurwahid</v>
      </c>
      <c r="E784" s="121">
        <f>SUMIFS(SSOD!$C:$C,SSOD!$B:$B,Hitungan!D784,SSOD!$A:$A,Hitungan!C784)</f>
        <v>0</v>
      </c>
      <c r="F784" s="122"/>
      <c r="G784" s="124">
        <f t="shared" si="123"/>
        <v>0</v>
      </c>
      <c r="H784" s="126" t="str">
        <f t="array" ref="H784">INDEX('Panduan Gaji'!$Q:$Q,MATCH(D784,'Panduan Gaji'!$C:$C,0))</f>
        <v>KG</v>
      </c>
      <c r="I784" s="128" t="s">
        <v>138</v>
      </c>
      <c r="J784" s="308"/>
      <c r="K784" s="351"/>
      <c r="L784" s="119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 ht="15.75" hidden="1" customHeight="1">
      <c r="A785" s="116">
        <f t="shared" si="117"/>
        <v>20</v>
      </c>
      <c r="B785" s="118">
        <v>46258.0</v>
      </c>
      <c r="C785" s="119"/>
      <c r="D785" s="120" t="str">
        <f t="shared" si="118"/>
        <v>Nurwahid</v>
      </c>
      <c r="E785" s="121">
        <f>SUMIFS(SSOD!$C:$C,SSOD!$B:$B,Hitungan!D785,SSOD!$A:$A,Hitungan!C785)</f>
        <v>0</v>
      </c>
      <c r="F785" s="122"/>
      <c r="G785" s="124">
        <f t="shared" si="123"/>
        <v>0</v>
      </c>
      <c r="H785" s="220" t="str">
        <f t="array" ref="H785">INDEX('Panduan Gaji'!$Q:$Q,MATCH(D785,'Panduan Gaji'!$C:$C,0))</f>
        <v>KG</v>
      </c>
      <c r="I785" s="128" t="s">
        <v>138</v>
      </c>
      <c r="J785" s="308"/>
      <c r="K785" s="351"/>
      <c r="L785" s="119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 ht="15.75" hidden="1" customHeight="1">
      <c r="A786" s="222"/>
      <c r="B786" s="223"/>
      <c r="C786" s="224"/>
      <c r="D786" s="225"/>
      <c r="E786" s="226"/>
      <c r="F786" s="227"/>
      <c r="G786" s="228"/>
      <c r="H786" s="229"/>
      <c r="I786" s="22"/>
      <c r="J786" s="230"/>
      <c r="K786" s="230"/>
      <c r="L786" s="224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 ht="13.5" hidden="1" customHeight="1">
      <c r="A787" s="26">
        <v>21.0</v>
      </c>
      <c r="B787" s="28"/>
      <c r="C787" s="30" t="s">
        <v>6</v>
      </c>
      <c r="D787" s="33" t="s">
        <v>87</v>
      </c>
      <c r="E787" s="42">
        <f>SUMIFS(SSOD!$C:$C,SSOD!$B:$B,Hitungan!D787,SSOD!$A:$A,Hitungan!C787)</f>
        <v>3190000</v>
      </c>
      <c r="F787" s="44">
        <v>1.0</v>
      </c>
      <c r="G787" s="47">
        <f t="shared" ref="G787:G790" si="124">E787*F787</f>
        <v>3190000</v>
      </c>
      <c r="H787" s="51" t="str">
        <f t="array" ref="H787">INDEX('Panduan Gaji'!$Q:$Q,MATCH(D787,'Panduan Gaji'!$C:$C,0))</f>
        <v>KG</v>
      </c>
      <c r="I787" s="53"/>
      <c r="J787" s="54"/>
      <c r="K787" s="54"/>
      <c r="L787" s="55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 ht="13.5" hidden="1" customHeight="1">
      <c r="A788" s="26">
        <f t="shared" ref="A788:A826" si="125">A787</f>
        <v>21</v>
      </c>
      <c r="B788" s="28"/>
      <c r="C788" s="30" t="s">
        <v>17</v>
      </c>
      <c r="D788" s="33" t="str">
        <f t="shared" ref="D788:D826" si="126">D787</f>
        <v>Irvan</v>
      </c>
      <c r="E788" s="42">
        <f>SUMIFS(SSOD!$C:$C,SSOD!$B:$B,Hitungan!D788,SSOD!$A:$A,Hitungan!C788)</f>
        <v>0</v>
      </c>
      <c r="F788" s="44"/>
      <c r="G788" s="47">
        <f t="shared" si="124"/>
        <v>0</v>
      </c>
      <c r="H788" s="51" t="str">
        <f t="array" ref="H788">INDEX('Panduan Gaji'!$Q:$Q,MATCH(D788,'Panduan Gaji'!$C:$C,0))</f>
        <v>KG</v>
      </c>
      <c r="I788" s="53"/>
      <c r="J788" s="54"/>
      <c r="K788" s="54"/>
      <c r="L788" s="55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 ht="13.5" hidden="1" customHeight="1">
      <c r="A789" s="26">
        <f t="shared" si="125"/>
        <v>21</v>
      </c>
      <c r="B789" s="28"/>
      <c r="C789" s="30" t="s">
        <v>7</v>
      </c>
      <c r="D789" s="33" t="str">
        <f t="shared" si="126"/>
        <v>Irvan</v>
      </c>
      <c r="E789" s="42">
        <f>SUMIFS(SSOD!$C:$C,SSOD!$B:$B,Hitungan!D789,SSOD!$A:$A,Hitungan!C789)</f>
        <v>21000</v>
      </c>
      <c r="F789" s="44">
        <f t="shared" ref="F789:F790" si="127">SUMPRODUCT(--((($J$797:$J$826&lt;&gt;"")+($K$797:$K$826&lt;&gt;""))&gt;0))</f>
        <v>26</v>
      </c>
      <c r="G789" s="47">
        <f t="shared" si="124"/>
        <v>546000</v>
      </c>
      <c r="H789" s="51" t="str">
        <f t="array" ref="H789">INDEX('Panduan Gaji'!$Q:$Q,MATCH(D789,'Panduan Gaji'!$C:$C,0))</f>
        <v>KG</v>
      </c>
      <c r="I789" s="53"/>
      <c r="J789" s="88"/>
      <c r="K789" s="88"/>
      <c r="L789" s="55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 ht="13.5" hidden="1" customHeight="1">
      <c r="A790" s="26">
        <f t="shared" si="125"/>
        <v>21</v>
      </c>
      <c r="B790" s="28"/>
      <c r="C790" s="30" t="s">
        <v>9</v>
      </c>
      <c r="D790" s="33" t="str">
        <f t="shared" si="126"/>
        <v>Irvan</v>
      </c>
      <c r="E790" s="42">
        <f>SUMIFS(SSOD!$C:$C,SSOD!$B:$B,Hitungan!D790,SSOD!$A:$A,Hitungan!C790)</f>
        <v>54000</v>
      </c>
      <c r="F790" s="44">
        <f t="shared" si="127"/>
        <v>26</v>
      </c>
      <c r="G790" s="47">
        <f t="shared" si="124"/>
        <v>1404000</v>
      </c>
      <c r="H790" s="51" t="str">
        <f t="array" ref="H790">INDEX('Panduan Gaji'!$Q:$Q,MATCH(D790,'Panduan Gaji'!$C:$C,0))</f>
        <v>KG</v>
      </c>
      <c r="I790" s="53"/>
      <c r="J790" s="88"/>
      <c r="K790" s="88"/>
      <c r="L790" s="9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 ht="15.75" hidden="1" customHeight="1">
      <c r="A791" s="26">
        <f t="shared" si="125"/>
        <v>21</v>
      </c>
      <c r="B791" s="28"/>
      <c r="C791" s="30" t="s">
        <v>39</v>
      </c>
      <c r="D791" s="33" t="str">
        <f t="shared" si="126"/>
        <v>Irvan</v>
      </c>
      <c r="E791" s="42">
        <v>401719.0</v>
      </c>
      <c r="F791" s="44">
        <v>1.0</v>
      </c>
      <c r="G791" s="47">
        <f>F791*E791</f>
        <v>401719</v>
      </c>
      <c r="H791" s="51" t="str">
        <f t="array" ref="H791">INDEX('Panduan Gaji'!$Q:$Q,MATCH(D791,'Panduan Gaji'!$C:$C,0))</f>
        <v>KG</v>
      </c>
      <c r="I791" s="53"/>
      <c r="J791" s="88"/>
      <c r="K791" s="88"/>
      <c r="L791" s="9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 ht="15.75" hidden="1" customHeight="1">
      <c r="A792" s="26">
        <f t="shared" si="125"/>
        <v>21</v>
      </c>
      <c r="B792" s="28"/>
      <c r="C792" s="30" t="s">
        <v>12</v>
      </c>
      <c r="D792" s="33" t="str">
        <f t="shared" si="126"/>
        <v>Irvan</v>
      </c>
      <c r="E792" s="42">
        <f>SUMIFS(SSOD!$C:$C,SSOD!$B:$B,Hitungan!D792,SSOD!$A:$A,Hitungan!C792)</f>
        <v>18000</v>
      </c>
      <c r="F792" s="44">
        <f>SUMIF($C$797:$C$826,C792,$F$797:$F$826)</f>
        <v>1</v>
      </c>
      <c r="G792" s="47">
        <f t="shared" ref="G792:G793" si="128">E792*F792</f>
        <v>18000</v>
      </c>
      <c r="H792" s="51" t="str">
        <f t="array" ref="H792">INDEX('Panduan Gaji'!$Q:$Q,MATCH(D792,'Panduan Gaji'!$C:$C,0))</f>
        <v>KG</v>
      </c>
      <c r="I792" s="53"/>
      <c r="J792" s="88"/>
      <c r="K792" s="88"/>
      <c r="L792" s="100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 ht="15.75" hidden="1" customHeight="1">
      <c r="A793" s="26">
        <f t="shared" si="125"/>
        <v>21</v>
      </c>
      <c r="B793" s="28"/>
      <c r="C793" s="102" t="s">
        <v>30</v>
      </c>
      <c r="D793" s="33" t="str">
        <f t="shared" si="126"/>
        <v>Irvan</v>
      </c>
      <c r="E793" s="42">
        <f>SUMIFS(SSOD!$C:$C,SSOD!$B:$B,Hitungan!D793,SSOD!$A:$A,Hitungan!C793)</f>
        <v>18000</v>
      </c>
      <c r="F793" s="44">
        <f t="shared" ref="F793:F794" si="129">COUNTIF($C$797:$C$826,C793)</f>
        <v>0</v>
      </c>
      <c r="G793" s="47">
        <f t="shared" si="128"/>
        <v>0</v>
      </c>
      <c r="H793" s="51" t="str">
        <f t="array" ref="H793">INDEX('Panduan Gaji'!$Q:$Q,MATCH(D793,'Panduan Gaji'!$C:$C,0))</f>
        <v>KG</v>
      </c>
      <c r="I793" s="53"/>
      <c r="J793" s="105"/>
      <c r="K793" s="105"/>
      <c r="L793" s="10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 ht="15.75" hidden="1" customHeight="1">
      <c r="A794" s="26">
        <f t="shared" si="125"/>
        <v>21</v>
      </c>
      <c r="B794" s="28"/>
      <c r="C794" s="30" t="s">
        <v>33</v>
      </c>
      <c r="D794" s="33" t="str">
        <f t="shared" si="126"/>
        <v>Irvan</v>
      </c>
      <c r="E794" s="42"/>
      <c r="F794" s="44">
        <f t="shared" si="129"/>
        <v>0</v>
      </c>
      <c r="G794" s="47">
        <f>SUMIF($C$797:$C$826,C794,$E$797:$E$826)</f>
        <v>0</v>
      </c>
      <c r="H794" s="51" t="str">
        <f t="array" ref="H794">INDEX('Panduan Gaji'!$Q:$Q,MATCH(D794,'Panduan Gaji'!$C:$C,0))</f>
        <v>KG</v>
      </c>
      <c r="I794" s="53"/>
      <c r="J794" s="105"/>
      <c r="K794" s="105"/>
      <c r="L794" s="10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 ht="15.75" hidden="1" customHeight="1">
      <c r="A795" s="26">
        <f t="shared" si="125"/>
        <v>21</v>
      </c>
      <c r="B795" s="28"/>
      <c r="C795" s="30" t="s">
        <v>83</v>
      </c>
      <c r="D795" s="33" t="str">
        <f t="shared" si="126"/>
        <v>Irvan</v>
      </c>
      <c r="E795" s="42"/>
      <c r="F795" s="44"/>
      <c r="G795" s="47"/>
      <c r="H795" s="51" t="str">
        <f t="array" ref="H795">INDEX('Panduan Gaji'!$Q:$Q,MATCH(D795,'Panduan Gaji'!$C:$C,0))</f>
        <v>KG</v>
      </c>
      <c r="I795" s="53"/>
      <c r="J795" s="105"/>
      <c r="K795" s="105"/>
      <c r="L795" s="10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 ht="13.5" hidden="1" customHeight="1">
      <c r="A796" s="26">
        <f t="shared" si="125"/>
        <v>21</v>
      </c>
      <c r="B796" s="28"/>
      <c r="C796" s="30" t="s">
        <v>85</v>
      </c>
      <c r="D796" s="33" t="str">
        <f t="shared" si="126"/>
        <v>Irvan</v>
      </c>
      <c r="E796" s="42"/>
      <c r="F796" s="44"/>
      <c r="G796" s="47"/>
      <c r="H796" s="51" t="str">
        <f t="array" ref="H796">INDEX('Panduan Gaji'!$Q:$Q,MATCH(D796,'Panduan Gaji'!$C:$C,0))</f>
        <v>KG</v>
      </c>
      <c r="I796" s="53"/>
      <c r="J796" s="105"/>
      <c r="K796" s="105"/>
      <c r="L796" s="106"/>
      <c r="M796" s="56"/>
      <c r="N796" s="56"/>
      <c r="O796" s="22"/>
      <c r="P796" s="56"/>
      <c r="Q796" s="56"/>
      <c r="R796" s="56"/>
      <c r="S796" s="56"/>
      <c r="T796" s="56"/>
      <c r="U796" s="56"/>
      <c r="V796" s="56"/>
      <c r="W796" s="56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 ht="13.5" hidden="1" customHeight="1">
      <c r="A797" s="116">
        <f t="shared" si="125"/>
        <v>21</v>
      </c>
      <c r="B797" s="118">
        <v>46229.0</v>
      </c>
      <c r="C797" s="119"/>
      <c r="D797" s="120" t="str">
        <f t="shared" si="126"/>
        <v>Irvan</v>
      </c>
      <c r="E797" s="121">
        <f>SUMIFS(SSOD!$C:$C,SSOD!$B:$B,Hitungan!D797,SSOD!$A:$A,Hitungan!C797)</f>
        <v>0</v>
      </c>
      <c r="F797" s="122"/>
      <c r="G797" s="124">
        <f t="shared" ref="G797:G826" si="130">E797*F797</f>
        <v>0</v>
      </c>
      <c r="H797" s="126" t="str">
        <f t="array" ref="H797">INDEX('Panduan Gaji'!$Q:$Q,MATCH(D797,'Panduan Gaji'!$C:$C,0))</f>
        <v>KG</v>
      </c>
      <c r="I797" s="128" t="s">
        <v>138</v>
      </c>
      <c r="J797" s="308">
        <v>0.4097222222222222</v>
      </c>
      <c r="K797" s="308">
        <v>0.9166666666666666</v>
      </c>
      <c r="L797" s="130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 ht="13.5" hidden="1" customHeight="1">
      <c r="A798" s="116">
        <f t="shared" si="125"/>
        <v>21</v>
      </c>
      <c r="B798" s="118">
        <v>46230.0</v>
      </c>
      <c r="C798" s="119"/>
      <c r="D798" s="120" t="str">
        <f t="shared" si="126"/>
        <v>Irvan</v>
      </c>
      <c r="E798" s="121">
        <f>SUMIFS(SSOD!$C:$C,SSOD!$B:$B,Hitungan!D798,SSOD!$A:$A,Hitungan!C798)</f>
        <v>0</v>
      </c>
      <c r="F798" s="122"/>
      <c r="G798" s="124">
        <f t="shared" si="130"/>
        <v>0</v>
      </c>
      <c r="H798" s="126" t="str">
        <f t="array" ref="H798">INDEX('Panduan Gaji'!$Q:$Q,MATCH(D798,'Panduan Gaji'!$C:$C,0))</f>
        <v>KG</v>
      </c>
      <c r="I798" s="128" t="s">
        <v>138</v>
      </c>
      <c r="J798" s="308">
        <v>0.4090277777777778</v>
      </c>
      <c r="K798" s="308">
        <v>0.9166666666666666</v>
      </c>
      <c r="L798" s="138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 ht="13.5" hidden="1" customHeight="1">
      <c r="A799" s="116">
        <f t="shared" si="125"/>
        <v>21</v>
      </c>
      <c r="B799" s="118">
        <v>46231.0</v>
      </c>
      <c r="C799" s="119"/>
      <c r="D799" s="120" t="str">
        <f t="shared" si="126"/>
        <v>Irvan</v>
      </c>
      <c r="E799" s="121">
        <f>SUMIFS(SSOD!$C:$C,SSOD!$B:$B,Hitungan!D799,SSOD!$A:$A,Hitungan!C799)</f>
        <v>0</v>
      </c>
      <c r="F799" s="122"/>
      <c r="G799" s="124">
        <f t="shared" si="130"/>
        <v>0</v>
      </c>
      <c r="H799" s="126" t="str">
        <f t="array" ref="H799">INDEX('Panduan Gaji'!$Q:$Q,MATCH(D799,'Panduan Gaji'!$C:$C,0))</f>
        <v>KG</v>
      </c>
      <c r="I799" s="128" t="s">
        <v>138</v>
      </c>
      <c r="J799" s="308">
        <v>0.4027777777777778</v>
      </c>
      <c r="K799" s="308">
        <v>0.9166666666666666</v>
      </c>
      <c r="L799" s="145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 ht="13.5" hidden="1" customHeight="1">
      <c r="A800" s="116">
        <f t="shared" si="125"/>
        <v>21</v>
      </c>
      <c r="B800" s="118">
        <v>46232.0</v>
      </c>
      <c r="C800" s="146"/>
      <c r="D800" s="120" t="str">
        <f t="shared" si="126"/>
        <v>Irvan</v>
      </c>
      <c r="E800" s="147">
        <f>SUMIFS(SSOD!$C:$C,SSOD!$B:$B,Hitungan!D800,SSOD!$A:$A,Hitungan!C800)</f>
        <v>0</v>
      </c>
      <c r="F800" s="148"/>
      <c r="G800" s="124">
        <f t="shared" si="130"/>
        <v>0</v>
      </c>
      <c r="H800" s="126" t="str">
        <f t="array" ref="H800">INDEX('Panduan Gaji'!$Q:$Q,MATCH(D800,'Panduan Gaji'!$C:$C,0))</f>
        <v>KG</v>
      </c>
      <c r="I800" s="128" t="s">
        <v>138</v>
      </c>
      <c r="J800" s="308">
        <v>0.40625</v>
      </c>
      <c r="K800" s="308">
        <v>0.9166666666666666</v>
      </c>
      <c r="L800" s="153"/>
      <c r="M800" s="16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 ht="13.5" hidden="1" customHeight="1">
      <c r="A801" s="116">
        <f t="shared" si="125"/>
        <v>21</v>
      </c>
      <c r="B801" s="118">
        <v>46233.0</v>
      </c>
      <c r="C801" s="119"/>
      <c r="D801" s="120" t="str">
        <f t="shared" si="126"/>
        <v>Irvan</v>
      </c>
      <c r="E801" s="121">
        <f>SUMIFS(SSOD!$C:$C,SSOD!$B:$B,Hitungan!D801,SSOD!$A:$A,Hitungan!C801)</f>
        <v>0</v>
      </c>
      <c r="F801" s="122"/>
      <c r="G801" s="124">
        <f t="shared" si="130"/>
        <v>0</v>
      </c>
      <c r="H801" s="126" t="str">
        <f t="array" ref="H801">INDEX('Panduan Gaji'!$Q:$Q,MATCH(D801,'Panduan Gaji'!$C:$C,0))</f>
        <v>KG</v>
      </c>
      <c r="I801" s="128" t="s">
        <v>138</v>
      </c>
      <c r="J801" s="308"/>
      <c r="K801" s="308"/>
      <c r="L801" s="164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 ht="13.5" hidden="1" customHeight="1">
      <c r="A802" s="116">
        <f t="shared" si="125"/>
        <v>21</v>
      </c>
      <c r="B802" s="118">
        <v>46234.0</v>
      </c>
      <c r="C802" s="119"/>
      <c r="D802" s="120" t="str">
        <f t="shared" si="126"/>
        <v>Irvan</v>
      </c>
      <c r="E802" s="121">
        <f>SUMIFS(SSOD!$C:$C,SSOD!$B:$B,Hitungan!D802,SSOD!$A:$A,Hitungan!C802)</f>
        <v>0</v>
      </c>
      <c r="F802" s="122"/>
      <c r="G802" s="124">
        <f t="shared" si="130"/>
        <v>0</v>
      </c>
      <c r="H802" s="126" t="str">
        <f t="array" ref="H802">INDEX('Panduan Gaji'!$Q:$Q,MATCH(D802,'Panduan Gaji'!$C:$C,0))</f>
        <v>KG</v>
      </c>
      <c r="I802" s="128" t="s">
        <v>138</v>
      </c>
      <c r="J802" s="308">
        <v>0.40625</v>
      </c>
      <c r="K802" s="308">
        <v>0.9166666666666666</v>
      </c>
      <c r="L802" s="130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 ht="13.5" hidden="1" customHeight="1">
      <c r="A803" s="116">
        <f t="shared" si="125"/>
        <v>21</v>
      </c>
      <c r="B803" s="118">
        <v>46235.0</v>
      </c>
      <c r="C803" s="119"/>
      <c r="D803" s="120" t="str">
        <f t="shared" si="126"/>
        <v>Irvan</v>
      </c>
      <c r="E803" s="121">
        <f>SUMIFS(SSOD!$C:$C,SSOD!$B:$B,Hitungan!D803,SSOD!$A:$A,Hitungan!C803)</f>
        <v>0</v>
      </c>
      <c r="F803" s="122"/>
      <c r="G803" s="124">
        <f t="shared" si="130"/>
        <v>0</v>
      </c>
      <c r="H803" s="126" t="str">
        <f t="array" ref="H803">INDEX('Panduan Gaji'!$Q:$Q,MATCH(D803,'Panduan Gaji'!$C:$C,0))</f>
        <v>KG</v>
      </c>
      <c r="I803" s="128" t="s">
        <v>138</v>
      </c>
      <c r="J803" s="309">
        <v>0.4069444444444444</v>
      </c>
      <c r="K803" s="308">
        <v>0.9166666666666666</v>
      </c>
      <c r="L803" s="145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 ht="13.5" hidden="1" customHeight="1">
      <c r="A804" s="116">
        <f t="shared" si="125"/>
        <v>21</v>
      </c>
      <c r="B804" s="118">
        <v>46236.0</v>
      </c>
      <c r="C804" s="119"/>
      <c r="D804" s="120" t="str">
        <f t="shared" si="126"/>
        <v>Irvan</v>
      </c>
      <c r="E804" s="121">
        <v>0.0</v>
      </c>
      <c r="F804" s="122"/>
      <c r="G804" s="124">
        <f t="shared" si="130"/>
        <v>0</v>
      </c>
      <c r="H804" s="126" t="str">
        <f t="array" ref="H804">INDEX('Panduan Gaji'!$Q:$Q,MATCH(D804,'Panduan Gaji'!$C:$C,0))</f>
        <v>KG</v>
      </c>
      <c r="I804" s="128" t="s">
        <v>138</v>
      </c>
      <c r="J804" s="309">
        <v>0.4076388888888889</v>
      </c>
      <c r="K804" s="308">
        <v>0.9166666666666666</v>
      </c>
      <c r="L804" s="145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 ht="13.5" hidden="1" customHeight="1">
      <c r="A805" s="116">
        <f t="shared" si="125"/>
        <v>21</v>
      </c>
      <c r="B805" s="118">
        <v>46237.0</v>
      </c>
      <c r="C805" s="119"/>
      <c r="D805" s="120" t="str">
        <f t="shared" si="126"/>
        <v>Irvan</v>
      </c>
      <c r="E805" s="121">
        <f>SUMIFS(SSOD!$C:$C,SSOD!$B:$B,Hitungan!D805,SSOD!$A:$A,Hitungan!C805)</f>
        <v>0</v>
      </c>
      <c r="F805" s="122"/>
      <c r="G805" s="124">
        <f t="shared" si="130"/>
        <v>0</v>
      </c>
      <c r="H805" s="126" t="str">
        <f t="array" ref="H805">INDEX('Panduan Gaji'!$Q:$Q,MATCH(D805,'Panduan Gaji'!$C:$C,0))</f>
        <v>KG</v>
      </c>
      <c r="I805" s="128" t="s">
        <v>138</v>
      </c>
      <c r="J805" s="309">
        <v>0.4034722222222222</v>
      </c>
      <c r="K805" s="308">
        <v>0.9166666666666666</v>
      </c>
      <c r="L805" s="145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 ht="13.5" hidden="1" customHeight="1">
      <c r="A806" s="116">
        <f t="shared" si="125"/>
        <v>21</v>
      </c>
      <c r="B806" s="118">
        <v>46238.0</v>
      </c>
      <c r="C806" s="181"/>
      <c r="D806" s="120" t="str">
        <f t="shared" si="126"/>
        <v>Irvan</v>
      </c>
      <c r="E806" s="121">
        <f>SUMIFS(SSOD!$C:$C,SSOD!$B:$B,Hitungan!D806,SSOD!$A:$A,Hitungan!C806)</f>
        <v>0</v>
      </c>
      <c r="F806" s="182"/>
      <c r="G806" s="52">
        <f t="shared" si="130"/>
        <v>0</v>
      </c>
      <c r="H806" s="126" t="str">
        <f t="array" ref="H806">INDEX('Panduan Gaji'!$Q:$Q,MATCH(D806,'Panduan Gaji'!$C:$C,0))</f>
        <v>KG</v>
      </c>
      <c r="I806" s="128" t="s">
        <v>138</v>
      </c>
      <c r="J806" s="309">
        <v>0.4041666666666667</v>
      </c>
      <c r="K806" s="308">
        <v>0.9166666666666666</v>
      </c>
      <c r="L806" s="119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 ht="13.5" hidden="1" customHeight="1">
      <c r="A807" s="116">
        <f t="shared" si="125"/>
        <v>21</v>
      </c>
      <c r="B807" s="118">
        <v>46239.0</v>
      </c>
      <c r="C807" s="119"/>
      <c r="D807" s="120" t="str">
        <f t="shared" si="126"/>
        <v>Irvan</v>
      </c>
      <c r="E807" s="121">
        <f>SUMIFS(SSOD!$C:$C,SSOD!$B:$B,Hitungan!D807,SSOD!$A:$A,Hitungan!C807)</f>
        <v>0</v>
      </c>
      <c r="F807" s="122"/>
      <c r="G807" s="124">
        <f t="shared" si="130"/>
        <v>0</v>
      </c>
      <c r="H807" s="126" t="str">
        <f t="array" ref="H807">INDEX('Panduan Gaji'!$Q:$Q,MATCH(D807,'Panduan Gaji'!$C:$C,0))</f>
        <v>KG</v>
      </c>
      <c r="I807" s="128" t="s">
        <v>138</v>
      </c>
      <c r="J807" s="309">
        <v>0.4069444444444444</v>
      </c>
      <c r="K807" s="308">
        <v>0.9166666666666666</v>
      </c>
      <c r="L807" s="145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 ht="13.5" hidden="1" customHeight="1">
      <c r="A808" s="116">
        <f t="shared" si="125"/>
        <v>21</v>
      </c>
      <c r="B808" s="118">
        <v>46240.0</v>
      </c>
      <c r="C808" s="119"/>
      <c r="D808" s="120" t="str">
        <f t="shared" si="126"/>
        <v>Irvan</v>
      </c>
      <c r="E808" s="121">
        <f>SUMIFS(SSOD!$C:$C,SSOD!$B:$B,Hitungan!D808,SSOD!$A:$A,Hitungan!C808)</f>
        <v>0</v>
      </c>
      <c r="F808" s="122"/>
      <c r="G808" s="124">
        <f t="shared" si="130"/>
        <v>0</v>
      </c>
      <c r="H808" s="126" t="str">
        <f t="array" ref="H808">INDEX('Panduan Gaji'!$Q:$Q,MATCH(D808,'Panduan Gaji'!$C:$C,0))</f>
        <v>KG</v>
      </c>
      <c r="I808" s="128" t="s">
        <v>138</v>
      </c>
      <c r="J808" s="308"/>
      <c r="K808" s="308"/>
      <c r="L808" s="145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 ht="13.5" hidden="1" customHeight="1">
      <c r="A809" s="116">
        <f t="shared" si="125"/>
        <v>21</v>
      </c>
      <c r="B809" s="118">
        <v>46241.0</v>
      </c>
      <c r="C809" s="119"/>
      <c r="D809" s="120" t="str">
        <f t="shared" si="126"/>
        <v>Irvan</v>
      </c>
      <c r="E809" s="121">
        <f>SUMIFS(SSOD!$C:$C,SSOD!$B:$B,Hitungan!D809,SSOD!$A:$A,Hitungan!C809)</f>
        <v>0</v>
      </c>
      <c r="F809" s="122"/>
      <c r="G809" s="124">
        <f t="shared" si="130"/>
        <v>0</v>
      </c>
      <c r="H809" s="126" t="str">
        <f t="array" ref="H809">INDEX('Panduan Gaji'!$Q:$Q,MATCH(D809,'Panduan Gaji'!$C:$C,0))</f>
        <v>KG</v>
      </c>
      <c r="I809" s="128" t="s">
        <v>138</v>
      </c>
      <c r="J809" s="308">
        <v>0.4027777777777778</v>
      </c>
      <c r="K809" s="310">
        <v>0.9166666666666666</v>
      </c>
      <c r="L809" s="119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 ht="13.5" hidden="1" customHeight="1">
      <c r="A810" s="116">
        <f t="shared" si="125"/>
        <v>21</v>
      </c>
      <c r="B810" s="118">
        <v>46242.0</v>
      </c>
      <c r="C810" s="119"/>
      <c r="D810" s="120" t="str">
        <f t="shared" si="126"/>
        <v>Irvan</v>
      </c>
      <c r="E810" s="121">
        <f>SUMIFS(SSOD!$C:$C,SSOD!$B:$B,Hitungan!D810,SSOD!$A:$A,Hitungan!C810)</f>
        <v>0</v>
      </c>
      <c r="F810" s="122"/>
      <c r="G810" s="124">
        <f t="shared" si="130"/>
        <v>0</v>
      </c>
      <c r="H810" s="126" t="str">
        <f t="array" ref="H810">INDEX('Panduan Gaji'!$Q:$Q,MATCH(D810,'Panduan Gaji'!$C:$C,0))</f>
        <v>KG</v>
      </c>
      <c r="I810" s="128" t="s">
        <v>138</v>
      </c>
      <c r="J810" s="309">
        <v>0.4055555555555556</v>
      </c>
      <c r="K810" s="309">
        <v>0.9166666666666666</v>
      </c>
      <c r="L810" s="187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 ht="13.5" hidden="1" customHeight="1">
      <c r="A811" s="116">
        <f t="shared" si="125"/>
        <v>21</v>
      </c>
      <c r="B811" s="118">
        <v>46243.0</v>
      </c>
      <c r="C811" s="119"/>
      <c r="D811" s="120" t="str">
        <f t="shared" si="126"/>
        <v>Irvan</v>
      </c>
      <c r="E811" s="121">
        <f>SUMIFS(SSOD!$C:$C,SSOD!$B:$B,Hitungan!D811,SSOD!$A:$A,Hitungan!C811)</f>
        <v>0</v>
      </c>
      <c r="F811" s="122"/>
      <c r="G811" s="124">
        <f t="shared" si="130"/>
        <v>0</v>
      </c>
      <c r="H811" s="126" t="str">
        <f t="array" ref="H811">INDEX('Panduan Gaji'!$Q:$Q,MATCH(D811,'Panduan Gaji'!$C:$C,0))</f>
        <v>KG</v>
      </c>
      <c r="I811" s="128" t="s">
        <v>138</v>
      </c>
      <c r="J811" s="309">
        <v>0.40625</v>
      </c>
      <c r="K811" s="309">
        <v>0.9166666666666666</v>
      </c>
      <c r="L811" s="187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 ht="13.5" hidden="1" customHeight="1">
      <c r="A812" s="116">
        <f t="shared" si="125"/>
        <v>21</v>
      </c>
      <c r="B812" s="118">
        <v>46244.0</v>
      </c>
      <c r="C812" s="119"/>
      <c r="D812" s="120" t="str">
        <f t="shared" si="126"/>
        <v>Irvan</v>
      </c>
      <c r="E812" s="121">
        <f>SUMIFS(SSOD!$C:$C,SSOD!$B:$B,Hitungan!D812,SSOD!$A:$A,Hitungan!C812)</f>
        <v>0</v>
      </c>
      <c r="F812" s="122"/>
      <c r="G812" s="124">
        <f t="shared" si="130"/>
        <v>0</v>
      </c>
      <c r="H812" s="126" t="str">
        <f t="array" ref="H812">INDEX('Panduan Gaji'!$Q:$Q,MATCH(D812,'Panduan Gaji'!$C:$C,0))</f>
        <v>KG</v>
      </c>
      <c r="I812" s="128" t="s">
        <v>138</v>
      </c>
      <c r="J812" s="309">
        <v>0.4097222222222222</v>
      </c>
      <c r="K812" s="309">
        <v>0.9166666666666666</v>
      </c>
      <c r="L812" s="187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 ht="13.5" hidden="1" customHeight="1">
      <c r="A813" s="116">
        <f t="shared" si="125"/>
        <v>21</v>
      </c>
      <c r="B813" s="118">
        <v>46245.0</v>
      </c>
      <c r="C813" s="119"/>
      <c r="D813" s="120" t="str">
        <f t="shared" si="126"/>
        <v>Irvan</v>
      </c>
      <c r="E813" s="121">
        <f>SUMIFS(SSOD!$C:$C,SSOD!$B:$B,Hitungan!D813,SSOD!$A:$A,Hitungan!C813)</f>
        <v>0</v>
      </c>
      <c r="F813" s="122"/>
      <c r="G813" s="124">
        <f t="shared" si="130"/>
        <v>0</v>
      </c>
      <c r="H813" s="126" t="str">
        <f t="array" ref="H813">INDEX('Panduan Gaji'!$Q:$Q,MATCH(D813,'Panduan Gaji'!$C:$C,0))</f>
        <v>KG</v>
      </c>
      <c r="I813" s="128" t="s">
        <v>138</v>
      </c>
      <c r="J813" s="308">
        <v>0.40625</v>
      </c>
      <c r="K813" s="308">
        <v>0.9166666666666666</v>
      </c>
      <c r="L813" s="145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 ht="13.5" hidden="1" customHeight="1">
      <c r="A814" s="116">
        <f t="shared" si="125"/>
        <v>21</v>
      </c>
      <c r="B814" s="118">
        <v>46246.0</v>
      </c>
      <c r="C814" s="119"/>
      <c r="D814" s="120" t="str">
        <f t="shared" si="126"/>
        <v>Irvan</v>
      </c>
      <c r="E814" s="121">
        <f>SUMIFS(SSOD!$C:$C,SSOD!$B:$B,Hitungan!D814,SSOD!$A:$A,Hitungan!C814)</f>
        <v>0</v>
      </c>
      <c r="F814" s="122"/>
      <c r="G814" s="124">
        <f t="shared" si="130"/>
        <v>0</v>
      </c>
      <c r="H814" s="126" t="str">
        <f t="array" ref="H814">INDEX('Panduan Gaji'!$Q:$Q,MATCH(D814,'Panduan Gaji'!$C:$C,0))</f>
        <v>KG</v>
      </c>
      <c r="I814" s="128" t="s">
        <v>138</v>
      </c>
      <c r="J814" s="308">
        <v>0.4069444444444444</v>
      </c>
      <c r="K814" s="308">
        <v>0.8930555555555556</v>
      </c>
      <c r="L814" s="145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 ht="13.5" hidden="1" customHeight="1">
      <c r="A815" s="116">
        <f t="shared" si="125"/>
        <v>21</v>
      </c>
      <c r="B815" s="118">
        <v>46247.0</v>
      </c>
      <c r="C815" s="119"/>
      <c r="D815" s="120" t="str">
        <f t="shared" si="126"/>
        <v>Irvan</v>
      </c>
      <c r="E815" s="121">
        <f>SUMIFS(SSOD!$C:$C,SSOD!$B:$B,Hitungan!D815,SSOD!$A:$A,Hitungan!C815)</f>
        <v>0</v>
      </c>
      <c r="F815" s="122"/>
      <c r="G815" s="124">
        <f t="shared" si="130"/>
        <v>0</v>
      </c>
      <c r="H815" s="126" t="str">
        <f t="array" ref="H815">INDEX('Panduan Gaji'!$Q:$Q,MATCH(D815,'Panduan Gaji'!$C:$C,0))</f>
        <v>KG</v>
      </c>
      <c r="I815" s="128" t="s">
        <v>138</v>
      </c>
      <c r="J815" s="308"/>
      <c r="K815" s="308"/>
      <c r="L815" s="145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 ht="13.5" hidden="1" customHeight="1">
      <c r="A816" s="116">
        <f t="shared" si="125"/>
        <v>21</v>
      </c>
      <c r="B816" s="118">
        <v>46248.0</v>
      </c>
      <c r="C816" s="119"/>
      <c r="D816" s="120" t="str">
        <f t="shared" si="126"/>
        <v>Irvan</v>
      </c>
      <c r="E816" s="121">
        <f>SUMIFS(SSOD!$C:$C,SSOD!$B:$B,Hitungan!D816,SSOD!$A:$A,Hitungan!C816)</f>
        <v>0</v>
      </c>
      <c r="F816" s="122"/>
      <c r="G816" s="124">
        <f t="shared" si="130"/>
        <v>0</v>
      </c>
      <c r="H816" s="126" t="str">
        <f t="array" ref="H816">INDEX('Panduan Gaji'!$Q:$Q,MATCH(D816,'Panduan Gaji'!$C:$C,0))</f>
        <v>KG</v>
      </c>
      <c r="I816" s="128" t="s">
        <v>138</v>
      </c>
      <c r="J816" s="308">
        <v>0.4055555555555556</v>
      </c>
      <c r="K816" s="310">
        <v>0.9166666666666666</v>
      </c>
      <c r="L816" s="145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 ht="13.5" hidden="1" customHeight="1">
      <c r="A817" s="116">
        <f t="shared" si="125"/>
        <v>21</v>
      </c>
      <c r="B817" s="118">
        <v>46249.0</v>
      </c>
      <c r="C817" s="119"/>
      <c r="D817" s="120" t="str">
        <f t="shared" si="126"/>
        <v>Irvan</v>
      </c>
      <c r="E817" s="121">
        <f>SUMIFS(SSOD!$C:$C,SSOD!$B:$B,Hitungan!D817,SSOD!$A:$A,Hitungan!C817)</f>
        <v>0</v>
      </c>
      <c r="F817" s="122"/>
      <c r="G817" s="124">
        <f t="shared" si="130"/>
        <v>0</v>
      </c>
      <c r="H817" s="126" t="str">
        <f t="array" ref="H817">INDEX('Panduan Gaji'!$Q:$Q,MATCH(D817,'Panduan Gaji'!$C:$C,0))</f>
        <v>KG</v>
      </c>
      <c r="I817" s="128" t="s">
        <v>138</v>
      </c>
      <c r="J817" s="308">
        <v>0.4069444444444444</v>
      </c>
      <c r="K817" s="308">
        <v>0.9166666666666666</v>
      </c>
      <c r="L817" s="145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 ht="13.5" hidden="1" customHeight="1">
      <c r="A818" s="116">
        <f t="shared" si="125"/>
        <v>21</v>
      </c>
      <c r="B818" s="118">
        <v>46250.0</v>
      </c>
      <c r="C818" s="119"/>
      <c r="D818" s="120" t="str">
        <f t="shared" si="126"/>
        <v>Irvan</v>
      </c>
      <c r="E818" s="121">
        <f>SUMIFS(SSOD!$C:$C,SSOD!$B:$B,Hitungan!D818,SSOD!$A:$A,Hitungan!C818)</f>
        <v>0</v>
      </c>
      <c r="F818" s="122"/>
      <c r="G818" s="124">
        <f t="shared" si="130"/>
        <v>0</v>
      </c>
      <c r="H818" s="126" t="str">
        <f t="array" ref="H818">INDEX('Panduan Gaji'!$Q:$Q,MATCH(D818,'Panduan Gaji'!$C:$C,0))</f>
        <v>KG</v>
      </c>
      <c r="I818" s="128" t="s">
        <v>138</v>
      </c>
      <c r="J818" s="308">
        <v>0.4034722222222222</v>
      </c>
      <c r="K818" s="308">
        <v>0.9166666666666666</v>
      </c>
      <c r="L818" s="145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 ht="13.5" hidden="1" customHeight="1">
      <c r="A819" s="116">
        <f t="shared" si="125"/>
        <v>21</v>
      </c>
      <c r="B819" s="118">
        <v>46251.0</v>
      </c>
      <c r="C819" s="119"/>
      <c r="D819" s="120" t="str">
        <f t="shared" si="126"/>
        <v>Irvan</v>
      </c>
      <c r="E819" s="121">
        <f>SUMIFS(SSOD!$C:$C,SSOD!$B:$B,Hitungan!D819,SSOD!$A:$A,Hitungan!C819)</f>
        <v>0</v>
      </c>
      <c r="F819" s="122"/>
      <c r="G819" s="124">
        <f t="shared" si="130"/>
        <v>0</v>
      </c>
      <c r="H819" s="126" t="str">
        <f t="array" ref="H819">INDEX('Panduan Gaji'!$Q:$Q,MATCH(D819,'Panduan Gaji'!$C:$C,0))</f>
        <v>KG</v>
      </c>
      <c r="I819" s="128" t="s">
        <v>138</v>
      </c>
      <c r="J819" s="308">
        <v>0.4069444444444444</v>
      </c>
      <c r="K819" s="308">
        <v>0.9166666666666666</v>
      </c>
      <c r="L819" s="119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 ht="13.5" hidden="1" customHeight="1">
      <c r="A820" s="116">
        <f t="shared" si="125"/>
        <v>21</v>
      </c>
      <c r="B820" s="118">
        <v>46252.0</v>
      </c>
      <c r="C820" s="119" t="s">
        <v>12</v>
      </c>
      <c r="D820" s="120" t="str">
        <f t="shared" si="126"/>
        <v>Irvan</v>
      </c>
      <c r="E820" s="121">
        <f>SUMIFS(SSOD!$C:$C,SSOD!$B:$B,Hitungan!D820,SSOD!$A:$A,Hitungan!C820)</f>
        <v>18000</v>
      </c>
      <c r="F820" s="122">
        <v>1.0</v>
      </c>
      <c r="G820" s="124">
        <f t="shared" si="130"/>
        <v>18000</v>
      </c>
      <c r="H820" s="126" t="str">
        <f t="array" ref="H820">INDEX('Panduan Gaji'!$Q:$Q,MATCH(D820,'Panduan Gaji'!$C:$C,0))</f>
        <v>KG</v>
      </c>
      <c r="I820" s="128" t="s">
        <v>138</v>
      </c>
      <c r="J820" s="308">
        <v>0.3604166666666667</v>
      </c>
      <c r="K820" s="308">
        <v>0.9166666666666666</v>
      </c>
      <c r="L820" s="119" t="s">
        <v>197</v>
      </c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 ht="13.5" hidden="1" customHeight="1">
      <c r="A821" s="116">
        <f t="shared" si="125"/>
        <v>21</v>
      </c>
      <c r="B821" s="118">
        <v>46253.0</v>
      </c>
      <c r="C821" s="119"/>
      <c r="D821" s="120" t="str">
        <f t="shared" si="126"/>
        <v>Irvan</v>
      </c>
      <c r="E821" s="121">
        <f>SUMIFS(SSOD!$C:$C,SSOD!$B:$B,Hitungan!D821,SSOD!$A:$A,Hitungan!C821)</f>
        <v>0</v>
      </c>
      <c r="F821" s="122"/>
      <c r="G821" s="124">
        <f t="shared" si="130"/>
        <v>0</v>
      </c>
      <c r="H821" s="126" t="str">
        <f t="array" ref="H821">INDEX('Panduan Gaji'!$Q:$Q,MATCH(D821,'Panduan Gaji'!$C:$C,0))</f>
        <v>KG</v>
      </c>
      <c r="I821" s="128" t="s">
        <v>138</v>
      </c>
      <c r="J821" s="308">
        <v>0.4083333333333333</v>
      </c>
      <c r="K821" s="308">
        <v>0.9166666666666666</v>
      </c>
      <c r="L821" s="119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 ht="13.5" hidden="1" customHeight="1">
      <c r="A822" s="116">
        <f t="shared" si="125"/>
        <v>21</v>
      </c>
      <c r="B822" s="118">
        <v>46254.0</v>
      </c>
      <c r="C822" s="119"/>
      <c r="D822" s="120" t="str">
        <f t="shared" si="126"/>
        <v>Irvan</v>
      </c>
      <c r="E822" s="121">
        <f>SUMIFS(SSOD!$C:$C,SSOD!$B:$B,Hitungan!D822,SSOD!$A:$A,Hitungan!C822)</f>
        <v>0</v>
      </c>
      <c r="F822" s="122"/>
      <c r="G822" s="124">
        <f t="shared" si="130"/>
        <v>0</v>
      </c>
      <c r="H822" s="126" t="str">
        <f t="array" ref="H822">INDEX('Panduan Gaji'!$Q:$Q,MATCH(D822,'Panduan Gaji'!$C:$C,0))</f>
        <v>KG</v>
      </c>
      <c r="I822" s="128" t="s">
        <v>138</v>
      </c>
      <c r="J822" s="308"/>
      <c r="K822" s="308"/>
      <c r="L822" s="145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 ht="13.5" hidden="1" customHeight="1">
      <c r="A823" s="116">
        <f t="shared" si="125"/>
        <v>21</v>
      </c>
      <c r="B823" s="118">
        <v>46255.0</v>
      </c>
      <c r="C823" s="119"/>
      <c r="D823" s="120" t="str">
        <f t="shared" si="126"/>
        <v>Irvan</v>
      </c>
      <c r="E823" s="121">
        <f>SUMIFS(SSOD!$C:$C,SSOD!$B:$B,Hitungan!D823,SSOD!$A:$A,Hitungan!C823)</f>
        <v>0</v>
      </c>
      <c r="F823" s="122"/>
      <c r="G823" s="124">
        <f t="shared" si="130"/>
        <v>0</v>
      </c>
      <c r="H823" s="126" t="str">
        <f t="array" ref="H823">INDEX('Panduan Gaji'!$Q:$Q,MATCH(D823,'Panduan Gaji'!$C:$C,0))</f>
        <v>KG</v>
      </c>
      <c r="I823" s="128" t="s">
        <v>138</v>
      </c>
      <c r="J823" s="308">
        <v>0.4055555555555556</v>
      </c>
      <c r="K823" s="308">
        <v>0.9166666666666666</v>
      </c>
      <c r="L823" s="119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 ht="13.5" hidden="1" customHeight="1">
      <c r="A824" s="116">
        <f t="shared" si="125"/>
        <v>21</v>
      </c>
      <c r="B824" s="118">
        <v>46256.0</v>
      </c>
      <c r="C824" s="119"/>
      <c r="D824" s="120" t="str">
        <f t="shared" si="126"/>
        <v>Irvan</v>
      </c>
      <c r="E824" s="121">
        <f>SUMIFS(SSOD!$C:$C,SSOD!$B:$B,Hitungan!D824,SSOD!$A:$A,Hitungan!C824)</f>
        <v>0</v>
      </c>
      <c r="F824" s="122"/>
      <c r="G824" s="124">
        <f t="shared" si="130"/>
        <v>0</v>
      </c>
      <c r="H824" s="126" t="str">
        <f t="array" ref="H824">INDEX('Panduan Gaji'!$Q:$Q,MATCH(D824,'Panduan Gaji'!$C:$C,0))</f>
        <v>KG</v>
      </c>
      <c r="I824" s="128" t="s">
        <v>138</v>
      </c>
      <c r="J824" s="308">
        <v>0.4090277777777778</v>
      </c>
      <c r="K824" s="308">
        <v>0.9166666666666666</v>
      </c>
      <c r="L824" s="119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 ht="13.5" hidden="1" customHeight="1">
      <c r="A825" s="116">
        <f t="shared" si="125"/>
        <v>21</v>
      </c>
      <c r="B825" s="118">
        <v>46257.0</v>
      </c>
      <c r="C825" s="119"/>
      <c r="D825" s="120" t="str">
        <f t="shared" si="126"/>
        <v>Irvan</v>
      </c>
      <c r="E825" s="121">
        <f>SUMIFS(SSOD!$C:$C,SSOD!$B:$B,Hitungan!D825,SSOD!$A:$A,Hitungan!C825)</f>
        <v>0</v>
      </c>
      <c r="F825" s="122"/>
      <c r="G825" s="124">
        <f t="shared" si="130"/>
        <v>0</v>
      </c>
      <c r="H825" s="126" t="str">
        <f t="array" ref="H825">INDEX('Panduan Gaji'!$Q:$Q,MATCH(D825,'Panduan Gaji'!$C:$C,0))</f>
        <v>KG</v>
      </c>
      <c r="I825" s="128" t="s">
        <v>138</v>
      </c>
      <c r="J825" s="308">
        <v>0.4069444444444444</v>
      </c>
      <c r="K825" s="308">
        <v>0.9166666666666666</v>
      </c>
      <c r="L825" s="119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 ht="15.75" hidden="1" customHeight="1">
      <c r="A826" s="116">
        <f t="shared" si="125"/>
        <v>21</v>
      </c>
      <c r="B826" s="118">
        <v>46258.0</v>
      </c>
      <c r="C826" s="119"/>
      <c r="D826" s="120" t="str">
        <f t="shared" si="126"/>
        <v>Irvan</v>
      </c>
      <c r="E826" s="121">
        <f>SUMIFS(SSOD!$C:$C,SSOD!$B:$B,Hitungan!D826,SSOD!$A:$A,Hitungan!C826)</f>
        <v>0</v>
      </c>
      <c r="F826" s="122"/>
      <c r="G826" s="124">
        <f t="shared" si="130"/>
        <v>0</v>
      </c>
      <c r="H826" s="220" t="str">
        <f t="array" ref="H826">INDEX('Panduan Gaji'!$Q:$Q,MATCH(D826,'Panduan Gaji'!$C:$C,0))</f>
        <v>KG</v>
      </c>
      <c r="I826" s="128" t="s">
        <v>138</v>
      </c>
      <c r="J826" s="308">
        <v>0.4055555555555556</v>
      </c>
      <c r="K826" s="308"/>
      <c r="L826" s="119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 ht="15.75" hidden="1" customHeight="1">
      <c r="A827" s="222"/>
      <c r="B827" s="223"/>
      <c r="C827" s="224"/>
      <c r="D827" s="225"/>
      <c r="E827" s="226"/>
      <c r="F827" s="227"/>
      <c r="G827" s="228"/>
      <c r="H827" s="229"/>
      <c r="I827" s="22"/>
      <c r="J827" s="230"/>
      <c r="K827" s="230"/>
      <c r="L827" s="224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 ht="13.5" hidden="1" customHeight="1">
      <c r="A828" s="26">
        <v>22.0</v>
      </c>
      <c r="B828" s="28"/>
      <c r="C828" s="30" t="s">
        <v>6</v>
      </c>
      <c r="D828" s="33" t="s">
        <v>91</v>
      </c>
      <c r="E828" s="42">
        <f>SUMIFS(SSOD!$C:$C,SSOD!$B:$B,Hitungan!D828,SSOD!$A:$A,Hitungan!C828)</f>
        <v>1800000</v>
      </c>
      <c r="F828" s="44">
        <v>1.0</v>
      </c>
      <c r="G828" s="47">
        <f t="shared" ref="G828:G831" si="131">E828*F828</f>
        <v>1800000</v>
      </c>
      <c r="H828" s="51" t="str">
        <f t="array" ref="H828">INDEX('Panduan Gaji'!$Q:$Q,MATCH(D828,'Panduan Gaji'!$C:$C,0))</f>
        <v>KG</v>
      </c>
      <c r="I828" s="53"/>
      <c r="J828" s="54"/>
      <c r="K828" s="54"/>
      <c r="L828" s="55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 ht="13.5" hidden="1" customHeight="1">
      <c r="A829" s="26">
        <f t="shared" ref="A829:A867" si="132">A828</f>
        <v>22</v>
      </c>
      <c r="B829" s="28"/>
      <c r="C829" s="30" t="s">
        <v>17</v>
      </c>
      <c r="D829" s="33" t="str">
        <f t="shared" ref="D829:D867" si="133">D828</f>
        <v>Rizky</v>
      </c>
      <c r="E829" s="42">
        <f>SUMIFS(SSOD!$C:$C,SSOD!$B:$B,Hitungan!D829,SSOD!$A:$A,Hitungan!C829)</f>
        <v>0</v>
      </c>
      <c r="F829" s="44"/>
      <c r="G829" s="47">
        <f t="shared" si="131"/>
        <v>0</v>
      </c>
      <c r="H829" s="51" t="str">
        <f t="array" ref="H829">INDEX('Panduan Gaji'!$Q:$Q,MATCH(D829,'Panduan Gaji'!$C:$C,0))</f>
        <v>KG</v>
      </c>
      <c r="I829" s="53"/>
      <c r="J829" s="54"/>
      <c r="K829" s="54"/>
      <c r="L829" s="55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 ht="13.5" hidden="1" customHeight="1">
      <c r="A830" s="26">
        <f t="shared" si="132"/>
        <v>22</v>
      </c>
      <c r="B830" s="28"/>
      <c r="C830" s="30" t="s">
        <v>7</v>
      </c>
      <c r="D830" s="33" t="str">
        <f t="shared" si="133"/>
        <v>Rizky</v>
      </c>
      <c r="E830" s="42">
        <f>SUMIFS(SSOD!$C:$C,SSOD!$B:$B,Hitungan!D830,SSOD!$A:$A,Hitungan!C830)</f>
        <v>21000</v>
      </c>
      <c r="F830" s="44">
        <f t="shared" ref="F830:F831" si="134">SUMPRODUCT(--((($J$838:$J$867&lt;&gt;"")+($K$838:$K$867&lt;&gt;""))&gt;0))</f>
        <v>15</v>
      </c>
      <c r="G830" s="47">
        <f t="shared" si="131"/>
        <v>315000</v>
      </c>
      <c r="H830" s="51" t="str">
        <f t="array" ref="H830">INDEX('Panduan Gaji'!$Q:$Q,MATCH(D830,'Panduan Gaji'!$C:$C,0))</f>
        <v>KG</v>
      </c>
      <c r="I830" s="53"/>
      <c r="J830" s="88"/>
      <c r="K830" s="88"/>
      <c r="L830" s="55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 ht="13.5" hidden="1" customHeight="1">
      <c r="A831" s="26">
        <f t="shared" si="132"/>
        <v>22</v>
      </c>
      <c r="B831" s="28"/>
      <c r="C831" s="30" t="s">
        <v>9</v>
      </c>
      <c r="D831" s="33" t="str">
        <f t="shared" si="133"/>
        <v>Rizky</v>
      </c>
      <c r="E831" s="42">
        <f>SUMIFS(SSOD!$C:$C,SSOD!$B:$B,Hitungan!D831,SSOD!$A:$A,Hitungan!C831)</f>
        <v>46000</v>
      </c>
      <c r="F831" s="44">
        <f t="shared" si="134"/>
        <v>15</v>
      </c>
      <c r="G831" s="47">
        <f t="shared" si="131"/>
        <v>690000</v>
      </c>
      <c r="H831" s="51" t="str">
        <f t="array" ref="H831">INDEX('Panduan Gaji'!$Q:$Q,MATCH(D831,'Panduan Gaji'!$C:$C,0))</f>
        <v>KG</v>
      </c>
      <c r="I831" s="53"/>
      <c r="J831" s="88"/>
      <c r="K831" s="88"/>
      <c r="L831" s="9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 ht="15.75" hidden="1" customHeight="1">
      <c r="A832" s="26">
        <f t="shared" si="132"/>
        <v>22</v>
      </c>
      <c r="B832" s="28"/>
      <c r="C832" s="30" t="s">
        <v>39</v>
      </c>
      <c r="D832" s="33" t="str">
        <f t="shared" si="133"/>
        <v>Rizky</v>
      </c>
      <c r="E832" s="42">
        <v>259727.0</v>
      </c>
      <c r="F832" s="44">
        <v>1.0</v>
      </c>
      <c r="G832" s="47">
        <f>F832*E832</f>
        <v>259727</v>
      </c>
      <c r="H832" s="51" t="str">
        <f t="array" ref="H832">INDEX('Panduan Gaji'!$Q:$Q,MATCH(D832,'Panduan Gaji'!$C:$C,0))</f>
        <v>KG</v>
      </c>
      <c r="I832" s="53"/>
      <c r="J832" s="88"/>
      <c r="K832" s="88"/>
      <c r="L832" s="9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 ht="15.75" hidden="1" customHeight="1">
      <c r="A833" s="26">
        <f t="shared" si="132"/>
        <v>22</v>
      </c>
      <c r="B833" s="28"/>
      <c r="C833" s="30" t="s">
        <v>12</v>
      </c>
      <c r="D833" s="33" t="str">
        <f t="shared" si="133"/>
        <v>Rizky</v>
      </c>
      <c r="E833" s="42">
        <f>SUMIFS(SSOD!$C:$C,SSOD!$B:$B,Hitungan!D833,SSOD!$A:$A,Hitungan!C833)</f>
        <v>15333.33333</v>
      </c>
      <c r="F833" s="44">
        <f>SUMIF($C$838:$C$867,C833,$F$838:$F$867)</f>
        <v>0</v>
      </c>
      <c r="G833" s="47">
        <f t="shared" ref="G833:G834" si="135">E833*F833</f>
        <v>0</v>
      </c>
      <c r="H833" s="51" t="str">
        <f t="array" ref="H833">INDEX('Panduan Gaji'!$Q:$Q,MATCH(D833,'Panduan Gaji'!$C:$C,0))</f>
        <v>KG</v>
      </c>
      <c r="I833" s="53"/>
      <c r="J833" s="88"/>
      <c r="K833" s="88"/>
      <c r="L833" s="100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 ht="15.75" hidden="1" customHeight="1">
      <c r="A834" s="26">
        <f t="shared" si="132"/>
        <v>22</v>
      </c>
      <c r="B834" s="28"/>
      <c r="C834" s="102" t="s">
        <v>30</v>
      </c>
      <c r="D834" s="33" t="str">
        <f t="shared" si="133"/>
        <v>Rizky</v>
      </c>
      <c r="E834" s="42">
        <f>SUMIFS(SSOD!$C:$C,SSOD!$B:$B,Hitungan!D834,SSOD!$A:$A,Hitungan!C834)</f>
        <v>15333.33333</v>
      </c>
      <c r="F834" s="44">
        <f t="shared" ref="F834:F835" si="136">COUNTIF($C$838:$C$867,C834)</f>
        <v>2</v>
      </c>
      <c r="G834" s="47">
        <f t="shared" si="135"/>
        <v>30666.66667</v>
      </c>
      <c r="H834" s="51" t="str">
        <f t="array" ref="H834">INDEX('Panduan Gaji'!$Q:$Q,MATCH(D834,'Panduan Gaji'!$C:$C,0))</f>
        <v>KG</v>
      </c>
      <c r="I834" s="53"/>
      <c r="J834" s="105"/>
      <c r="K834" s="105"/>
      <c r="L834" s="10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 ht="15.75" hidden="1" customHeight="1">
      <c r="A835" s="26">
        <f t="shared" si="132"/>
        <v>22</v>
      </c>
      <c r="B835" s="28"/>
      <c r="C835" s="30" t="s">
        <v>33</v>
      </c>
      <c r="D835" s="33" t="str">
        <f t="shared" si="133"/>
        <v>Rizky</v>
      </c>
      <c r="E835" s="42"/>
      <c r="F835" s="44">
        <f t="shared" si="136"/>
        <v>0</v>
      </c>
      <c r="G835" s="47">
        <f>SUMIF($C$838:$C$867,C835,$E$838:$E$867)</f>
        <v>0</v>
      </c>
      <c r="H835" s="51" t="str">
        <f t="array" ref="H835">INDEX('Panduan Gaji'!$Q:$Q,MATCH(D835,'Panduan Gaji'!$C:$C,0))</f>
        <v>KG</v>
      </c>
      <c r="I835" s="53"/>
      <c r="J835" s="105"/>
      <c r="K835" s="105"/>
      <c r="L835" s="10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 ht="15.75" hidden="1" customHeight="1">
      <c r="A836" s="26">
        <f t="shared" si="132"/>
        <v>22</v>
      </c>
      <c r="B836" s="28"/>
      <c r="C836" s="30" t="s">
        <v>83</v>
      </c>
      <c r="D836" s="33" t="str">
        <f t="shared" si="133"/>
        <v>Rizky</v>
      </c>
      <c r="E836" s="42"/>
      <c r="F836" s="44"/>
      <c r="G836" s="47"/>
      <c r="H836" s="51" t="str">
        <f t="array" ref="H836">INDEX('Panduan Gaji'!$Q:$Q,MATCH(D836,'Panduan Gaji'!$C:$C,0))</f>
        <v>KG</v>
      </c>
      <c r="I836" s="53"/>
      <c r="J836" s="105"/>
      <c r="K836" s="105"/>
      <c r="L836" s="10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 ht="13.5" hidden="1" customHeight="1">
      <c r="A837" s="26">
        <f t="shared" si="132"/>
        <v>22</v>
      </c>
      <c r="B837" s="28"/>
      <c r="C837" s="30" t="s">
        <v>85</v>
      </c>
      <c r="D837" s="33" t="str">
        <f t="shared" si="133"/>
        <v>Rizky</v>
      </c>
      <c r="E837" s="42"/>
      <c r="F837" s="44"/>
      <c r="G837" s="47"/>
      <c r="H837" s="51" t="str">
        <f t="array" ref="H837">INDEX('Panduan Gaji'!$Q:$Q,MATCH(D837,'Panduan Gaji'!$C:$C,0))</f>
        <v>KG</v>
      </c>
      <c r="I837" s="53"/>
      <c r="J837" s="105"/>
      <c r="K837" s="105"/>
      <c r="L837" s="106"/>
      <c r="M837" s="56"/>
      <c r="N837" s="56"/>
      <c r="O837" s="22"/>
      <c r="P837" s="56"/>
      <c r="Q837" s="56"/>
      <c r="R837" s="56"/>
      <c r="S837" s="56"/>
      <c r="T837" s="56"/>
      <c r="U837" s="56"/>
      <c r="V837" s="56"/>
      <c r="W837" s="56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 ht="13.5" hidden="1" customHeight="1">
      <c r="A838" s="116">
        <f t="shared" si="132"/>
        <v>22</v>
      </c>
      <c r="B838" s="118">
        <v>46229.0</v>
      </c>
      <c r="C838" s="119"/>
      <c r="D838" s="120" t="str">
        <f t="shared" si="133"/>
        <v>Rizky</v>
      </c>
      <c r="E838" s="121">
        <f>SUMIFS(SSOD!$C:$C,SSOD!$B:$B,Hitungan!D838,SSOD!$A:$A,Hitungan!C838)</f>
        <v>0</v>
      </c>
      <c r="F838" s="122"/>
      <c r="G838" s="124">
        <f t="shared" ref="G838:G867" si="137">E838*F838</f>
        <v>0</v>
      </c>
      <c r="H838" s="126" t="str">
        <f t="array" ref="H838">INDEX('Panduan Gaji'!$Q:$Q,MATCH(D838,'Panduan Gaji'!$C:$C,0))</f>
        <v>KG</v>
      </c>
      <c r="I838" s="128" t="s">
        <v>138</v>
      </c>
      <c r="J838" s="308">
        <v>0.4201388888888889</v>
      </c>
      <c r="K838" s="308">
        <v>0.9166666666666666</v>
      </c>
      <c r="L838" s="130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 ht="13.5" hidden="1" customHeight="1">
      <c r="A839" s="116">
        <f t="shared" si="132"/>
        <v>22</v>
      </c>
      <c r="B839" s="118">
        <v>46230.0</v>
      </c>
      <c r="C839" s="119"/>
      <c r="D839" s="120" t="str">
        <f t="shared" si="133"/>
        <v>Rizky</v>
      </c>
      <c r="E839" s="121">
        <f>SUMIFS(SSOD!$C:$C,SSOD!$B:$B,Hitungan!D839,SSOD!$A:$A,Hitungan!C839)</f>
        <v>0</v>
      </c>
      <c r="F839" s="122"/>
      <c r="G839" s="124">
        <f t="shared" si="137"/>
        <v>0</v>
      </c>
      <c r="H839" s="126" t="str">
        <f t="array" ref="H839">INDEX('Panduan Gaji'!$Q:$Q,MATCH(D839,'Panduan Gaji'!$C:$C,0))</f>
        <v>KG</v>
      </c>
      <c r="I839" s="128" t="s">
        <v>138</v>
      </c>
      <c r="J839" s="308">
        <v>0.4118055555555555</v>
      </c>
      <c r="K839" s="308">
        <v>0.9166666666666666</v>
      </c>
      <c r="L839" s="138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 ht="13.5" hidden="1" customHeight="1">
      <c r="A840" s="116">
        <f t="shared" si="132"/>
        <v>22</v>
      </c>
      <c r="B840" s="118">
        <v>46231.0</v>
      </c>
      <c r="C840" s="119"/>
      <c r="D840" s="120" t="str">
        <f t="shared" si="133"/>
        <v>Rizky</v>
      </c>
      <c r="E840" s="121">
        <f>SUMIFS(SSOD!$C:$C,SSOD!$B:$B,Hitungan!D840,SSOD!$A:$A,Hitungan!C840)</f>
        <v>0</v>
      </c>
      <c r="F840" s="122"/>
      <c r="G840" s="124">
        <f t="shared" si="137"/>
        <v>0</v>
      </c>
      <c r="H840" s="126" t="str">
        <f t="array" ref="H840">INDEX('Panduan Gaji'!$Q:$Q,MATCH(D840,'Panduan Gaji'!$C:$C,0))</f>
        <v>KG</v>
      </c>
      <c r="I840" s="128" t="s">
        <v>138</v>
      </c>
      <c r="J840" s="308"/>
      <c r="K840" s="308"/>
      <c r="L840" s="145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 ht="13.5" hidden="1" customHeight="1">
      <c r="A841" s="116">
        <f t="shared" si="132"/>
        <v>22</v>
      </c>
      <c r="B841" s="118">
        <v>46232.0</v>
      </c>
      <c r="C841" s="146"/>
      <c r="D841" s="120" t="str">
        <f t="shared" si="133"/>
        <v>Rizky</v>
      </c>
      <c r="E841" s="147">
        <f>SUMIFS(SSOD!$C:$C,SSOD!$B:$B,Hitungan!D841,SSOD!$A:$A,Hitungan!C841)</f>
        <v>0</v>
      </c>
      <c r="F841" s="148"/>
      <c r="G841" s="124">
        <f t="shared" si="137"/>
        <v>0</v>
      </c>
      <c r="H841" s="126" t="str">
        <f t="array" ref="H841">INDEX('Panduan Gaji'!$Q:$Q,MATCH(D841,'Panduan Gaji'!$C:$C,0))</f>
        <v>KG</v>
      </c>
      <c r="I841" s="128" t="s">
        <v>138</v>
      </c>
      <c r="J841" s="308"/>
      <c r="K841" s="308"/>
      <c r="L841" s="153"/>
      <c r="M841" s="16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 ht="13.5" hidden="1" customHeight="1">
      <c r="A842" s="116">
        <f t="shared" si="132"/>
        <v>22</v>
      </c>
      <c r="B842" s="118">
        <v>46233.0</v>
      </c>
      <c r="C842" s="119"/>
      <c r="D842" s="120" t="str">
        <f t="shared" si="133"/>
        <v>Rizky</v>
      </c>
      <c r="E842" s="121">
        <f>SUMIFS(SSOD!$C:$C,SSOD!$B:$B,Hitungan!D842,SSOD!$A:$A,Hitungan!C842)</f>
        <v>0</v>
      </c>
      <c r="F842" s="122"/>
      <c r="G842" s="124">
        <f t="shared" si="137"/>
        <v>0</v>
      </c>
      <c r="H842" s="126" t="str">
        <f t="array" ref="H842">INDEX('Panduan Gaji'!$Q:$Q,MATCH(D842,'Panduan Gaji'!$C:$C,0))</f>
        <v>KG</v>
      </c>
      <c r="I842" s="128" t="s">
        <v>138</v>
      </c>
      <c r="J842" s="308">
        <v>0.4118055555555555</v>
      </c>
      <c r="K842" s="308">
        <v>0.9166666666666666</v>
      </c>
      <c r="L842" s="164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 ht="13.5" hidden="1" customHeight="1">
      <c r="A843" s="116">
        <f t="shared" si="132"/>
        <v>22</v>
      </c>
      <c r="B843" s="118">
        <v>46234.0</v>
      </c>
      <c r="C843" s="119"/>
      <c r="D843" s="120" t="str">
        <f t="shared" si="133"/>
        <v>Rizky</v>
      </c>
      <c r="E843" s="121">
        <f>SUMIFS(SSOD!$C:$C,SSOD!$B:$B,Hitungan!D843,SSOD!$A:$A,Hitungan!C843)</f>
        <v>0</v>
      </c>
      <c r="F843" s="122"/>
      <c r="G843" s="124">
        <f t="shared" si="137"/>
        <v>0</v>
      </c>
      <c r="H843" s="126" t="str">
        <f t="array" ref="H843">INDEX('Panduan Gaji'!$Q:$Q,MATCH(D843,'Panduan Gaji'!$C:$C,0))</f>
        <v>KG</v>
      </c>
      <c r="I843" s="128" t="s">
        <v>138</v>
      </c>
      <c r="J843" s="308">
        <v>0.4145833333333334</v>
      </c>
      <c r="K843" s="308">
        <v>0.9166666666666666</v>
      </c>
      <c r="L843" s="130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 ht="13.5" hidden="1" customHeight="1">
      <c r="A844" s="116">
        <f t="shared" si="132"/>
        <v>22</v>
      </c>
      <c r="B844" s="118">
        <v>46235.0</v>
      </c>
      <c r="C844" s="119"/>
      <c r="D844" s="120" t="str">
        <f t="shared" si="133"/>
        <v>Rizky</v>
      </c>
      <c r="E844" s="121">
        <f>SUMIFS(SSOD!$C:$C,SSOD!$B:$B,Hitungan!D844,SSOD!$A:$A,Hitungan!C844)</f>
        <v>0</v>
      </c>
      <c r="F844" s="122"/>
      <c r="G844" s="124">
        <f t="shared" si="137"/>
        <v>0</v>
      </c>
      <c r="H844" s="126" t="str">
        <f t="array" ref="H844">INDEX('Panduan Gaji'!$Q:$Q,MATCH(D844,'Panduan Gaji'!$C:$C,0))</f>
        <v>KG</v>
      </c>
      <c r="I844" s="128" t="s">
        <v>138</v>
      </c>
      <c r="J844" s="309">
        <v>0.4131944444444444</v>
      </c>
      <c r="K844" s="308">
        <v>0.9166666666666666</v>
      </c>
      <c r="L844" s="145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 ht="13.5" hidden="1" customHeight="1">
      <c r="A845" s="116">
        <f t="shared" si="132"/>
        <v>22</v>
      </c>
      <c r="B845" s="118">
        <v>46236.0</v>
      </c>
      <c r="C845" s="119"/>
      <c r="D845" s="120" t="str">
        <f t="shared" si="133"/>
        <v>Rizky</v>
      </c>
      <c r="E845" s="121">
        <v>0.0</v>
      </c>
      <c r="F845" s="122"/>
      <c r="G845" s="124">
        <f t="shared" si="137"/>
        <v>0</v>
      </c>
      <c r="H845" s="126" t="str">
        <f t="array" ref="H845">INDEX('Panduan Gaji'!$Q:$Q,MATCH(D845,'Panduan Gaji'!$C:$C,0))</f>
        <v>KG</v>
      </c>
      <c r="I845" s="128" t="s">
        <v>138</v>
      </c>
      <c r="J845" s="309">
        <v>0.4152777777777778</v>
      </c>
      <c r="K845" s="308">
        <v>0.9166666666666666</v>
      </c>
      <c r="L845" s="145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 ht="13.5" hidden="1" customHeight="1">
      <c r="A846" s="116">
        <f t="shared" si="132"/>
        <v>22</v>
      </c>
      <c r="B846" s="118">
        <v>46237.0</v>
      </c>
      <c r="C846" s="119"/>
      <c r="D846" s="120" t="str">
        <f t="shared" si="133"/>
        <v>Rizky</v>
      </c>
      <c r="E846" s="121">
        <f>SUMIFS(SSOD!$C:$C,SSOD!$B:$B,Hitungan!D846,SSOD!$A:$A,Hitungan!C846)</f>
        <v>0</v>
      </c>
      <c r="F846" s="122"/>
      <c r="G846" s="124">
        <f t="shared" si="137"/>
        <v>0</v>
      </c>
      <c r="H846" s="126" t="str">
        <f t="array" ref="H846">INDEX('Panduan Gaji'!$Q:$Q,MATCH(D846,'Panduan Gaji'!$C:$C,0))</f>
        <v>KG</v>
      </c>
      <c r="I846" s="128" t="s">
        <v>138</v>
      </c>
      <c r="J846" s="309">
        <v>0.4111111111111111</v>
      </c>
      <c r="K846" s="308">
        <v>0.9166666666666666</v>
      </c>
      <c r="L846" s="145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 ht="13.5" hidden="1" customHeight="1">
      <c r="A847" s="116">
        <f t="shared" si="132"/>
        <v>22</v>
      </c>
      <c r="B847" s="118">
        <v>46238.0</v>
      </c>
      <c r="C847" s="181"/>
      <c r="D847" s="120" t="str">
        <f t="shared" si="133"/>
        <v>Rizky</v>
      </c>
      <c r="E847" s="121">
        <f>SUMIFS(SSOD!$C:$C,SSOD!$B:$B,Hitungan!D847,SSOD!$A:$A,Hitungan!C847)</f>
        <v>0</v>
      </c>
      <c r="F847" s="182"/>
      <c r="G847" s="52">
        <f t="shared" si="137"/>
        <v>0</v>
      </c>
      <c r="H847" s="126" t="str">
        <f t="array" ref="H847">INDEX('Panduan Gaji'!$Q:$Q,MATCH(D847,'Panduan Gaji'!$C:$C,0))</f>
        <v>KG</v>
      </c>
      <c r="I847" s="128" t="s">
        <v>138</v>
      </c>
      <c r="J847" s="309">
        <v>0.4138888888888889</v>
      </c>
      <c r="K847" s="308">
        <v>0.9166666666666666</v>
      </c>
      <c r="L847" s="119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 ht="13.5" hidden="1" customHeight="1">
      <c r="A848" s="116">
        <f t="shared" si="132"/>
        <v>22</v>
      </c>
      <c r="B848" s="118">
        <v>46239.0</v>
      </c>
      <c r="C848" s="119"/>
      <c r="D848" s="120" t="str">
        <f t="shared" si="133"/>
        <v>Rizky</v>
      </c>
      <c r="E848" s="121">
        <f>SUMIFS(SSOD!$C:$C,SSOD!$B:$B,Hitungan!D848,SSOD!$A:$A,Hitungan!C848)</f>
        <v>0</v>
      </c>
      <c r="F848" s="122"/>
      <c r="G848" s="124">
        <f t="shared" si="137"/>
        <v>0</v>
      </c>
      <c r="H848" s="126" t="str">
        <f t="array" ref="H848">INDEX('Panduan Gaji'!$Q:$Q,MATCH(D848,'Panduan Gaji'!$C:$C,0))</f>
        <v>KG</v>
      </c>
      <c r="I848" s="128" t="s">
        <v>138</v>
      </c>
      <c r="J848" s="309"/>
      <c r="K848" s="308"/>
      <c r="L848" s="145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 ht="13.5" hidden="1" customHeight="1">
      <c r="A849" s="116">
        <f t="shared" si="132"/>
        <v>22</v>
      </c>
      <c r="B849" s="118">
        <v>46240.0</v>
      </c>
      <c r="C849" s="119"/>
      <c r="D849" s="120" t="str">
        <f t="shared" si="133"/>
        <v>Rizky</v>
      </c>
      <c r="E849" s="121">
        <f>SUMIFS(SSOD!$C:$C,SSOD!$B:$B,Hitungan!D849,SSOD!$A:$A,Hitungan!C849)</f>
        <v>0</v>
      </c>
      <c r="F849" s="122"/>
      <c r="G849" s="124">
        <f t="shared" si="137"/>
        <v>0</v>
      </c>
      <c r="H849" s="126" t="str">
        <f t="array" ref="H849">INDEX('Panduan Gaji'!$Q:$Q,MATCH(D849,'Panduan Gaji'!$C:$C,0))</f>
        <v>KG</v>
      </c>
      <c r="I849" s="128" t="s">
        <v>138</v>
      </c>
      <c r="J849" s="308"/>
      <c r="K849" s="308"/>
      <c r="L849" s="145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 ht="13.5" hidden="1" customHeight="1">
      <c r="A850" s="116">
        <f t="shared" si="132"/>
        <v>22</v>
      </c>
      <c r="B850" s="118">
        <v>46241.0</v>
      </c>
      <c r="C850" s="119"/>
      <c r="D850" s="120" t="str">
        <f t="shared" si="133"/>
        <v>Rizky</v>
      </c>
      <c r="E850" s="121">
        <f>SUMIFS(SSOD!$C:$C,SSOD!$B:$B,Hitungan!D850,SSOD!$A:$A,Hitungan!C850)</f>
        <v>0</v>
      </c>
      <c r="F850" s="122"/>
      <c r="G850" s="124">
        <f t="shared" si="137"/>
        <v>0</v>
      </c>
      <c r="H850" s="126" t="str">
        <f t="array" ref="H850">INDEX('Panduan Gaji'!$Q:$Q,MATCH(D850,'Panduan Gaji'!$C:$C,0))</f>
        <v>KG</v>
      </c>
      <c r="I850" s="128" t="s">
        <v>138</v>
      </c>
      <c r="J850" s="308">
        <v>0.4104166666666667</v>
      </c>
      <c r="K850" s="310">
        <v>0.9166666666666666</v>
      </c>
      <c r="L850" s="119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 ht="13.5" hidden="1" customHeight="1">
      <c r="A851" s="116">
        <f t="shared" si="132"/>
        <v>22</v>
      </c>
      <c r="B851" s="118">
        <v>46242.0</v>
      </c>
      <c r="C851" s="119"/>
      <c r="D851" s="120" t="str">
        <f t="shared" si="133"/>
        <v>Rizky</v>
      </c>
      <c r="E851" s="121">
        <f>SUMIFS(SSOD!$C:$C,SSOD!$B:$B,Hitungan!D851,SSOD!$A:$A,Hitungan!C851)</f>
        <v>0</v>
      </c>
      <c r="F851" s="122"/>
      <c r="G851" s="124">
        <f t="shared" si="137"/>
        <v>0</v>
      </c>
      <c r="H851" s="126" t="str">
        <f t="array" ref="H851">INDEX('Panduan Gaji'!$Q:$Q,MATCH(D851,'Panduan Gaji'!$C:$C,0))</f>
        <v>KG</v>
      </c>
      <c r="I851" s="128" t="s">
        <v>138</v>
      </c>
      <c r="J851" s="309">
        <v>0.4173611111111111</v>
      </c>
      <c r="K851" s="309">
        <v>0.9166666666666666</v>
      </c>
      <c r="L851" s="187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 ht="13.5" hidden="1" customHeight="1">
      <c r="A852" s="116">
        <f t="shared" si="132"/>
        <v>22</v>
      </c>
      <c r="B852" s="118">
        <v>46243.0</v>
      </c>
      <c r="C852" s="119"/>
      <c r="D852" s="120" t="str">
        <f t="shared" si="133"/>
        <v>Rizky</v>
      </c>
      <c r="E852" s="121">
        <f>SUMIFS(SSOD!$C:$C,SSOD!$B:$B,Hitungan!D852,SSOD!$A:$A,Hitungan!C852)</f>
        <v>0</v>
      </c>
      <c r="F852" s="122"/>
      <c r="G852" s="124">
        <f t="shared" si="137"/>
        <v>0</v>
      </c>
      <c r="H852" s="126" t="str">
        <f t="array" ref="H852">INDEX('Panduan Gaji'!$Q:$Q,MATCH(D852,'Panduan Gaji'!$C:$C,0))</f>
        <v>KG</v>
      </c>
      <c r="I852" s="128" t="s">
        <v>138</v>
      </c>
      <c r="J852" s="309">
        <v>0.4138888888888889</v>
      </c>
      <c r="K852" s="309">
        <v>0.9166666666666666</v>
      </c>
      <c r="L852" s="187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 ht="13.5" hidden="1" customHeight="1">
      <c r="A853" s="116">
        <f t="shared" si="132"/>
        <v>22</v>
      </c>
      <c r="B853" s="118">
        <v>46244.0</v>
      </c>
      <c r="C853" s="119"/>
      <c r="D853" s="120" t="str">
        <f t="shared" si="133"/>
        <v>Rizky</v>
      </c>
      <c r="E853" s="121">
        <f>SUMIFS(SSOD!$C:$C,SSOD!$B:$B,Hitungan!D853,SSOD!$A:$A,Hitungan!C853)</f>
        <v>0</v>
      </c>
      <c r="F853" s="122"/>
      <c r="G853" s="124">
        <f t="shared" si="137"/>
        <v>0</v>
      </c>
      <c r="H853" s="126" t="str">
        <f t="array" ref="H853">INDEX('Panduan Gaji'!$Q:$Q,MATCH(D853,'Panduan Gaji'!$C:$C,0))</f>
        <v>KG</v>
      </c>
      <c r="I853" s="128" t="s">
        <v>138</v>
      </c>
      <c r="J853" s="309"/>
      <c r="K853" s="309"/>
      <c r="L853" s="187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 ht="13.5" hidden="1" customHeight="1">
      <c r="A854" s="116">
        <f t="shared" si="132"/>
        <v>22</v>
      </c>
      <c r="B854" s="118">
        <v>46245.0</v>
      </c>
      <c r="C854" s="119"/>
      <c r="D854" s="120" t="str">
        <f t="shared" si="133"/>
        <v>Rizky</v>
      </c>
      <c r="E854" s="121">
        <f>SUMIFS(SSOD!$C:$C,SSOD!$B:$B,Hitungan!D854,SSOD!$A:$A,Hitungan!C854)</f>
        <v>0</v>
      </c>
      <c r="F854" s="122"/>
      <c r="G854" s="124">
        <f t="shared" si="137"/>
        <v>0</v>
      </c>
      <c r="H854" s="126" t="str">
        <f t="array" ref="H854">INDEX('Panduan Gaji'!$Q:$Q,MATCH(D854,'Panduan Gaji'!$C:$C,0))</f>
        <v>KG</v>
      </c>
      <c r="I854" s="128" t="s">
        <v>138</v>
      </c>
      <c r="J854" s="308"/>
      <c r="K854" s="308"/>
      <c r="L854" s="145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 ht="13.5" hidden="1" customHeight="1">
      <c r="A855" s="116">
        <f t="shared" si="132"/>
        <v>22</v>
      </c>
      <c r="B855" s="118">
        <v>46246.0</v>
      </c>
      <c r="C855" s="119" t="s">
        <v>30</v>
      </c>
      <c r="D855" s="120" t="str">
        <f t="shared" si="133"/>
        <v>Rizky</v>
      </c>
      <c r="E855" s="121">
        <f>SUMIFS(SSOD!$C:$C,SSOD!$B:$B,Hitungan!D855,SSOD!$A:$A,Hitungan!C855)</f>
        <v>15333.33333</v>
      </c>
      <c r="F855" s="122">
        <v>1.0</v>
      </c>
      <c r="G855" s="124">
        <f t="shared" si="137"/>
        <v>15333.33333</v>
      </c>
      <c r="H855" s="126" t="str">
        <f t="array" ref="H855">INDEX('Panduan Gaji'!$Q:$Q,MATCH(D855,'Panduan Gaji'!$C:$C,0))</f>
        <v>KG</v>
      </c>
      <c r="I855" s="128" t="s">
        <v>138</v>
      </c>
      <c r="J855" s="312">
        <v>0.4236111111111111</v>
      </c>
      <c r="K855" s="308">
        <v>0.9173611111111111</v>
      </c>
      <c r="L855" s="145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 ht="13.5" hidden="1" customHeight="1">
      <c r="A856" s="116">
        <f t="shared" si="132"/>
        <v>22</v>
      </c>
      <c r="B856" s="118">
        <v>46247.0</v>
      </c>
      <c r="C856" s="119"/>
      <c r="D856" s="120" t="str">
        <f t="shared" si="133"/>
        <v>Rizky</v>
      </c>
      <c r="E856" s="121">
        <f>SUMIFS(SSOD!$C:$C,SSOD!$B:$B,Hitungan!D856,SSOD!$A:$A,Hitungan!C856)</f>
        <v>0</v>
      </c>
      <c r="F856" s="122"/>
      <c r="G856" s="124">
        <f t="shared" si="137"/>
        <v>0</v>
      </c>
      <c r="H856" s="126" t="str">
        <f t="array" ref="H856">INDEX('Panduan Gaji'!$Q:$Q,MATCH(D856,'Panduan Gaji'!$C:$C,0))</f>
        <v>KG</v>
      </c>
      <c r="I856" s="128" t="s">
        <v>138</v>
      </c>
      <c r="J856" s="308"/>
      <c r="K856" s="308"/>
      <c r="L856" s="145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 ht="13.5" hidden="1" customHeight="1">
      <c r="A857" s="116">
        <f t="shared" si="132"/>
        <v>22</v>
      </c>
      <c r="B857" s="118">
        <v>46248.0</v>
      </c>
      <c r="C857" s="119"/>
      <c r="D857" s="120" t="str">
        <f t="shared" si="133"/>
        <v>Rizky</v>
      </c>
      <c r="E857" s="121">
        <f>SUMIFS(SSOD!$C:$C,SSOD!$B:$B,Hitungan!D857,SSOD!$A:$A,Hitungan!C857)</f>
        <v>0</v>
      </c>
      <c r="F857" s="122"/>
      <c r="G857" s="124">
        <f t="shared" si="137"/>
        <v>0</v>
      </c>
      <c r="H857" s="126" t="str">
        <f t="array" ref="H857">INDEX('Panduan Gaji'!$Q:$Q,MATCH(D857,'Panduan Gaji'!$C:$C,0))</f>
        <v>KG</v>
      </c>
      <c r="I857" s="128" t="s">
        <v>138</v>
      </c>
      <c r="J857" s="308">
        <v>0.4125</v>
      </c>
      <c r="K857" s="310">
        <v>0.9166666666666666</v>
      </c>
      <c r="L857" s="145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 ht="13.5" hidden="1" customHeight="1">
      <c r="A858" s="116">
        <f t="shared" si="132"/>
        <v>22</v>
      </c>
      <c r="B858" s="118">
        <v>46249.0</v>
      </c>
      <c r="C858" s="119"/>
      <c r="D858" s="120" t="str">
        <f t="shared" si="133"/>
        <v>Rizky</v>
      </c>
      <c r="E858" s="121">
        <f>SUMIFS(SSOD!$C:$C,SSOD!$B:$B,Hitungan!D858,SSOD!$A:$A,Hitungan!C858)</f>
        <v>0</v>
      </c>
      <c r="F858" s="122"/>
      <c r="G858" s="124">
        <f t="shared" si="137"/>
        <v>0</v>
      </c>
      <c r="H858" s="126" t="str">
        <f t="array" ref="H858">INDEX('Panduan Gaji'!$Q:$Q,MATCH(D858,'Panduan Gaji'!$C:$C,0))</f>
        <v>KG</v>
      </c>
      <c r="I858" s="128" t="s">
        <v>138</v>
      </c>
      <c r="J858" s="308">
        <v>0.4159722222222222</v>
      </c>
      <c r="K858" s="308">
        <v>0.9173611111111111</v>
      </c>
      <c r="L858" s="145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 ht="13.5" hidden="1" customHeight="1">
      <c r="A859" s="116">
        <f t="shared" si="132"/>
        <v>22</v>
      </c>
      <c r="B859" s="118">
        <v>46250.0</v>
      </c>
      <c r="C859" s="119" t="s">
        <v>30</v>
      </c>
      <c r="D859" s="120" t="str">
        <f t="shared" si="133"/>
        <v>Rizky</v>
      </c>
      <c r="E859" s="121">
        <f>SUMIFS(SSOD!$C:$C,SSOD!$B:$B,Hitungan!D859,SSOD!$A:$A,Hitungan!C859)</f>
        <v>15333.33333</v>
      </c>
      <c r="F859" s="122">
        <v>1.0</v>
      </c>
      <c r="G859" s="124">
        <f t="shared" si="137"/>
        <v>15333.33333</v>
      </c>
      <c r="H859" s="126" t="str">
        <f t="array" ref="H859">INDEX('Panduan Gaji'!$Q:$Q,MATCH(D859,'Panduan Gaji'!$C:$C,0))</f>
        <v>KG</v>
      </c>
      <c r="I859" s="128" t="s">
        <v>138</v>
      </c>
      <c r="J859" s="312">
        <v>0.425</v>
      </c>
      <c r="K859" s="308">
        <v>0.9166666666666666</v>
      </c>
      <c r="L859" s="145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 ht="13.5" hidden="1" customHeight="1">
      <c r="A860" s="116">
        <f t="shared" si="132"/>
        <v>22</v>
      </c>
      <c r="B860" s="118">
        <v>46251.0</v>
      </c>
      <c r="C860" s="119"/>
      <c r="D860" s="120" t="str">
        <f t="shared" si="133"/>
        <v>Rizky</v>
      </c>
      <c r="E860" s="121">
        <f>SUMIFS(SSOD!$C:$C,SSOD!$B:$B,Hitungan!D860,SSOD!$A:$A,Hitungan!C860)</f>
        <v>0</v>
      </c>
      <c r="F860" s="122"/>
      <c r="G860" s="124">
        <f t="shared" si="137"/>
        <v>0</v>
      </c>
      <c r="H860" s="126" t="str">
        <f t="array" ref="H860">INDEX('Panduan Gaji'!$Q:$Q,MATCH(D860,'Panduan Gaji'!$C:$C,0))</f>
        <v>KG</v>
      </c>
      <c r="I860" s="128" t="s">
        <v>138</v>
      </c>
      <c r="J860" s="308"/>
      <c r="K860" s="308"/>
      <c r="L860" s="119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 ht="13.5" hidden="1" customHeight="1">
      <c r="A861" s="116">
        <f t="shared" si="132"/>
        <v>22</v>
      </c>
      <c r="B861" s="118">
        <v>46252.0</v>
      </c>
      <c r="C861" s="119"/>
      <c r="D861" s="120" t="str">
        <f t="shared" si="133"/>
        <v>Rizky</v>
      </c>
      <c r="E861" s="121">
        <f>SUMIFS(SSOD!$C:$C,SSOD!$B:$B,Hitungan!D861,SSOD!$A:$A,Hitungan!C861)</f>
        <v>0</v>
      </c>
      <c r="F861" s="122"/>
      <c r="G861" s="124">
        <f t="shared" si="137"/>
        <v>0</v>
      </c>
      <c r="H861" s="126" t="str">
        <f t="array" ref="H861">INDEX('Panduan Gaji'!$Q:$Q,MATCH(D861,'Panduan Gaji'!$C:$C,0))</f>
        <v>KG</v>
      </c>
      <c r="I861" s="128" t="s">
        <v>138</v>
      </c>
      <c r="J861" s="308"/>
      <c r="K861" s="308"/>
      <c r="L861" s="119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 ht="13.5" hidden="1" customHeight="1">
      <c r="A862" s="116">
        <f t="shared" si="132"/>
        <v>22</v>
      </c>
      <c r="B862" s="118">
        <v>46253.0</v>
      </c>
      <c r="C862" s="119"/>
      <c r="D862" s="120" t="str">
        <f t="shared" si="133"/>
        <v>Rizky</v>
      </c>
      <c r="E862" s="121">
        <f>SUMIFS(SSOD!$C:$C,SSOD!$B:$B,Hitungan!D862,SSOD!$A:$A,Hitungan!C862)</f>
        <v>0</v>
      </c>
      <c r="F862" s="122"/>
      <c r="G862" s="124">
        <f t="shared" si="137"/>
        <v>0</v>
      </c>
      <c r="H862" s="126" t="str">
        <f t="array" ref="H862">INDEX('Panduan Gaji'!$Q:$Q,MATCH(D862,'Panduan Gaji'!$C:$C,0))</f>
        <v>KG</v>
      </c>
      <c r="I862" s="128" t="s">
        <v>138</v>
      </c>
      <c r="J862" s="308"/>
      <c r="K862" s="308"/>
      <c r="L862" s="119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 ht="13.5" hidden="1" customHeight="1">
      <c r="A863" s="116">
        <f t="shared" si="132"/>
        <v>22</v>
      </c>
      <c r="B863" s="118">
        <v>46254.0</v>
      </c>
      <c r="C863" s="119"/>
      <c r="D863" s="120" t="str">
        <f t="shared" si="133"/>
        <v>Rizky</v>
      </c>
      <c r="E863" s="121">
        <f>SUMIFS(SSOD!$C:$C,SSOD!$B:$B,Hitungan!D863,SSOD!$A:$A,Hitungan!C863)</f>
        <v>0</v>
      </c>
      <c r="F863" s="122"/>
      <c r="G863" s="124">
        <f t="shared" si="137"/>
        <v>0</v>
      </c>
      <c r="H863" s="126" t="str">
        <f t="array" ref="H863">INDEX('Panduan Gaji'!$Q:$Q,MATCH(D863,'Panduan Gaji'!$C:$C,0))</f>
        <v>KG</v>
      </c>
      <c r="I863" s="128" t="s">
        <v>138</v>
      </c>
      <c r="J863" s="308"/>
      <c r="K863" s="308"/>
      <c r="L863" s="145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 ht="13.5" hidden="1" customHeight="1">
      <c r="A864" s="116">
        <f t="shared" si="132"/>
        <v>22</v>
      </c>
      <c r="B864" s="118">
        <v>46255.0</v>
      </c>
      <c r="C864" s="119"/>
      <c r="D864" s="120" t="str">
        <f t="shared" si="133"/>
        <v>Rizky</v>
      </c>
      <c r="E864" s="121">
        <f>SUMIFS(SSOD!$C:$C,SSOD!$B:$B,Hitungan!D864,SSOD!$A:$A,Hitungan!C864)</f>
        <v>0</v>
      </c>
      <c r="F864" s="122"/>
      <c r="G864" s="124">
        <f t="shared" si="137"/>
        <v>0</v>
      </c>
      <c r="H864" s="126" t="str">
        <f t="array" ref="H864">INDEX('Panduan Gaji'!$Q:$Q,MATCH(D864,'Panduan Gaji'!$C:$C,0))</f>
        <v>KG</v>
      </c>
      <c r="I864" s="128" t="s">
        <v>138</v>
      </c>
      <c r="J864" s="308"/>
      <c r="K864" s="308"/>
      <c r="L864" s="119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 ht="13.5" hidden="1" customHeight="1">
      <c r="A865" s="116">
        <f t="shared" si="132"/>
        <v>22</v>
      </c>
      <c r="B865" s="118">
        <v>46256.0</v>
      </c>
      <c r="C865" s="119"/>
      <c r="D865" s="120" t="str">
        <f t="shared" si="133"/>
        <v>Rizky</v>
      </c>
      <c r="E865" s="121">
        <f>SUMIFS(SSOD!$C:$C,SSOD!$B:$B,Hitungan!D865,SSOD!$A:$A,Hitungan!C865)</f>
        <v>0</v>
      </c>
      <c r="F865" s="122"/>
      <c r="G865" s="124">
        <f t="shared" si="137"/>
        <v>0</v>
      </c>
      <c r="H865" s="126" t="str">
        <f t="array" ref="H865">INDEX('Panduan Gaji'!$Q:$Q,MATCH(D865,'Panduan Gaji'!$C:$C,0))</f>
        <v>KG</v>
      </c>
      <c r="I865" s="128" t="s">
        <v>138</v>
      </c>
      <c r="J865" s="308"/>
      <c r="K865" s="308"/>
      <c r="L865" s="119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 ht="13.5" hidden="1" customHeight="1">
      <c r="A866" s="116">
        <f t="shared" si="132"/>
        <v>22</v>
      </c>
      <c r="B866" s="118">
        <v>46257.0</v>
      </c>
      <c r="C866" s="119"/>
      <c r="D866" s="120" t="str">
        <f t="shared" si="133"/>
        <v>Rizky</v>
      </c>
      <c r="E866" s="121">
        <f>SUMIFS(SSOD!$C:$C,SSOD!$B:$B,Hitungan!D866,SSOD!$A:$A,Hitungan!C866)</f>
        <v>0</v>
      </c>
      <c r="F866" s="122"/>
      <c r="G866" s="124">
        <f t="shared" si="137"/>
        <v>0</v>
      </c>
      <c r="H866" s="126" t="str">
        <f t="array" ref="H866">INDEX('Panduan Gaji'!$Q:$Q,MATCH(D866,'Panduan Gaji'!$C:$C,0))</f>
        <v>KG</v>
      </c>
      <c r="I866" s="128" t="s">
        <v>138</v>
      </c>
      <c r="J866" s="308"/>
      <c r="K866" s="308"/>
      <c r="L866" s="119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 ht="15.75" hidden="1" customHeight="1">
      <c r="A867" s="116">
        <f t="shared" si="132"/>
        <v>22</v>
      </c>
      <c r="B867" s="118">
        <v>46258.0</v>
      </c>
      <c r="C867" s="119"/>
      <c r="D867" s="120" t="str">
        <f t="shared" si="133"/>
        <v>Rizky</v>
      </c>
      <c r="E867" s="121">
        <f>SUMIFS(SSOD!$C:$C,SSOD!$B:$B,Hitungan!D867,SSOD!$A:$A,Hitungan!C867)</f>
        <v>0</v>
      </c>
      <c r="F867" s="122"/>
      <c r="G867" s="124">
        <f t="shared" si="137"/>
        <v>0</v>
      </c>
      <c r="H867" s="220" t="str">
        <f t="array" ref="H867">INDEX('Panduan Gaji'!$Q:$Q,MATCH(D867,'Panduan Gaji'!$C:$C,0))</f>
        <v>KG</v>
      </c>
      <c r="I867" s="128" t="s">
        <v>138</v>
      </c>
      <c r="J867" s="308"/>
      <c r="K867" s="308"/>
      <c r="L867" s="119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 ht="15.75" hidden="1" customHeight="1">
      <c r="A868" s="222"/>
      <c r="B868" s="223"/>
      <c r="C868" s="224"/>
      <c r="D868" s="225"/>
      <c r="E868" s="226"/>
      <c r="F868" s="227"/>
      <c r="G868" s="228"/>
      <c r="H868" s="229"/>
      <c r="I868" s="22"/>
      <c r="J868" s="230"/>
      <c r="K868" s="230"/>
      <c r="L868" s="224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 ht="13.5" hidden="1" customHeight="1">
      <c r="A869" s="26">
        <v>23.0</v>
      </c>
      <c r="B869" s="28"/>
      <c r="C869" s="30" t="s">
        <v>6</v>
      </c>
      <c r="D869" s="33" t="s">
        <v>116</v>
      </c>
      <c r="E869" s="42">
        <f>SUMIFS(SSOD!$C:$C,SSOD!$B:$B,Hitungan!D869,SSOD!$A:$A,Hitungan!C869)</f>
        <v>1740000</v>
      </c>
      <c r="F869" s="44">
        <v>1.0</v>
      </c>
      <c r="G869" s="47">
        <f t="shared" ref="G869:G872" si="138">E869*F869</f>
        <v>1740000</v>
      </c>
      <c r="H869" s="51" t="str">
        <f t="array" ref="H869">INDEX('Panduan Gaji'!$Q:$Q,MATCH(D869,'Panduan Gaji'!$C:$C,0))</f>
        <v>KG</v>
      </c>
      <c r="I869" s="53"/>
      <c r="J869" s="54"/>
      <c r="K869" s="54"/>
      <c r="L869" s="55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 ht="13.5" hidden="1" customHeight="1">
      <c r="A870" s="26">
        <f t="shared" ref="A870:A908" si="139">A869</f>
        <v>23</v>
      </c>
      <c r="B870" s="28"/>
      <c r="C870" s="30" t="s">
        <v>17</v>
      </c>
      <c r="D870" s="33" t="str">
        <f t="shared" ref="D870:D908" si="140">D869</f>
        <v>Rifki</v>
      </c>
      <c r="E870" s="42">
        <f>SUMIFS(SSOD!$C:$C,SSOD!$B:$B,Hitungan!D870,SSOD!$A:$A,Hitungan!C870)</f>
        <v>0</v>
      </c>
      <c r="F870" s="44"/>
      <c r="G870" s="47">
        <f t="shared" si="138"/>
        <v>0</v>
      </c>
      <c r="H870" s="51" t="str">
        <f t="array" ref="H870">INDEX('Panduan Gaji'!$Q:$Q,MATCH(D870,'Panduan Gaji'!$C:$C,0))</f>
        <v>KG</v>
      </c>
      <c r="I870" s="53"/>
      <c r="J870" s="54"/>
      <c r="K870" s="54"/>
      <c r="L870" s="55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 ht="13.5" hidden="1" customHeight="1">
      <c r="A871" s="26">
        <f t="shared" si="139"/>
        <v>23</v>
      </c>
      <c r="B871" s="28"/>
      <c r="C871" s="30" t="s">
        <v>7</v>
      </c>
      <c r="D871" s="33" t="str">
        <f t="shared" si="140"/>
        <v>Rifki</v>
      </c>
      <c r="E871" s="42">
        <f>SUMIFS(SSOD!$C:$C,SSOD!$B:$B,Hitungan!D871,SSOD!$A:$A,Hitungan!C871)</f>
        <v>21000</v>
      </c>
      <c r="F871" s="44">
        <f t="shared" ref="F871:F872" si="141">SUMPRODUCT(--((($J$879:$J$908&lt;&gt;"")+($K$879:$K$908&lt;&gt;""))&gt;0))</f>
        <v>24</v>
      </c>
      <c r="G871" s="47">
        <f t="shared" si="138"/>
        <v>504000</v>
      </c>
      <c r="H871" s="51" t="str">
        <f t="array" ref="H871">INDEX('Panduan Gaji'!$Q:$Q,MATCH(D871,'Panduan Gaji'!$C:$C,0))</f>
        <v>KG</v>
      </c>
      <c r="I871" s="53"/>
      <c r="J871" s="88"/>
      <c r="K871" s="88"/>
      <c r="L871" s="55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 ht="13.5" hidden="1" customHeight="1">
      <c r="A872" s="26">
        <f t="shared" si="139"/>
        <v>23</v>
      </c>
      <c r="B872" s="28"/>
      <c r="C872" s="30" t="s">
        <v>9</v>
      </c>
      <c r="D872" s="33" t="str">
        <f t="shared" si="140"/>
        <v>Rifki</v>
      </c>
      <c r="E872" s="42">
        <f>SUMIFS(SSOD!$C:$C,SSOD!$B:$B,Hitungan!D872,SSOD!$A:$A,Hitungan!C872)</f>
        <v>39150</v>
      </c>
      <c r="F872" s="44">
        <f t="shared" si="141"/>
        <v>24</v>
      </c>
      <c r="G872" s="47">
        <f t="shared" si="138"/>
        <v>939600</v>
      </c>
      <c r="H872" s="51" t="str">
        <f t="array" ref="H872">INDEX('Panduan Gaji'!$Q:$Q,MATCH(D872,'Panduan Gaji'!$C:$C,0))</f>
        <v>KG</v>
      </c>
      <c r="I872" s="53"/>
      <c r="J872" s="88"/>
      <c r="K872" s="88"/>
      <c r="L872" s="9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 ht="15.75" hidden="1" customHeight="1">
      <c r="A873" s="26">
        <f t="shared" si="139"/>
        <v>23</v>
      </c>
      <c r="B873" s="28"/>
      <c r="C873" s="30" t="s">
        <v>39</v>
      </c>
      <c r="D873" s="33" t="str">
        <f t="shared" si="140"/>
        <v>Rifki</v>
      </c>
      <c r="E873" s="42">
        <v>352835.0</v>
      </c>
      <c r="F873" s="44">
        <v>1.0</v>
      </c>
      <c r="G873" s="47">
        <f>F873*E873</f>
        <v>352835</v>
      </c>
      <c r="H873" s="51" t="str">
        <f t="array" ref="H873">INDEX('Panduan Gaji'!$Q:$Q,MATCH(D873,'Panduan Gaji'!$C:$C,0))</f>
        <v>KG</v>
      </c>
      <c r="I873" s="53"/>
      <c r="J873" s="88"/>
      <c r="K873" s="88"/>
      <c r="L873" s="9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 ht="15.75" hidden="1" customHeight="1">
      <c r="A874" s="26">
        <f t="shared" si="139"/>
        <v>23</v>
      </c>
      <c r="B874" s="28"/>
      <c r="C874" s="30" t="s">
        <v>12</v>
      </c>
      <c r="D874" s="33" t="str">
        <f t="shared" si="140"/>
        <v>Rifki</v>
      </c>
      <c r="E874" s="42">
        <f>SUMIFS(SSOD!$C:$C,SSOD!$B:$B,Hitungan!D874,SSOD!$A:$A,Hitungan!C874)</f>
        <v>13050</v>
      </c>
      <c r="F874" s="44">
        <f>SUMIF($C$879:$C$908,C874,$F$879:$F$908)</f>
        <v>0</v>
      </c>
      <c r="G874" s="47">
        <f t="shared" ref="G874:G875" si="142">E874*F874</f>
        <v>0</v>
      </c>
      <c r="H874" s="51" t="str">
        <f t="array" ref="H874">INDEX('Panduan Gaji'!$Q:$Q,MATCH(D874,'Panduan Gaji'!$C:$C,0))</f>
        <v>KG</v>
      </c>
      <c r="I874" s="53"/>
      <c r="J874" s="88"/>
      <c r="K874" s="88"/>
      <c r="L874" s="100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 ht="15.75" hidden="1" customHeight="1">
      <c r="A875" s="26">
        <f t="shared" si="139"/>
        <v>23</v>
      </c>
      <c r="B875" s="28"/>
      <c r="C875" s="102" t="s">
        <v>30</v>
      </c>
      <c r="D875" s="33" t="str">
        <f t="shared" si="140"/>
        <v>Rifki</v>
      </c>
      <c r="E875" s="42">
        <f>SUMIFS(SSOD!$C:$C,SSOD!$B:$B,Hitungan!D875,SSOD!$A:$A,Hitungan!C875)</f>
        <v>13050</v>
      </c>
      <c r="F875" s="44">
        <f t="shared" ref="F875:F876" si="143">COUNTIF($C$879:$C$908,C875)</f>
        <v>0</v>
      </c>
      <c r="G875" s="47">
        <f t="shared" si="142"/>
        <v>0</v>
      </c>
      <c r="H875" s="51" t="str">
        <f t="array" ref="H875">INDEX('Panduan Gaji'!$Q:$Q,MATCH(D875,'Panduan Gaji'!$C:$C,0))</f>
        <v>KG</v>
      </c>
      <c r="I875" s="53"/>
      <c r="J875" s="105"/>
      <c r="K875" s="105"/>
      <c r="L875" s="10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 ht="15.75" hidden="1" customHeight="1">
      <c r="A876" s="26">
        <f t="shared" si="139"/>
        <v>23</v>
      </c>
      <c r="B876" s="28"/>
      <c r="C876" s="30" t="s">
        <v>33</v>
      </c>
      <c r="D876" s="33" t="str">
        <f t="shared" si="140"/>
        <v>Rifki</v>
      </c>
      <c r="E876" s="42"/>
      <c r="F876" s="44">
        <f t="shared" si="143"/>
        <v>0</v>
      </c>
      <c r="G876" s="47">
        <f>SUMIF($C$879:$C$908,C876,$E$879:$E$908)</f>
        <v>0</v>
      </c>
      <c r="H876" s="51" t="str">
        <f t="array" ref="H876">INDEX('Panduan Gaji'!$Q:$Q,MATCH(D876,'Panduan Gaji'!$C:$C,0))</f>
        <v>KG</v>
      </c>
      <c r="I876" s="53"/>
      <c r="J876" s="105"/>
      <c r="K876" s="105"/>
      <c r="L876" s="10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 ht="15.75" hidden="1" customHeight="1">
      <c r="A877" s="26">
        <f t="shared" si="139"/>
        <v>23</v>
      </c>
      <c r="B877" s="28"/>
      <c r="C877" s="30" t="s">
        <v>83</v>
      </c>
      <c r="D877" s="33" t="str">
        <f t="shared" si="140"/>
        <v>Rifki</v>
      </c>
      <c r="E877" s="42"/>
      <c r="F877" s="44"/>
      <c r="G877" s="47"/>
      <c r="H877" s="51" t="str">
        <f t="array" ref="H877">INDEX('Panduan Gaji'!$Q:$Q,MATCH(D877,'Panduan Gaji'!$C:$C,0))</f>
        <v>KG</v>
      </c>
      <c r="I877" s="53"/>
      <c r="J877" s="105"/>
      <c r="K877" s="105"/>
      <c r="L877" s="10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 ht="13.5" hidden="1" customHeight="1">
      <c r="A878" s="26">
        <f t="shared" si="139"/>
        <v>23</v>
      </c>
      <c r="B878" s="28"/>
      <c r="C878" s="30" t="s">
        <v>85</v>
      </c>
      <c r="D878" s="33" t="str">
        <f t="shared" si="140"/>
        <v>Rifki</v>
      </c>
      <c r="E878" s="42"/>
      <c r="F878" s="44"/>
      <c r="G878" s="47"/>
      <c r="H878" s="51" t="str">
        <f t="array" ref="H878">INDEX('Panduan Gaji'!$Q:$Q,MATCH(D878,'Panduan Gaji'!$C:$C,0))</f>
        <v>KG</v>
      </c>
      <c r="I878" s="53"/>
      <c r="J878" s="105"/>
      <c r="K878" s="105"/>
      <c r="L878" s="106"/>
      <c r="M878" s="56"/>
      <c r="N878" s="56"/>
      <c r="O878" s="22"/>
      <c r="P878" s="56"/>
      <c r="Q878" s="56"/>
      <c r="R878" s="56"/>
      <c r="S878" s="56"/>
      <c r="T878" s="56"/>
      <c r="U878" s="56"/>
      <c r="V878" s="56"/>
      <c r="W878" s="56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 ht="13.5" hidden="1" customHeight="1">
      <c r="A879" s="116">
        <f t="shared" si="139"/>
        <v>23</v>
      </c>
      <c r="B879" s="118">
        <v>46229.0</v>
      </c>
      <c r="C879" s="119"/>
      <c r="D879" s="120" t="str">
        <f t="shared" si="140"/>
        <v>Rifki</v>
      </c>
      <c r="E879" s="121">
        <f>SUMIFS(SSOD!$C:$C,SSOD!$B:$B,Hitungan!D879,SSOD!$A:$A,Hitungan!C879)</f>
        <v>0</v>
      </c>
      <c r="F879" s="122"/>
      <c r="G879" s="124">
        <f t="shared" ref="G879:G908" si="144">E879*F879</f>
        <v>0</v>
      </c>
      <c r="H879" s="126" t="str">
        <f t="array" ref="H879">INDEX('Panduan Gaji'!$Q:$Q,MATCH(D879,'Panduan Gaji'!$C:$C,0))</f>
        <v>KG</v>
      </c>
      <c r="I879" s="128" t="s">
        <v>138</v>
      </c>
      <c r="J879" s="308">
        <v>0.4173611111111111</v>
      </c>
      <c r="K879" s="308">
        <v>0.9173611111111111</v>
      </c>
      <c r="L879" s="130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 ht="13.5" hidden="1" customHeight="1">
      <c r="A880" s="116">
        <f t="shared" si="139"/>
        <v>23</v>
      </c>
      <c r="B880" s="118">
        <v>46230.0</v>
      </c>
      <c r="C880" s="119"/>
      <c r="D880" s="120" t="str">
        <f t="shared" si="140"/>
        <v>Rifki</v>
      </c>
      <c r="E880" s="121">
        <f>SUMIFS(SSOD!$C:$C,SSOD!$B:$B,Hitungan!D880,SSOD!$A:$A,Hitungan!C880)</f>
        <v>0</v>
      </c>
      <c r="F880" s="122"/>
      <c r="G880" s="124">
        <f t="shared" si="144"/>
        <v>0</v>
      </c>
      <c r="H880" s="126" t="str">
        <f t="array" ref="H880">INDEX('Panduan Gaji'!$Q:$Q,MATCH(D880,'Panduan Gaji'!$C:$C,0))</f>
        <v>KG</v>
      </c>
      <c r="I880" s="128" t="s">
        <v>138</v>
      </c>
      <c r="J880" s="308"/>
      <c r="K880" s="308"/>
      <c r="L880" s="138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 ht="13.5" hidden="1" customHeight="1">
      <c r="A881" s="116">
        <f t="shared" si="139"/>
        <v>23</v>
      </c>
      <c r="B881" s="118">
        <v>46231.0</v>
      </c>
      <c r="C881" s="119"/>
      <c r="D881" s="120" t="str">
        <f t="shared" si="140"/>
        <v>Rifki</v>
      </c>
      <c r="E881" s="121">
        <f>SUMIFS(SSOD!$C:$C,SSOD!$B:$B,Hitungan!D881,SSOD!$A:$A,Hitungan!C881)</f>
        <v>0</v>
      </c>
      <c r="F881" s="122"/>
      <c r="G881" s="124">
        <f t="shared" si="144"/>
        <v>0</v>
      </c>
      <c r="H881" s="126" t="str">
        <f t="array" ref="H881">INDEX('Panduan Gaji'!$Q:$Q,MATCH(D881,'Panduan Gaji'!$C:$C,0))</f>
        <v>KG</v>
      </c>
      <c r="I881" s="128" t="s">
        <v>138</v>
      </c>
      <c r="J881" s="308"/>
      <c r="K881" s="308"/>
      <c r="L881" s="145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 ht="13.5" hidden="1" customHeight="1">
      <c r="A882" s="116">
        <f t="shared" si="139"/>
        <v>23</v>
      </c>
      <c r="B882" s="118">
        <v>46232.0</v>
      </c>
      <c r="C882" s="146"/>
      <c r="D882" s="120" t="str">
        <f t="shared" si="140"/>
        <v>Rifki</v>
      </c>
      <c r="E882" s="147">
        <f>SUMIFS(SSOD!$C:$C,SSOD!$B:$B,Hitungan!D882,SSOD!$A:$A,Hitungan!C882)</f>
        <v>0</v>
      </c>
      <c r="F882" s="148"/>
      <c r="G882" s="124">
        <f t="shared" si="144"/>
        <v>0</v>
      </c>
      <c r="H882" s="126" t="str">
        <f t="array" ref="H882">INDEX('Panduan Gaji'!$Q:$Q,MATCH(D882,'Panduan Gaji'!$C:$C,0))</f>
        <v>KG</v>
      </c>
      <c r="I882" s="128" t="s">
        <v>138</v>
      </c>
      <c r="J882" s="308">
        <v>0.4069444444444444</v>
      </c>
      <c r="K882" s="308">
        <v>0.9166666666666666</v>
      </c>
      <c r="L882" s="153"/>
      <c r="M882" s="16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 ht="13.5" hidden="1" customHeight="1">
      <c r="A883" s="116">
        <f t="shared" si="139"/>
        <v>23</v>
      </c>
      <c r="B883" s="118">
        <v>46233.0</v>
      </c>
      <c r="C883" s="119"/>
      <c r="D883" s="120" t="str">
        <f t="shared" si="140"/>
        <v>Rifki</v>
      </c>
      <c r="E883" s="121">
        <f>SUMIFS(SSOD!$C:$C,SSOD!$B:$B,Hitungan!D883,SSOD!$A:$A,Hitungan!C883)</f>
        <v>0</v>
      </c>
      <c r="F883" s="122"/>
      <c r="G883" s="124">
        <f t="shared" si="144"/>
        <v>0</v>
      </c>
      <c r="H883" s="126" t="str">
        <f t="array" ref="H883">INDEX('Panduan Gaji'!$Q:$Q,MATCH(D883,'Panduan Gaji'!$C:$C,0))</f>
        <v>KG</v>
      </c>
      <c r="I883" s="128" t="s">
        <v>138</v>
      </c>
      <c r="J883" s="308">
        <v>0.4118055555555555</v>
      </c>
      <c r="K883" s="308">
        <v>0.9166666666666666</v>
      </c>
      <c r="L883" s="164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 ht="13.5" hidden="1" customHeight="1">
      <c r="A884" s="116">
        <f t="shared" si="139"/>
        <v>23</v>
      </c>
      <c r="B884" s="118">
        <v>46234.0</v>
      </c>
      <c r="C884" s="119"/>
      <c r="D884" s="120" t="str">
        <f t="shared" si="140"/>
        <v>Rifki</v>
      </c>
      <c r="E884" s="121">
        <f>SUMIFS(SSOD!$C:$C,SSOD!$B:$B,Hitungan!D884,SSOD!$A:$A,Hitungan!C884)</f>
        <v>0</v>
      </c>
      <c r="F884" s="122"/>
      <c r="G884" s="124">
        <f t="shared" si="144"/>
        <v>0</v>
      </c>
      <c r="H884" s="126" t="str">
        <f t="array" ref="H884">INDEX('Panduan Gaji'!$Q:$Q,MATCH(D884,'Panduan Gaji'!$C:$C,0))</f>
        <v>KG</v>
      </c>
      <c r="I884" s="128" t="s">
        <v>138</v>
      </c>
      <c r="J884" s="308">
        <v>0.40625</v>
      </c>
      <c r="K884" s="308">
        <v>0.9166666666666666</v>
      </c>
      <c r="L884" s="130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 ht="13.5" hidden="1" customHeight="1">
      <c r="A885" s="116">
        <f t="shared" si="139"/>
        <v>23</v>
      </c>
      <c r="B885" s="118">
        <v>46235.0</v>
      </c>
      <c r="C885" s="119"/>
      <c r="D885" s="120" t="str">
        <f t="shared" si="140"/>
        <v>Rifki</v>
      </c>
      <c r="E885" s="121">
        <f>SUMIFS(SSOD!$C:$C,SSOD!$B:$B,Hitungan!D885,SSOD!$A:$A,Hitungan!C885)</f>
        <v>0</v>
      </c>
      <c r="F885" s="122"/>
      <c r="G885" s="124">
        <f t="shared" si="144"/>
        <v>0</v>
      </c>
      <c r="H885" s="126" t="str">
        <f t="array" ref="H885">INDEX('Panduan Gaji'!$Q:$Q,MATCH(D885,'Panduan Gaji'!$C:$C,0))</f>
        <v>KG</v>
      </c>
      <c r="I885" s="128" t="s">
        <v>138</v>
      </c>
      <c r="J885" s="309">
        <v>0.4041666666666667</v>
      </c>
      <c r="K885" s="308">
        <v>0.9166666666666666</v>
      </c>
      <c r="L885" s="145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 ht="13.5" hidden="1" customHeight="1">
      <c r="A886" s="116">
        <f t="shared" si="139"/>
        <v>23</v>
      </c>
      <c r="B886" s="118">
        <v>46236.0</v>
      </c>
      <c r="C886" s="119"/>
      <c r="D886" s="120" t="str">
        <f t="shared" si="140"/>
        <v>Rifki</v>
      </c>
      <c r="E886" s="121">
        <v>0.0</v>
      </c>
      <c r="F886" s="122"/>
      <c r="G886" s="124">
        <f t="shared" si="144"/>
        <v>0</v>
      </c>
      <c r="H886" s="126" t="str">
        <f t="array" ref="H886">INDEX('Panduan Gaji'!$Q:$Q,MATCH(D886,'Panduan Gaji'!$C:$C,0))</f>
        <v>KG</v>
      </c>
      <c r="I886" s="128" t="s">
        <v>138</v>
      </c>
      <c r="J886" s="309">
        <v>0.4027777777777778</v>
      </c>
      <c r="K886" s="308">
        <v>0.9166666666666666</v>
      </c>
      <c r="L886" s="145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 ht="13.5" hidden="1" customHeight="1">
      <c r="A887" s="116">
        <f t="shared" si="139"/>
        <v>23</v>
      </c>
      <c r="B887" s="118">
        <v>46237.0</v>
      </c>
      <c r="C887" s="119"/>
      <c r="D887" s="120" t="str">
        <f t="shared" si="140"/>
        <v>Rifki</v>
      </c>
      <c r="E887" s="121">
        <f>SUMIFS(SSOD!$C:$C,SSOD!$B:$B,Hitungan!D887,SSOD!$A:$A,Hitungan!C887)</f>
        <v>0</v>
      </c>
      <c r="F887" s="122"/>
      <c r="G887" s="124">
        <f t="shared" si="144"/>
        <v>0</v>
      </c>
      <c r="H887" s="126" t="str">
        <f t="array" ref="H887">INDEX('Panduan Gaji'!$Q:$Q,MATCH(D887,'Panduan Gaji'!$C:$C,0))</f>
        <v>KG</v>
      </c>
      <c r="I887" s="128" t="s">
        <v>138</v>
      </c>
      <c r="J887" s="309"/>
      <c r="K887" s="308"/>
      <c r="L887" s="145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 ht="13.5" hidden="1" customHeight="1">
      <c r="A888" s="116">
        <f t="shared" si="139"/>
        <v>23</v>
      </c>
      <c r="B888" s="118">
        <v>46238.0</v>
      </c>
      <c r="C888" s="181"/>
      <c r="D888" s="120" t="str">
        <f t="shared" si="140"/>
        <v>Rifki</v>
      </c>
      <c r="E888" s="121">
        <f>SUMIFS(SSOD!$C:$C,SSOD!$B:$B,Hitungan!D888,SSOD!$A:$A,Hitungan!C888)</f>
        <v>0</v>
      </c>
      <c r="F888" s="182"/>
      <c r="G888" s="52">
        <f t="shared" si="144"/>
        <v>0</v>
      </c>
      <c r="H888" s="126" t="str">
        <f t="array" ref="H888">INDEX('Panduan Gaji'!$Q:$Q,MATCH(D888,'Panduan Gaji'!$C:$C,0))</f>
        <v>KG</v>
      </c>
      <c r="I888" s="128" t="s">
        <v>138</v>
      </c>
      <c r="J888" s="309"/>
      <c r="K888" s="308"/>
      <c r="L888" s="119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 ht="13.5" hidden="1" customHeight="1">
      <c r="A889" s="116">
        <f t="shared" si="139"/>
        <v>23</v>
      </c>
      <c r="B889" s="118">
        <v>46239.0</v>
      </c>
      <c r="C889" s="119"/>
      <c r="D889" s="120" t="str">
        <f t="shared" si="140"/>
        <v>Rifki</v>
      </c>
      <c r="E889" s="121">
        <f>SUMIFS(SSOD!$C:$C,SSOD!$B:$B,Hitungan!D889,SSOD!$A:$A,Hitungan!C889)</f>
        <v>0</v>
      </c>
      <c r="F889" s="122"/>
      <c r="G889" s="124">
        <f t="shared" si="144"/>
        <v>0</v>
      </c>
      <c r="H889" s="126" t="str">
        <f t="array" ref="H889">INDEX('Panduan Gaji'!$Q:$Q,MATCH(D889,'Panduan Gaji'!$C:$C,0))</f>
        <v>KG</v>
      </c>
      <c r="I889" s="128" t="s">
        <v>138</v>
      </c>
      <c r="J889" s="309">
        <v>0.40625</v>
      </c>
      <c r="K889" s="308">
        <v>0.9166666666666666</v>
      </c>
      <c r="L889" s="145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 ht="13.5" hidden="1" customHeight="1">
      <c r="A890" s="116">
        <f t="shared" si="139"/>
        <v>23</v>
      </c>
      <c r="B890" s="118">
        <v>46240.0</v>
      </c>
      <c r="C890" s="119"/>
      <c r="D890" s="120" t="str">
        <f t="shared" si="140"/>
        <v>Rifki</v>
      </c>
      <c r="E890" s="121">
        <f>SUMIFS(SSOD!$C:$C,SSOD!$B:$B,Hitungan!D890,SSOD!$A:$A,Hitungan!C890)</f>
        <v>0</v>
      </c>
      <c r="F890" s="122"/>
      <c r="G890" s="124">
        <f t="shared" si="144"/>
        <v>0</v>
      </c>
      <c r="H890" s="126" t="str">
        <f t="array" ref="H890">INDEX('Panduan Gaji'!$Q:$Q,MATCH(D890,'Panduan Gaji'!$C:$C,0))</f>
        <v>KG</v>
      </c>
      <c r="I890" s="128" t="s">
        <v>138</v>
      </c>
      <c r="J890" s="308">
        <v>0.40625</v>
      </c>
      <c r="K890" s="308">
        <v>0.9166666666666666</v>
      </c>
      <c r="L890" s="145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 ht="13.5" hidden="1" customHeight="1">
      <c r="A891" s="116">
        <f t="shared" si="139"/>
        <v>23</v>
      </c>
      <c r="B891" s="118">
        <v>46241.0</v>
      </c>
      <c r="C891" s="119"/>
      <c r="D891" s="120" t="str">
        <f t="shared" si="140"/>
        <v>Rifki</v>
      </c>
      <c r="E891" s="121">
        <f>SUMIFS(SSOD!$C:$C,SSOD!$B:$B,Hitungan!D891,SSOD!$A:$A,Hitungan!C891)</f>
        <v>0</v>
      </c>
      <c r="F891" s="122"/>
      <c r="G891" s="124">
        <f t="shared" si="144"/>
        <v>0</v>
      </c>
      <c r="H891" s="126" t="str">
        <f t="array" ref="H891">INDEX('Panduan Gaji'!$Q:$Q,MATCH(D891,'Panduan Gaji'!$C:$C,0))</f>
        <v>KG</v>
      </c>
      <c r="I891" s="128" t="s">
        <v>138</v>
      </c>
      <c r="J891" s="308">
        <v>0.4034722222222222</v>
      </c>
      <c r="K891" s="310">
        <v>0.9166666666666666</v>
      </c>
      <c r="L891" s="119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 ht="13.5" hidden="1" customHeight="1">
      <c r="A892" s="116">
        <f t="shared" si="139"/>
        <v>23</v>
      </c>
      <c r="B892" s="118">
        <v>46242.0</v>
      </c>
      <c r="C892" s="119"/>
      <c r="D892" s="120" t="str">
        <f t="shared" si="140"/>
        <v>Rifki</v>
      </c>
      <c r="E892" s="121">
        <f>SUMIFS(SSOD!$C:$C,SSOD!$B:$B,Hitungan!D892,SSOD!$A:$A,Hitungan!C892)</f>
        <v>0</v>
      </c>
      <c r="F892" s="122"/>
      <c r="G892" s="124">
        <f t="shared" si="144"/>
        <v>0</v>
      </c>
      <c r="H892" s="126" t="str">
        <f t="array" ref="H892">INDEX('Panduan Gaji'!$Q:$Q,MATCH(D892,'Panduan Gaji'!$C:$C,0))</f>
        <v>KG</v>
      </c>
      <c r="I892" s="128" t="s">
        <v>138</v>
      </c>
      <c r="J892" s="309">
        <v>0.4041666666666667</v>
      </c>
      <c r="K892" s="309">
        <v>0.9166666666666666</v>
      </c>
      <c r="L892" s="187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 ht="13.5" hidden="1" customHeight="1">
      <c r="A893" s="116">
        <f t="shared" si="139"/>
        <v>23</v>
      </c>
      <c r="B893" s="118">
        <v>46243.0</v>
      </c>
      <c r="C893" s="119"/>
      <c r="D893" s="120" t="str">
        <f t="shared" si="140"/>
        <v>Rifki</v>
      </c>
      <c r="E893" s="121">
        <f>SUMIFS(SSOD!$C:$C,SSOD!$B:$B,Hitungan!D893,SSOD!$A:$A,Hitungan!C893)</f>
        <v>0</v>
      </c>
      <c r="F893" s="122"/>
      <c r="G893" s="124">
        <f t="shared" si="144"/>
        <v>0</v>
      </c>
      <c r="H893" s="126" t="str">
        <f t="array" ref="H893">INDEX('Panduan Gaji'!$Q:$Q,MATCH(D893,'Panduan Gaji'!$C:$C,0))</f>
        <v>KG</v>
      </c>
      <c r="I893" s="128" t="s">
        <v>138</v>
      </c>
      <c r="J893" s="309">
        <v>0.4055555555555556</v>
      </c>
      <c r="K893" s="309">
        <v>0.9166666666666666</v>
      </c>
      <c r="L893" s="187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 ht="13.5" hidden="1" customHeight="1">
      <c r="A894" s="116">
        <f t="shared" si="139"/>
        <v>23</v>
      </c>
      <c r="B894" s="118">
        <v>46244.0</v>
      </c>
      <c r="C894" s="119"/>
      <c r="D894" s="120" t="str">
        <f t="shared" si="140"/>
        <v>Rifki</v>
      </c>
      <c r="E894" s="121">
        <f>SUMIFS(SSOD!$C:$C,SSOD!$B:$B,Hitungan!D894,SSOD!$A:$A,Hitungan!C894)</f>
        <v>0</v>
      </c>
      <c r="F894" s="122"/>
      <c r="G894" s="124">
        <f t="shared" si="144"/>
        <v>0</v>
      </c>
      <c r="H894" s="126" t="str">
        <f t="array" ref="H894">INDEX('Panduan Gaji'!$Q:$Q,MATCH(D894,'Panduan Gaji'!$C:$C,0))</f>
        <v>KG</v>
      </c>
      <c r="I894" s="128" t="s">
        <v>138</v>
      </c>
      <c r="J894" s="309">
        <v>0.4055555555555556</v>
      </c>
      <c r="K894" s="309">
        <v>0.9166666666666666</v>
      </c>
      <c r="L894" s="187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 ht="13.5" hidden="1" customHeight="1">
      <c r="A895" s="116">
        <f t="shared" si="139"/>
        <v>23</v>
      </c>
      <c r="B895" s="118">
        <v>46245.0</v>
      </c>
      <c r="C895" s="119"/>
      <c r="D895" s="120" t="str">
        <f t="shared" si="140"/>
        <v>Rifki</v>
      </c>
      <c r="E895" s="121">
        <f>SUMIFS(SSOD!$C:$C,SSOD!$B:$B,Hitungan!D895,SSOD!$A:$A,Hitungan!C895)</f>
        <v>0</v>
      </c>
      <c r="F895" s="122"/>
      <c r="G895" s="124">
        <f t="shared" si="144"/>
        <v>0</v>
      </c>
      <c r="H895" s="126" t="str">
        <f t="array" ref="H895">INDEX('Panduan Gaji'!$Q:$Q,MATCH(D895,'Panduan Gaji'!$C:$C,0))</f>
        <v>KG</v>
      </c>
      <c r="I895" s="128" t="s">
        <v>138</v>
      </c>
      <c r="J895" s="308">
        <v>0.40625</v>
      </c>
      <c r="K895" s="308">
        <v>0.9166666666666666</v>
      </c>
      <c r="L895" s="145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 ht="13.5" hidden="1" customHeight="1">
      <c r="A896" s="116">
        <f t="shared" si="139"/>
        <v>23</v>
      </c>
      <c r="B896" s="118">
        <v>46246.0</v>
      </c>
      <c r="C896" s="119"/>
      <c r="D896" s="120" t="str">
        <f t="shared" si="140"/>
        <v>Rifki</v>
      </c>
      <c r="E896" s="121">
        <f>SUMIFS(SSOD!$C:$C,SSOD!$B:$B,Hitungan!D896,SSOD!$A:$A,Hitungan!C896)</f>
        <v>0</v>
      </c>
      <c r="F896" s="122"/>
      <c r="G896" s="124">
        <f t="shared" si="144"/>
        <v>0</v>
      </c>
      <c r="H896" s="126" t="str">
        <f t="array" ref="H896">INDEX('Panduan Gaji'!$Q:$Q,MATCH(D896,'Panduan Gaji'!$C:$C,0))</f>
        <v>KG</v>
      </c>
      <c r="I896" s="128" t="s">
        <v>138</v>
      </c>
      <c r="J896" s="308"/>
      <c r="K896" s="308"/>
      <c r="L896" s="145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 ht="13.5" hidden="1" customHeight="1">
      <c r="A897" s="116">
        <f t="shared" si="139"/>
        <v>23</v>
      </c>
      <c r="B897" s="118">
        <v>46247.0</v>
      </c>
      <c r="C897" s="119"/>
      <c r="D897" s="120" t="str">
        <f t="shared" si="140"/>
        <v>Rifki</v>
      </c>
      <c r="E897" s="121">
        <f>SUMIFS(SSOD!$C:$C,SSOD!$B:$B,Hitungan!D897,SSOD!$A:$A,Hitungan!C897)</f>
        <v>0</v>
      </c>
      <c r="F897" s="122"/>
      <c r="G897" s="124">
        <f t="shared" si="144"/>
        <v>0</v>
      </c>
      <c r="H897" s="126" t="str">
        <f t="array" ref="H897">INDEX('Panduan Gaji'!$Q:$Q,MATCH(D897,'Panduan Gaji'!$C:$C,0))</f>
        <v>KG</v>
      </c>
      <c r="I897" s="128" t="s">
        <v>138</v>
      </c>
      <c r="J897" s="308">
        <v>0.4055555555555556</v>
      </c>
      <c r="K897" s="308">
        <v>0.9166666666666666</v>
      </c>
      <c r="L897" s="145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 ht="13.5" hidden="1" customHeight="1">
      <c r="A898" s="116">
        <f t="shared" si="139"/>
        <v>23</v>
      </c>
      <c r="B898" s="118">
        <v>46248.0</v>
      </c>
      <c r="C898" s="119"/>
      <c r="D898" s="120" t="str">
        <f t="shared" si="140"/>
        <v>Rifki</v>
      </c>
      <c r="E898" s="121">
        <f>SUMIFS(SSOD!$C:$C,SSOD!$B:$B,Hitungan!D898,SSOD!$A:$A,Hitungan!C898)</f>
        <v>0</v>
      </c>
      <c r="F898" s="122"/>
      <c r="G898" s="124">
        <f t="shared" si="144"/>
        <v>0</v>
      </c>
      <c r="H898" s="126" t="str">
        <f t="array" ref="H898">INDEX('Panduan Gaji'!$Q:$Q,MATCH(D898,'Panduan Gaji'!$C:$C,0))</f>
        <v>KG</v>
      </c>
      <c r="I898" s="128" t="s">
        <v>138</v>
      </c>
      <c r="J898" s="308">
        <v>0.4055555555555556</v>
      </c>
      <c r="K898" s="310">
        <v>0.9166666666666666</v>
      </c>
      <c r="L898" s="145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 ht="13.5" hidden="1" customHeight="1">
      <c r="A899" s="116">
        <f t="shared" si="139"/>
        <v>23</v>
      </c>
      <c r="B899" s="118">
        <v>46249.0</v>
      </c>
      <c r="C899" s="119"/>
      <c r="D899" s="120" t="str">
        <f t="shared" si="140"/>
        <v>Rifki</v>
      </c>
      <c r="E899" s="121">
        <f>SUMIFS(SSOD!$C:$C,SSOD!$B:$B,Hitungan!D899,SSOD!$A:$A,Hitungan!C899)</f>
        <v>0</v>
      </c>
      <c r="F899" s="122"/>
      <c r="G899" s="124">
        <f t="shared" si="144"/>
        <v>0</v>
      </c>
      <c r="H899" s="126" t="str">
        <f t="array" ref="H899">INDEX('Panduan Gaji'!$Q:$Q,MATCH(D899,'Panduan Gaji'!$C:$C,0))</f>
        <v>KG</v>
      </c>
      <c r="I899" s="128" t="s">
        <v>138</v>
      </c>
      <c r="J899" s="308">
        <v>0.4034722222222222</v>
      </c>
      <c r="K899" s="308">
        <v>0.9166666666666666</v>
      </c>
      <c r="L899" s="145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 ht="13.5" hidden="1" customHeight="1">
      <c r="A900" s="116">
        <f t="shared" si="139"/>
        <v>23</v>
      </c>
      <c r="B900" s="118">
        <v>46250.0</v>
      </c>
      <c r="C900" s="119"/>
      <c r="D900" s="120" t="str">
        <f t="shared" si="140"/>
        <v>Rifki</v>
      </c>
      <c r="E900" s="121">
        <f>SUMIFS(SSOD!$C:$C,SSOD!$B:$B,Hitungan!D900,SSOD!$A:$A,Hitungan!C900)</f>
        <v>0</v>
      </c>
      <c r="F900" s="122"/>
      <c r="G900" s="124">
        <f t="shared" si="144"/>
        <v>0</v>
      </c>
      <c r="H900" s="126" t="str">
        <f t="array" ref="H900">INDEX('Panduan Gaji'!$Q:$Q,MATCH(D900,'Panduan Gaji'!$C:$C,0))</f>
        <v>KG</v>
      </c>
      <c r="I900" s="128" t="s">
        <v>138</v>
      </c>
      <c r="J900" s="308">
        <v>0.4034722222222222</v>
      </c>
      <c r="K900" s="308">
        <v>0.9166666666666666</v>
      </c>
      <c r="L900" s="145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 ht="13.5" hidden="1" customHeight="1">
      <c r="A901" s="116">
        <f t="shared" si="139"/>
        <v>23</v>
      </c>
      <c r="B901" s="118">
        <v>46251.0</v>
      </c>
      <c r="C901" s="119"/>
      <c r="D901" s="120" t="str">
        <f t="shared" si="140"/>
        <v>Rifki</v>
      </c>
      <c r="E901" s="121">
        <f>SUMIFS(SSOD!$C:$C,SSOD!$B:$B,Hitungan!D901,SSOD!$A:$A,Hitungan!C901)</f>
        <v>0</v>
      </c>
      <c r="F901" s="122"/>
      <c r="G901" s="124">
        <f t="shared" si="144"/>
        <v>0</v>
      </c>
      <c r="H901" s="126" t="str">
        <f t="array" ref="H901">INDEX('Panduan Gaji'!$Q:$Q,MATCH(D901,'Panduan Gaji'!$C:$C,0))</f>
        <v>KG</v>
      </c>
      <c r="I901" s="128" t="s">
        <v>138</v>
      </c>
      <c r="J901" s="308">
        <v>0.4013888888888889</v>
      </c>
      <c r="K901" s="308">
        <v>0.9166666666666666</v>
      </c>
      <c r="L901" s="119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 ht="13.5" hidden="1" customHeight="1">
      <c r="A902" s="116">
        <f t="shared" si="139"/>
        <v>23</v>
      </c>
      <c r="B902" s="118">
        <v>46252.0</v>
      </c>
      <c r="C902" s="119"/>
      <c r="D902" s="120" t="str">
        <f t="shared" si="140"/>
        <v>Rifki</v>
      </c>
      <c r="E902" s="121">
        <f>SUMIFS(SSOD!$C:$C,SSOD!$B:$B,Hitungan!D902,SSOD!$A:$A,Hitungan!C902)</f>
        <v>0</v>
      </c>
      <c r="F902" s="122"/>
      <c r="G902" s="124">
        <f t="shared" si="144"/>
        <v>0</v>
      </c>
      <c r="H902" s="126" t="str">
        <f t="array" ref="H902">INDEX('Panduan Gaji'!$Q:$Q,MATCH(D902,'Panduan Gaji'!$C:$C,0))</f>
        <v>KG</v>
      </c>
      <c r="I902" s="128" t="s">
        <v>138</v>
      </c>
      <c r="J902" s="308">
        <v>0.4159722222222222</v>
      </c>
      <c r="K902" s="308">
        <v>0.9166666666666666</v>
      </c>
      <c r="L902" s="119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 ht="13.5" hidden="1" customHeight="1">
      <c r="A903" s="116">
        <f t="shared" si="139"/>
        <v>23</v>
      </c>
      <c r="B903" s="118">
        <v>46253.0</v>
      </c>
      <c r="C903" s="119"/>
      <c r="D903" s="120" t="str">
        <f t="shared" si="140"/>
        <v>Rifki</v>
      </c>
      <c r="E903" s="121">
        <f>SUMIFS(SSOD!$C:$C,SSOD!$B:$B,Hitungan!D903,SSOD!$A:$A,Hitungan!C903)</f>
        <v>0</v>
      </c>
      <c r="F903" s="122"/>
      <c r="G903" s="124">
        <f t="shared" si="144"/>
        <v>0</v>
      </c>
      <c r="H903" s="126" t="str">
        <f t="array" ref="H903">INDEX('Panduan Gaji'!$Q:$Q,MATCH(D903,'Panduan Gaji'!$C:$C,0))</f>
        <v>KG</v>
      </c>
      <c r="I903" s="128" t="s">
        <v>138</v>
      </c>
      <c r="J903" s="308">
        <v>0.4083333333333333</v>
      </c>
      <c r="K903" s="308">
        <v>0.9166666666666666</v>
      </c>
      <c r="L903" s="119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 ht="13.5" hidden="1" customHeight="1">
      <c r="A904" s="116">
        <f t="shared" si="139"/>
        <v>23</v>
      </c>
      <c r="B904" s="118">
        <v>46254.0</v>
      </c>
      <c r="C904" s="119"/>
      <c r="D904" s="120" t="str">
        <f t="shared" si="140"/>
        <v>Rifki</v>
      </c>
      <c r="E904" s="121">
        <f>SUMIFS(SSOD!$C:$C,SSOD!$B:$B,Hitungan!D904,SSOD!$A:$A,Hitungan!C904)</f>
        <v>0</v>
      </c>
      <c r="F904" s="122"/>
      <c r="G904" s="124">
        <f t="shared" si="144"/>
        <v>0</v>
      </c>
      <c r="H904" s="126" t="str">
        <f t="array" ref="H904">INDEX('Panduan Gaji'!$Q:$Q,MATCH(D904,'Panduan Gaji'!$C:$C,0))</f>
        <v>KG</v>
      </c>
      <c r="I904" s="128" t="s">
        <v>138</v>
      </c>
      <c r="J904" s="308">
        <v>0.4048611111111111</v>
      </c>
      <c r="K904" s="308">
        <v>0.9166666666666666</v>
      </c>
      <c r="L904" s="145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 ht="13.5" hidden="1" customHeight="1">
      <c r="A905" s="116">
        <f t="shared" si="139"/>
        <v>23</v>
      </c>
      <c r="B905" s="118">
        <v>46255.0</v>
      </c>
      <c r="C905" s="119"/>
      <c r="D905" s="120" t="str">
        <f t="shared" si="140"/>
        <v>Rifki</v>
      </c>
      <c r="E905" s="121">
        <f>SUMIFS(SSOD!$C:$C,SSOD!$B:$B,Hitungan!D905,SSOD!$A:$A,Hitungan!C905)</f>
        <v>0</v>
      </c>
      <c r="F905" s="122"/>
      <c r="G905" s="124">
        <f t="shared" si="144"/>
        <v>0</v>
      </c>
      <c r="H905" s="126" t="str">
        <f t="array" ref="H905">INDEX('Panduan Gaji'!$Q:$Q,MATCH(D905,'Panduan Gaji'!$C:$C,0))</f>
        <v>KG</v>
      </c>
      <c r="I905" s="128" t="s">
        <v>138</v>
      </c>
      <c r="J905" s="308"/>
      <c r="K905" s="308"/>
      <c r="L905" s="119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 ht="13.5" hidden="1" customHeight="1">
      <c r="A906" s="116">
        <f t="shared" si="139"/>
        <v>23</v>
      </c>
      <c r="B906" s="118">
        <v>46256.0</v>
      </c>
      <c r="C906" s="119"/>
      <c r="D906" s="120" t="str">
        <f t="shared" si="140"/>
        <v>Rifki</v>
      </c>
      <c r="E906" s="121">
        <f>SUMIFS(SSOD!$C:$C,SSOD!$B:$B,Hitungan!D906,SSOD!$A:$A,Hitungan!C906)</f>
        <v>0</v>
      </c>
      <c r="F906" s="122"/>
      <c r="G906" s="124">
        <f t="shared" si="144"/>
        <v>0</v>
      </c>
      <c r="H906" s="126" t="str">
        <f t="array" ref="H906">INDEX('Panduan Gaji'!$Q:$Q,MATCH(D906,'Panduan Gaji'!$C:$C,0))</f>
        <v>KG</v>
      </c>
      <c r="I906" s="128" t="s">
        <v>138</v>
      </c>
      <c r="J906" s="308">
        <v>0.4027777777777778</v>
      </c>
      <c r="K906" s="308">
        <v>0.9166666666666666</v>
      </c>
      <c r="L906" s="119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 ht="13.5" hidden="1" customHeight="1">
      <c r="A907" s="116">
        <f t="shared" si="139"/>
        <v>23</v>
      </c>
      <c r="B907" s="118">
        <v>46257.0</v>
      </c>
      <c r="C907" s="119"/>
      <c r="D907" s="120" t="str">
        <f t="shared" si="140"/>
        <v>Rifki</v>
      </c>
      <c r="E907" s="121">
        <f>SUMIFS(SSOD!$C:$C,SSOD!$B:$B,Hitungan!D907,SSOD!$A:$A,Hitungan!C907)</f>
        <v>0</v>
      </c>
      <c r="F907" s="122"/>
      <c r="G907" s="124">
        <f t="shared" si="144"/>
        <v>0</v>
      </c>
      <c r="H907" s="126" t="str">
        <f t="array" ref="H907">INDEX('Panduan Gaji'!$Q:$Q,MATCH(D907,'Panduan Gaji'!$C:$C,0))</f>
        <v>KG</v>
      </c>
      <c r="I907" s="128" t="s">
        <v>138</v>
      </c>
      <c r="J907" s="308">
        <v>0.3986111111111111</v>
      </c>
      <c r="K907" s="308">
        <v>0.9166666666666666</v>
      </c>
      <c r="L907" s="119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 ht="15.75" hidden="1" customHeight="1">
      <c r="A908" s="116">
        <f t="shared" si="139"/>
        <v>23</v>
      </c>
      <c r="B908" s="118">
        <v>46258.0</v>
      </c>
      <c r="C908" s="119"/>
      <c r="D908" s="120" t="str">
        <f t="shared" si="140"/>
        <v>Rifki</v>
      </c>
      <c r="E908" s="121">
        <f>SUMIFS(SSOD!$C:$C,SSOD!$B:$B,Hitungan!D908,SSOD!$A:$A,Hitungan!C908)</f>
        <v>0</v>
      </c>
      <c r="F908" s="122"/>
      <c r="G908" s="124">
        <f t="shared" si="144"/>
        <v>0</v>
      </c>
      <c r="H908" s="220" t="str">
        <f t="array" ref="H908">INDEX('Panduan Gaji'!$Q:$Q,MATCH(D908,'Panduan Gaji'!$C:$C,0))</f>
        <v>KG</v>
      </c>
      <c r="I908" s="128" t="s">
        <v>138</v>
      </c>
      <c r="J908" s="308">
        <v>0.4027777777777778</v>
      </c>
      <c r="K908" s="308"/>
      <c r="L908" s="119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 ht="15.75" hidden="1" customHeight="1">
      <c r="A909" s="222"/>
      <c r="B909" s="223"/>
      <c r="C909" s="224"/>
      <c r="D909" s="225"/>
      <c r="E909" s="226"/>
      <c r="F909" s="227"/>
      <c r="G909" s="228"/>
      <c r="H909" s="229"/>
      <c r="I909" s="22"/>
      <c r="J909" s="230"/>
      <c r="K909" s="230"/>
      <c r="L909" s="224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 ht="13.5" hidden="1" customHeight="1">
      <c r="A910" s="26">
        <v>24.0</v>
      </c>
      <c r="B910" s="28"/>
      <c r="C910" s="30" t="s">
        <v>6</v>
      </c>
      <c r="D910" s="33" t="s">
        <v>110</v>
      </c>
      <c r="E910" s="42">
        <f>SUMIFS(SSOD!$C:$C,SSOD!$B:$B,Hitungan!D910,SSOD!$A:$A,Hitungan!C910)</f>
        <v>1450000</v>
      </c>
      <c r="F910" s="44">
        <v>1.0</v>
      </c>
      <c r="G910" s="47">
        <f>(E910/24)*F912</f>
        <v>241666.6667</v>
      </c>
      <c r="H910" s="51" t="str">
        <f t="array" ref="H910">INDEX('Panduan Gaji'!$Q:$Q,MATCH(D910,'Panduan Gaji'!$C:$C,0))</f>
        <v>KG</v>
      </c>
      <c r="I910" s="53"/>
      <c r="J910" s="54"/>
      <c r="K910" s="54"/>
      <c r="L910" s="55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 ht="13.5" hidden="1" customHeight="1">
      <c r="A911" s="26">
        <f t="shared" ref="A911:A949" si="145">A910</f>
        <v>24</v>
      </c>
      <c r="B911" s="28"/>
      <c r="C911" s="30" t="s">
        <v>17</v>
      </c>
      <c r="D911" s="33" t="str">
        <f t="shared" ref="D911:D949" si="146">D910</f>
        <v>Danilo</v>
      </c>
      <c r="E911" s="42">
        <f>SUMIFS(SSOD!$C:$C,SSOD!$B:$B,Hitungan!D911,SSOD!$A:$A,Hitungan!C911)</f>
        <v>0</v>
      </c>
      <c r="F911" s="44"/>
      <c r="G911" s="47">
        <f t="shared" ref="G911:G913" si="147">E911*F911</f>
        <v>0</v>
      </c>
      <c r="H911" s="51" t="str">
        <f t="array" ref="H911">INDEX('Panduan Gaji'!$Q:$Q,MATCH(D911,'Panduan Gaji'!$C:$C,0))</f>
        <v>KG</v>
      </c>
      <c r="I911" s="53"/>
      <c r="J911" s="54"/>
      <c r="K911" s="54"/>
      <c r="L911" s="55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 ht="13.5" hidden="1" customHeight="1">
      <c r="A912" s="26">
        <f t="shared" si="145"/>
        <v>24</v>
      </c>
      <c r="B912" s="28"/>
      <c r="C912" s="30" t="s">
        <v>7</v>
      </c>
      <c r="D912" s="33" t="str">
        <f t="shared" si="146"/>
        <v>Danilo</v>
      </c>
      <c r="E912" s="42">
        <f>SUMIFS(SSOD!$C:$C,SSOD!$B:$B,Hitungan!D912,SSOD!$A:$A,Hitungan!C912)</f>
        <v>21000</v>
      </c>
      <c r="F912" s="44">
        <f t="shared" ref="F912:F913" si="148">SUMPRODUCT(--((($J$920:$J$949&lt;&gt;"")+($K$920:$K$949&lt;&gt;""))&gt;0))</f>
        <v>4</v>
      </c>
      <c r="G912" s="47">
        <f t="shared" si="147"/>
        <v>84000</v>
      </c>
      <c r="H912" s="51" t="str">
        <f t="array" ref="H912">INDEX('Panduan Gaji'!$Q:$Q,MATCH(D912,'Panduan Gaji'!$C:$C,0))</f>
        <v>KG</v>
      </c>
      <c r="I912" s="53"/>
      <c r="J912" s="88"/>
      <c r="K912" s="88"/>
      <c r="L912" s="55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 ht="13.5" hidden="1" customHeight="1">
      <c r="A913" s="26">
        <f t="shared" si="145"/>
        <v>24</v>
      </c>
      <c r="B913" s="28"/>
      <c r="C913" s="30" t="s">
        <v>9</v>
      </c>
      <c r="D913" s="33" t="str">
        <f t="shared" si="146"/>
        <v>Danilo</v>
      </c>
      <c r="E913" s="42">
        <f>SUMIFS(SSOD!$C:$C,SSOD!$B:$B,Hitungan!D913,SSOD!$A:$A,Hitungan!C913)</f>
        <v>35100</v>
      </c>
      <c r="F913" s="44">
        <f t="shared" si="148"/>
        <v>4</v>
      </c>
      <c r="G913" s="47">
        <f t="shared" si="147"/>
        <v>140400</v>
      </c>
      <c r="H913" s="51" t="str">
        <f t="array" ref="H913">INDEX('Panduan Gaji'!$Q:$Q,MATCH(D913,'Panduan Gaji'!$C:$C,0))</f>
        <v>KG</v>
      </c>
      <c r="I913" s="53"/>
      <c r="J913" s="88"/>
      <c r="K913" s="88"/>
      <c r="L913" s="9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 ht="15.75" hidden="1" customHeight="1">
      <c r="A914" s="26">
        <f t="shared" si="145"/>
        <v>24</v>
      </c>
      <c r="B914" s="28"/>
      <c r="C914" s="30" t="s">
        <v>39</v>
      </c>
      <c r="D914" s="33" t="str">
        <f t="shared" si="146"/>
        <v>Danilo</v>
      </c>
      <c r="E914" s="42">
        <v>54178.0</v>
      </c>
      <c r="F914" s="44">
        <v>1.0</v>
      </c>
      <c r="G914" s="47">
        <f>F914*E914</f>
        <v>54178</v>
      </c>
      <c r="H914" s="51" t="str">
        <f t="array" ref="H914">INDEX('Panduan Gaji'!$Q:$Q,MATCH(D914,'Panduan Gaji'!$C:$C,0))</f>
        <v>KG</v>
      </c>
      <c r="I914" s="53"/>
      <c r="J914" s="105"/>
      <c r="K914" s="105"/>
      <c r="L914" s="10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 ht="15.75" hidden="1" customHeight="1">
      <c r="A915" s="26">
        <f t="shared" si="145"/>
        <v>24</v>
      </c>
      <c r="B915" s="28"/>
      <c r="C915" s="30" t="s">
        <v>12</v>
      </c>
      <c r="D915" s="33" t="str">
        <f t="shared" si="146"/>
        <v>Danilo</v>
      </c>
      <c r="E915" s="42">
        <f>SUMIFS(SSOD!$C:$C,SSOD!$B:$B,Hitungan!D915,SSOD!$A:$A,Hitungan!C915)</f>
        <v>11700</v>
      </c>
      <c r="F915" s="44">
        <f>SUMIF($C$920:$C$949,C915,$F$920:$F$949)</f>
        <v>0</v>
      </c>
      <c r="G915" s="47">
        <f t="shared" ref="G915:G916" si="149">E915*F915</f>
        <v>0</v>
      </c>
      <c r="H915" s="51" t="str">
        <f t="array" ref="H915">INDEX('Panduan Gaji'!$Q:$Q,MATCH(D915,'Panduan Gaji'!$C:$C,0))</f>
        <v>KG</v>
      </c>
      <c r="I915" s="53"/>
      <c r="J915" s="88"/>
      <c r="K915" s="88"/>
      <c r="L915" s="100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 ht="15.75" hidden="1" customHeight="1">
      <c r="A916" s="26">
        <f t="shared" si="145"/>
        <v>24</v>
      </c>
      <c r="B916" s="28"/>
      <c r="C916" s="102" t="s">
        <v>30</v>
      </c>
      <c r="D916" s="33" t="str">
        <f t="shared" si="146"/>
        <v>Danilo</v>
      </c>
      <c r="E916" s="42">
        <f>SUMIFS(SSOD!$C:$C,SSOD!$B:$B,Hitungan!D916,SSOD!$A:$A,Hitungan!C916)</f>
        <v>11700</v>
      </c>
      <c r="F916" s="44">
        <f t="shared" ref="F916:F917" si="150">COUNTIF($C$920:$C$949,C916)</f>
        <v>0</v>
      </c>
      <c r="G916" s="47">
        <f t="shared" si="149"/>
        <v>0</v>
      </c>
      <c r="H916" s="51" t="str">
        <f t="array" ref="H916">INDEX('Panduan Gaji'!$Q:$Q,MATCH(D916,'Panduan Gaji'!$C:$C,0))</f>
        <v>KG</v>
      </c>
      <c r="I916" s="53"/>
      <c r="J916" s="105"/>
      <c r="K916" s="105"/>
      <c r="L916" s="10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 ht="15.75" hidden="1" customHeight="1">
      <c r="A917" s="26">
        <f t="shared" si="145"/>
        <v>24</v>
      </c>
      <c r="B917" s="28"/>
      <c r="C917" s="30" t="s">
        <v>33</v>
      </c>
      <c r="D917" s="33" t="str">
        <f t="shared" si="146"/>
        <v>Danilo</v>
      </c>
      <c r="E917" s="42"/>
      <c r="F917" s="44">
        <f t="shared" si="150"/>
        <v>0</v>
      </c>
      <c r="G917" s="47">
        <f>SUMIF($C$920:$C$949,C917,$E$920:$E$949)</f>
        <v>0</v>
      </c>
      <c r="H917" s="51" t="str">
        <f t="array" ref="H917">INDEX('Panduan Gaji'!$Q:$Q,MATCH(D917,'Panduan Gaji'!$C:$C,0))</f>
        <v>KG</v>
      </c>
      <c r="I917" s="53"/>
      <c r="J917" s="105"/>
      <c r="K917" s="105"/>
      <c r="L917" s="10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 ht="15.75" hidden="1" customHeight="1">
      <c r="A918" s="26">
        <f t="shared" si="145"/>
        <v>24</v>
      </c>
      <c r="B918" s="28"/>
      <c r="C918" s="30" t="s">
        <v>83</v>
      </c>
      <c r="D918" s="33" t="str">
        <f t="shared" si="146"/>
        <v>Danilo</v>
      </c>
      <c r="E918" s="42"/>
      <c r="F918" s="44"/>
      <c r="G918" s="47"/>
      <c r="H918" s="51" t="str">
        <f t="array" ref="H918">INDEX('Panduan Gaji'!$Q:$Q,MATCH(D918,'Panduan Gaji'!$C:$C,0))</f>
        <v>KG</v>
      </c>
      <c r="I918" s="53"/>
      <c r="J918" s="105"/>
      <c r="K918" s="105"/>
      <c r="L918" s="10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 ht="13.5" hidden="1" customHeight="1">
      <c r="A919" s="26">
        <f t="shared" si="145"/>
        <v>24</v>
      </c>
      <c r="B919" s="28"/>
      <c r="C919" s="30" t="s">
        <v>85</v>
      </c>
      <c r="D919" s="33" t="str">
        <f t="shared" si="146"/>
        <v>Danilo</v>
      </c>
      <c r="E919" s="42"/>
      <c r="F919" s="44"/>
      <c r="G919" s="47"/>
      <c r="H919" s="51" t="str">
        <f t="array" ref="H919">INDEX('Panduan Gaji'!$Q:$Q,MATCH(D919,'Panduan Gaji'!$C:$C,0))</f>
        <v>KG</v>
      </c>
      <c r="I919" s="53"/>
      <c r="J919" s="105"/>
      <c r="K919" s="105"/>
      <c r="L919" s="106"/>
      <c r="M919" s="56"/>
      <c r="N919" s="56"/>
      <c r="O919" s="22"/>
      <c r="P919" s="56"/>
      <c r="Q919" s="56"/>
      <c r="R919" s="56"/>
      <c r="S919" s="56"/>
      <c r="T919" s="56"/>
      <c r="U919" s="56"/>
      <c r="V919" s="56"/>
      <c r="W919" s="56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 ht="13.5" hidden="1" customHeight="1">
      <c r="A920" s="116">
        <f t="shared" si="145"/>
        <v>24</v>
      </c>
      <c r="B920" s="118">
        <v>46229.0</v>
      </c>
      <c r="C920" s="119"/>
      <c r="D920" s="120" t="str">
        <f t="shared" si="146"/>
        <v>Danilo</v>
      </c>
      <c r="E920" s="121">
        <f>SUMIFS(SSOD!$C:$C,SSOD!$B:$B,Hitungan!D920,SSOD!$A:$A,Hitungan!C920)</f>
        <v>0</v>
      </c>
      <c r="F920" s="122"/>
      <c r="G920" s="124">
        <f t="shared" ref="G920:G949" si="151">E920*F920</f>
        <v>0</v>
      </c>
      <c r="H920" s="126" t="str">
        <f t="array" ref="H920">INDEX('Panduan Gaji'!$Q:$Q,MATCH(D920,'Panduan Gaji'!$C:$C,0))</f>
        <v>KG</v>
      </c>
      <c r="I920" s="128" t="s">
        <v>138</v>
      </c>
      <c r="J920" s="308">
        <v>0.4194444444444445</v>
      </c>
      <c r="K920" s="308">
        <v>0.9173611111111111</v>
      </c>
      <c r="L920" s="130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 ht="13.5" hidden="1" customHeight="1">
      <c r="A921" s="116">
        <f t="shared" si="145"/>
        <v>24</v>
      </c>
      <c r="B921" s="118">
        <v>46230.0</v>
      </c>
      <c r="C921" s="119"/>
      <c r="D921" s="120" t="str">
        <f t="shared" si="146"/>
        <v>Danilo</v>
      </c>
      <c r="E921" s="121">
        <f>SUMIFS(SSOD!$C:$C,SSOD!$B:$B,Hitungan!D921,SSOD!$A:$A,Hitungan!C921)</f>
        <v>0</v>
      </c>
      <c r="F921" s="122"/>
      <c r="G921" s="124">
        <f t="shared" si="151"/>
        <v>0</v>
      </c>
      <c r="H921" s="126" t="str">
        <f t="array" ref="H921">INDEX('Panduan Gaji'!$Q:$Q,MATCH(D921,'Panduan Gaji'!$C:$C,0))</f>
        <v>KG</v>
      </c>
      <c r="I921" s="128" t="s">
        <v>138</v>
      </c>
      <c r="J921" s="308">
        <v>0.4166666666666667</v>
      </c>
      <c r="K921" s="308">
        <v>0.9173611111111111</v>
      </c>
      <c r="L921" s="138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 ht="13.5" hidden="1" customHeight="1">
      <c r="A922" s="116">
        <f t="shared" si="145"/>
        <v>24</v>
      </c>
      <c r="B922" s="118">
        <v>46231.0</v>
      </c>
      <c r="C922" s="119"/>
      <c r="D922" s="120" t="str">
        <f t="shared" si="146"/>
        <v>Danilo</v>
      </c>
      <c r="E922" s="121">
        <f>SUMIFS(SSOD!$C:$C,SSOD!$B:$B,Hitungan!D922,SSOD!$A:$A,Hitungan!C922)</f>
        <v>0</v>
      </c>
      <c r="F922" s="122"/>
      <c r="G922" s="124">
        <f t="shared" si="151"/>
        <v>0</v>
      </c>
      <c r="H922" s="126" t="str">
        <f t="array" ref="H922">INDEX('Panduan Gaji'!$Q:$Q,MATCH(D922,'Panduan Gaji'!$C:$C,0))</f>
        <v>KG</v>
      </c>
      <c r="I922" s="128" t="s">
        <v>138</v>
      </c>
      <c r="J922" s="308">
        <v>0.41875</v>
      </c>
      <c r="K922" s="308">
        <v>0.9166666666666666</v>
      </c>
      <c r="L922" s="145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 ht="13.5" hidden="1" customHeight="1">
      <c r="A923" s="116">
        <f t="shared" si="145"/>
        <v>24</v>
      </c>
      <c r="B923" s="118">
        <v>46232.0</v>
      </c>
      <c r="C923" s="119"/>
      <c r="D923" s="120" t="str">
        <f t="shared" si="146"/>
        <v>Danilo</v>
      </c>
      <c r="E923" s="147">
        <f>SUMIFS(SSOD!$C:$C,SSOD!$B:$B,Hitungan!D923,SSOD!$A:$A,Hitungan!C923)</f>
        <v>0</v>
      </c>
      <c r="F923" s="148"/>
      <c r="G923" s="124">
        <f t="shared" si="151"/>
        <v>0</v>
      </c>
      <c r="H923" s="126" t="str">
        <f t="array" ref="H923">INDEX('Panduan Gaji'!$Q:$Q,MATCH(D923,'Panduan Gaji'!$C:$C,0))</f>
        <v>KG</v>
      </c>
      <c r="I923" s="128" t="s">
        <v>138</v>
      </c>
      <c r="J923" s="308">
        <v>0.4145833333333334</v>
      </c>
      <c r="K923" s="308">
        <v>0.9166666666666666</v>
      </c>
      <c r="L923" s="153"/>
      <c r="M923" s="16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 ht="13.5" hidden="1" customHeight="1">
      <c r="A924" s="116">
        <f t="shared" si="145"/>
        <v>24</v>
      </c>
      <c r="B924" s="118">
        <v>46233.0</v>
      </c>
      <c r="C924" s="119"/>
      <c r="D924" s="120" t="str">
        <f t="shared" si="146"/>
        <v>Danilo</v>
      </c>
      <c r="E924" s="121">
        <f>SUMIFS(SSOD!$C:$C,SSOD!$B:$B,Hitungan!D924,SSOD!$A:$A,Hitungan!C924)</f>
        <v>0</v>
      </c>
      <c r="F924" s="122"/>
      <c r="G924" s="124">
        <f t="shared" si="151"/>
        <v>0</v>
      </c>
      <c r="H924" s="126" t="str">
        <f t="array" ref="H924">INDEX('Panduan Gaji'!$Q:$Q,MATCH(D924,'Panduan Gaji'!$C:$C,0))</f>
        <v>KG</v>
      </c>
      <c r="I924" s="128" t="s">
        <v>138</v>
      </c>
      <c r="J924" s="308"/>
      <c r="K924" s="351"/>
      <c r="L924" s="164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 ht="13.5" hidden="1" customHeight="1">
      <c r="A925" s="116">
        <f t="shared" si="145"/>
        <v>24</v>
      </c>
      <c r="B925" s="118">
        <v>46234.0</v>
      </c>
      <c r="C925" s="119"/>
      <c r="D925" s="120" t="str">
        <f t="shared" si="146"/>
        <v>Danilo</v>
      </c>
      <c r="E925" s="121">
        <f>SUMIFS(SSOD!$C:$C,SSOD!$B:$B,Hitungan!D925,SSOD!$A:$A,Hitungan!C925)</f>
        <v>0</v>
      </c>
      <c r="F925" s="122"/>
      <c r="G925" s="124">
        <f t="shared" si="151"/>
        <v>0</v>
      </c>
      <c r="H925" s="126" t="str">
        <f t="array" ref="H925">INDEX('Panduan Gaji'!$Q:$Q,MATCH(D925,'Panduan Gaji'!$C:$C,0))</f>
        <v>KG</v>
      </c>
      <c r="I925" s="128" t="s">
        <v>138</v>
      </c>
      <c r="J925" s="308"/>
      <c r="K925" s="352"/>
      <c r="L925" s="130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 ht="13.5" hidden="1" customHeight="1">
      <c r="A926" s="116">
        <f t="shared" si="145"/>
        <v>24</v>
      </c>
      <c r="B926" s="118">
        <v>46235.0</v>
      </c>
      <c r="C926" s="119"/>
      <c r="D926" s="120" t="str">
        <f t="shared" si="146"/>
        <v>Danilo</v>
      </c>
      <c r="E926" s="121">
        <f>SUMIFS(SSOD!$C:$C,SSOD!$B:$B,Hitungan!D926,SSOD!$A:$A,Hitungan!C926)</f>
        <v>0</v>
      </c>
      <c r="F926" s="122"/>
      <c r="G926" s="124">
        <f t="shared" si="151"/>
        <v>0</v>
      </c>
      <c r="H926" s="126" t="str">
        <f t="array" ref="H926">INDEX('Panduan Gaji'!$Q:$Q,MATCH(D926,'Panduan Gaji'!$C:$C,0))</f>
        <v>KG</v>
      </c>
      <c r="I926" s="128" t="s">
        <v>138</v>
      </c>
      <c r="J926" s="309"/>
      <c r="K926" s="351"/>
      <c r="L926" s="145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 ht="13.5" hidden="1" customHeight="1">
      <c r="A927" s="116">
        <f t="shared" si="145"/>
        <v>24</v>
      </c>
      <c r="B927" s="118">
        <v>46236.0</v>
      </c>
      <c r="C927" s="119"/>
      <c r="D927" s="120" t="str">
        <f t="shared" si="146"/>
        <v>Danilo</v>
      </c>
      <c r="E927" s="121">
        <v>0.0</v>
      </c>
      <c r="F927" s="122"/>
      <c r="G927" s="124">
        <f t="shared" si="151"/>
        <v>0</v>
      </c>
      <c r="H927" s="126" t="str">
        <f t="array" ref="H927">INDEX('Panduan Gaji'!$Q:$Q,MATCH(D927,'Panduan Gaji'!$C:$C,0))</f>
        <v>KG</v>
      </c>
      <c r="I927" s="128" t="s">
        <v>138</v>
      </c>
      <c r="J927" s="309"/>
      <c r="K927" s="351"/>
      <c r="L927" s="145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 ht="13.5" hidden="1" customHeight="1">
      <c r="A928" s="116">
        <f t="shared" si="145"/>
        <v>24</v>
      </c>
      <c r="B928" s="118">
        <v>46237.0</v>
      </c>
      <c r="C928" s="119"/>
      <c r="D928" s="120" t="str">
        <f t="shared" si="146"/>
        <v>Danilo</v>
      </c>
      <c r="E928" s="121">
        <f>SUMIFS(SSOD!$C:$C,SSOD!$B:$B,Hitungan!D928,SSOD!$A:$A,Hitungan!C928)</f>
        <v>0</v>
      </c>
      <c r="F928" s="122"/>
      <c r="G928" s="124">
        <f t="shared" si="151"/>
        <v>0</v>
      </c>
      <c r="H928" s="126" t="str">
        <f t="array" ref="H928">INDEX('Panduan Gaji'!$Q:$Q,MATCH(D928,'Panduan Gaji'!$C:$C,0))</f>
        <v>KG</v>
      </c>
      <c r="I928" s="128" t="s">
        <v>138</v>
      </c>
      <c r="J928" s="309"/>
      <c r="K928" s="351"/>
      <c r="L928" s="145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 ht="13.5" hidden="1" customHeight="1">
      <c r="A929" s="116">
        <f t="shared" si="145"/>
        <v>24</v>
      </c>
      <c r="B929" s="118">
        <v>46238.0</v>
      </c>
      <c r="C929" s="119"/>
      <c r="D929" s="120" t="str">
        <f t="shared" si="146"/>
        <v>Danilo</v>
      </c>
      <c r="E929" s="121">
        <f>SUMIFS(SSOD!$C:$C,SSOD!$B:$B,Hitungan!D929,SSOD!$A:$A,Hitungan!C929)</f>
        <v>0</v>
      </c>
      <c r="F929" s="182"/>
      <c r="G929" s="52">
        <f t="shared" si="151"/>
        <v>0</v>
      </c>
      <c r="H929" s="126" t="str">
        <f t="array" ref="H929">INDEX('Panduan Gaji'!$Q:$Q,MATCH(D929,'Panduan Gaji'!$C:$C,0))</f>
        <v>KG</v>
      </c>
      <c r="I929" s="128" t="s">
        <v>138</v>
      </c>
      <c r="J929" s="309"/>
      <c r="K929" s="351"/>
      <c r="L929" s="119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 ht="13.5" hidden="1" customHeight="1">
      <c r="A930" s="116">
        <f t="shared" si="145"/>
        <v>24</v>
      </c>
      <c r="B930" s="118">
        <v>46239.0</v>
      </c>
      <c r="C930" s="119"/>
      <c r="D930" s="120" t="str">
        <f t="shared" si="146"/>
        <v>Danilo</v>
      </c>
      <c r="E930" s="121">
        <f>SUMIFS(SSOD!$C:$C,SSOD!$B:$B,Hitungan!D930,SSOD!$A:$A,Hitungan!C930)</f>
        <v>0</v>
      </c>
      <c r="F930" s="122"/>
      <c r="G930" s="124">
        <f t="shared" si="151"/>
        <v>0</v>
      </c>
      <c r="H930" s="126" t="str">
        <f t="array" ref="H930">INDEX('Panduan Gaji'!$Q:$Q,MATCH(D930,'Panduan Gaji'!$C:$C,0))</f>
        <v>KG</v>
      </c>
      <c r="I930" s="128" t="s">
        <v>138</v>
      </c>
      <c r="J930" s="309"/>
      <c r="K930" s="351"/>
      <c r="L930" s="145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 ht="13.5" hidden="1" customHeight="1">
      <c r="A931" s="116">
        <f t="shared" si="145"/>
        <v>24</v>
      </c>
      <c r="B931" s="118">
        <v>46240.0</v>
      </c>
      <c r="C931" s="119"/>
      <c r="D931" s="120" t="str">
        <f t="shared" si="146"/>
        <v>Danilo</v>
      </c>
      <c r="E931" s="121">
        <f>SUMIFS(SSOD!$C:$C,SSOD!$B:$B,Hitungan!D931,SSOD!$A:$A,Hitungan!C931)</f>
        <v>0</v>
      </c>
      <c r="F931" s="122"/>
      <c r="G931" s="124">
        <f t="shared" si="151"/>
        <v>0</v>
      </c>
      <c r="H931" s="126" t="str">
        <f t="array" ref="H931">INDEX('Panduan Gaji'!$Q:$Q,MATCH(D931,'Panduan Gaji'!$C:$C,0))</f>
        <v>KG</v>
      </c>
      <c r="I931" s="128" t="s">
        <v>138</v>
      </c>
      <c r="J931" s="308"/>
      <c r="K931" s="351"/>
      <c r="L931" s="145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 ht="13.5" hidden="1" customHeight="1">
      <c r="A932" s="116">
        <f t="shared" si="145"/>
        <v>24</v>
      </c>
      <c r="B932" s="118">
        <v>46241.0</v>
      </c>
      <c r="C932" s="119"/>
      <c r="D932" s="120" t="str">
        <f t="shared" si="146"/>
        <v>Danilo</v>
      </c>
      <c r="E932" s="121">
        <f>SUMIFS(SSOD!$C:$C,SSOD!$B:$B,Hitungan!D932,SSOD!$A:$A,Hitungan!C932)</f>
        <v>0</v>
      </c>
      <c r="F932" s="122"/>
      <c r="G932" s="124">
        <f t="shared" si="151"/>
        <v>0</v>
      </c>
      <c r="H932" s="126" t="str">
        <f t="array" ref="H932">INDEX('Panduan Gaji'!$Q:$Q,MATCH(D932,'Panduan Gaji'!$C:$C,0))</f>
        <v>KG</v>
      </c>
      <c r="I932" s="128" t="s">
        <v>138</v>
      </c>
      <c r="J932" s="308"/>
      <c r="K932" s="352"/>
      <c r="L932" s="119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 ht="13.5" hidden="1" customHeight="1">
      <c r="A933" s="116">
        <f t="shared" si="145"/>
        <v>24</v>
      </c>
      <c r="B933" s="118">
        <v>46242.0</v>
      </c>
      <c r="C933" s="119"/>
      <c r="D933" s="120" t="str">
        <f t="shared" si="146"/>
        <v>Danilo</v>
      </c>
      <c r="E933" s="121">
        <f>SUMIFS(SSOD!$C:$C,SSOD!$B:$B,Hitungan!D933,SSOD!$A:$A,Hitungan!C933)</f>
        <v>0</v>
      </c>
      <c r="F933" s="122"/>
      <c r="G933" s="124">
        <f t="shared" si="151"/>
        <v>0</v>
      </c>
      <c r="H933" s="126" t="str">
        <f t="array" ref="H933">INDEX('Panduan Gaji'!$Q:$Q,MATCH(D933,'Panduan Gaji'!$C:$C,0))</f>
        <v>KG</v>
      </c>
      <c r="I933" s="128" t="s">
        <v>138</v>
      </c>
      <c r="J933" s="309"/>
      <c r="K933" s="353"/>
      <c r="L933" s="187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 ht="13.5" hidden="1" customHeight="1">
      <c r="A934" s="116">
        <f t="shared" si="145"/>
        <v>24</v>
      </c>
      <c r="B934" s="118">
        <v>46243.0</v>
      </c>
      <c r="C934" s="119"/>
      <c r="D934" s="120" t="str">
        <f t="shared" si="146"/>
        <v>Danilo</v>
      </c>
      <c r="E934" s="121">
        <f>SUMIFS(SSOD!$C:$C,SSOD!$B:$B,Hitungan!D934,SSOD!$A:$A,Hitungan!C934)</f>
        <v>0</v>
      </c>
      <c r="F934" s="122"/>
      <c r="G934" s="124">
        <f t="shared" si="151"/>
        <v>0</v>
      </c>
      <c r="H934" s="126" t="str">
        <f t="array" ref="H934">INDEX('Panduan Gaji'!$Q:$Q,MATCH(D934,'Panduan Gaji'!$C:$C,0))</f>
        <v>KG</v>
      </c>
      <c r="I934" s="128" t="s">
        <v>138</v>
      </c>
      <c r="J934" s="309"/>
      <c r="K934" s="353"/>
      <c r="L934" s="187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 ht="13.5" hidden="1" customHeight="1">
      <c r="A935" s="116">
        <f t="shared" si="145"/>
        <v>24</v>
      </c>
      <c r="B935" s="118">
        <v>46244.0</v>
      </c>
      <c r="C935" s="119"/>
      <c r="D935" s="120" t="str">
        <f t="shared" si="146"/>
        <v>Danilo</v>
      </c>
      <c r="E935" s="121">
        <f>SUMIFS(SSOD!$C:$C,SSOD!$B:$B,Hitungan!D935,SSOD!$A:$A,Hitungan!C935)</f>
        <v>0</v>
      </c>
      <c r="F935" s="122"/>
      <c r="G935" s="124">
        <f t="shared" si="151"/>
        <v>0</v>
      </c>
      <c r="H935" s="126" t="str">
        <f t="array" ref="H935">INDEX('Panduan Gaji'!$Q:$Q,MATCH(D935,'Panduan Gaji'!$C:$C,0))</f>
        <v>KG</v>
      </c>
      <c r="I935" s="128" t="s">
        <v>138</v>
      </c>
      <c r="J935" s="309"/>
      <c r="K935" s="353"/>
      <c r="L935" s="187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 ht="13.5" hidden="1" customHeight="1">
      <c r="A936" s="116">
        <f t="shared" si="145"/>
        <v>24</v>
      </c>
      <c r="B936" s="118">
        <v>46245.0</v>
      </c>
      <c r="C936" s="119"/>
      <c r="D936" s="120" t="str">
        <f t="shared" si="146"/>
        <v>Danilo</v>
      </c>
      <c r="E936" s="121">
        <f>SUMIFS(SSOD!$C:$C,SSOD!$B:$B,Hitungan!D936,SSOD!$A:$A,Hitungan!C936)</f>
        <v>0</v>
      </c>
      <c r="F936" s="122"/>
      <c r="G936" s="124">
        <f t="shared" si="151"/>
        <v>0</v>
      </c>
      <c r="H936" s="126" t="str">
        <f t="array" ref="H936">INDEX('Panduan Gaji'!$Q:$Q,MATCH(D936,'Panduan Gaji'!$C:$C,0))</f>
        <v>KG</v>
      </c>
      <c r="I936" s="128" t="s">
        <v>138</v>
      </c>
      <c r="J936" s="308"/>
      <c r="K936" s="351"/>
      <c r="L936" s="145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 ht="13.5" hidden="1" customHeight="1">
      <c r="A937" s="116">
        <f t="shared" si="145"/>
        <v>24</v>
      </c>
      <c r="B937" s="118">
        <v>46246.0</v>
      </c>
      <c r="C937" s="119"/>
      <c r="D937" s="120" t="str">
        <f t="shared" si="146"/>
        <v>Danilo</v>
      </c>
      <c r="E937" s="121">
        <f>SUMIFS(SSOD!$C:$C,SSOD!$B:$B,Hitungan!D937,SSOD!$A:$A,Hitungan!C937)</f>
        <v>0</v>
      </c>
      <c r="F937" s="122"/>
      <c r="G937" s="124">
        <f t="shared" si="151"/>
        <v>0</v>
      </c>
      <c r="H937" s="126" t="str">
        <f t="array" ref="H937">INDEX('Panduan Gaji'!$Q:$Q,MATCH(D937,'Panduan Gaji'!$C:$C,0))</f>
        <v>KG</v>
      </c>
      <c r="I937" s="128" t="s">
        <v>138</v>
      </c>
      <c r="J937" s="308"/>
      <c r="K937" s="351"/>
      <c r="L937" s="145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 ht="13.5" hidden="1" customHeight="1">
      <c r="A938" s="116">
        <f t="shared" si="145"/>
        <v>24</v>
      </c>
      <c r="B938" s="118">
        <v>46247.0</v>
      </c>
      <c r="C938" s="119"/>
      <c r="D938" s="120" t="str">
        <f t="shared" si="146"/>
        <v>Danilo</v>
      </c>
      <c r="E938" s="121">
        <f>SUMIFS(SSOD!$C:$C,SSOD!$B:$B,Hitungan!D938,SSOD!$A:$A,Hitungan!C938)</f>
        <v>0</v>
      </c>
      <c r="F938" s="122"/>
      <c r="G938" s="124">
        <f t="shared" si="151"/>
        <v>0</v>
      </c>
      <c r="H938" s="126" t="str">
        <f t="array" ref="H938">INDEX('Panduan Gaji'!$Q:$Q,MATCH(D938,'Panduan Gaji'!$C:$C,0))</f>
        <v>KG</v>
      </c>
      <c r="I938" s="128" t="s">
        <v>138</v>
      </c>
      <c r="J938" s="308"/>
      <c r="K938" s="351"/>
      <c r="L938" s="145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 ht="13.5" hidden="1" customHeight="1">
      <c r="A939" s="116">
        <f t="shared" si="145"/>
        <v>24</v>
      </c>
      <c r="B939" s="118">
        <v>46248.0</v>
      </c>
      <c r="C939" s="119"/>
      <c r="D939" s="120" t="str">
        <f t="shared" si="146"/>
        <v>Danilo</v>
      </c>
      <c r="E939" s="121">
        <f>SUMIFS(SSOD!$C:$C,SSOD!$B:$B,Hitungan!D939,SSOD!$A:$A,Hitungan!C939)</f>
        <v>0</v>
      </c>
      <c r="F939" s="122"/>
      <c r="G939" s="124">
        <f t="shared" si="151"/>
        <v>0</v>
      </c>
      <c r="H939" s="126" t="str">
        <f t="array" ref="H939">INDEX('Panduan Gaji'!$Q:$Q,MATCH(D939,'Panduan Gaji'!$C:$C,0))</f>
        <v>KG</v>
      </c>
      <c r="I939" s="128" t="s">
        <v>138</v>
      </c>
      <c r="J939" s="308"/>
      <c r="K939" s="352"/>
      <c r="L939" s="145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 ht="13.5" hidden="1" customHeight="1">
      <c r="A940" s="116">
        <f t="shared" si="145"/>
        <v>24</v>
      </c>
      <c r="B940" s="118">
        <v>46249.0</v>
      </c>
      <c r="C940" s="119"/>
      <c r="D940" s="120" t="str">
        <f t="shared" si="146"/>
        <v>Danilo</v>
      </c>
      <c r="E940" s="121">
        <f>SUMIFS(SSOD!$C:$C,SSOD!$B:$B,Hitungan!D940,SSOD!$A:$A,Hitungan!C940)</f>
        <v>0</v>
      </c>
      <c r="F940" s="122"/>
      <c r="G940" s="124">
        <f t="shared" si="151"/>
        <v>0</v>
      </c>
      <c r="H940" s="126" t="str">
        <f t="array" ref="H940">INDEX('Panduan Gaji'!$Q:$Q,MATCH(D940,'Panduan Gaji'!$C:$C,0))</f>
        <v>KG</v>
      </c>
      <c r="I940" s="128" t="s">
        <v>138</v>
      </c>
      <c r="J940" s="308"/>
      <c r="K940" s="351"/>
      <c r="L940" s="145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 ht="13.5" hidden="1" customHeight="1">
      <c r="A941" s="116">
        <f t="shared" si="145"/>
        <v>24</v>
      </c>
      <c r="B941" s="118">
        <v>46250.0</v>
      </c>
      <c r="C941" s="119"/>
      <c r="D941" s="120" t="str">
        <f t="shared" si="146"/>
        <v>Danilo</v>
      </c>
      <c r="E941" s="121">
        <f>SUMIFS(SSOD!$C:$C,SSOD!$B:$B,Hitungan!D941,SSOD!$A:$A,Hitungan!C941)</f>
        <v>0</v>
      </c>
      <c r="F941" s="122"/>
      <c r="G941" s="124">
        <f t="shared" si="151"/>
        <v>0</v>
      </c>
      <c r="H941" s="126" t="str">
        <f t="array" ref="H941">INDEX('Panduan Gaji'!$Q:$Q,MATCH(D941,'Panduan Gaji'!$C:$C,0))</f>
        <v>KG</v>
      </c>
      <c r="I941" s="128" t="s">
        <v>138</v>
      </c>
      <c r="J941" s="308"/>
      <c r="K941" s="351"/>
      <c r="L941" s="145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 ht="13.5" hidden="1" customHeight="1">
      <c r="A942" s="116">
        <f t="shared" si="145"/>
        <v>24</v>
      </c>
      <c r="B942" s="118">
        <v>46251.0</v>
      </c>
      <c r="C942" s="119"/>
      <c r="D942" s="120" t="str">
        <f t="shared" si="146"/>
        <v>Danilo</v>
      </c>
      <c r="E942" s="121">
        <f>SUMIFS(SSOD!$C:$C,SSOD!$B:$B,Hitungan!D942,SSOD!$A:$A,Hitungan!C942)</f>
        <v>0</v>
      </c>
      <c r="F942" s="122"/>
      <c r="G942" s="124">
        <f t="shared" si="151"/>
        <v>0</v>
      </c>
      <c r="H942" s="126" t="str">
        <f t="array" ref="H942">INDEX('Panduan Gaji'!$Q:$Q,MATCH(D942,'Panduan Gaji'!$C:$C,0))</f>
        <v>KG</v>
      </c>
      <c r="I942" s="128" t="s">
        <v>138</v>
      </c>
      <c r="J942" s="308"/>
      <c r="K942" s="351"/>
      <c r="L942" s="119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 ht="13.5" hidden="1" customHeight="1">
      <c r="A943" s="116">
        <f t="shared" si="145"/>
        <v>24</v>
      </c>
      <c r="B943" s="118">
        <v>46252.0</v>
      </c>
      <c r="C943" s="119"/>
      <c r="D943" s="120" t="str">
        <f t="shared" si="146"/>
        <v>Danilo</v>
      </c>
      <c r="E943" s="121">
        <f>SUMIFS(SSOD!$C:$C,SSOD!$B:$B,Hitungan!D943,SSOD!$A:$A,Hitungan!C943)</f>
        <v>0</v>
      </c>
      <c r="F943" s="122"/>
      <c r="G943" s="124">
        <f t="shared" si="151"/>
        <v>0</v>
      </c>
      <c r="H943" s="126" t="str">
        <f t="array" ref="H943">INDEX('Panduan Gaji'!$Q:$Q,MATCH(D943,'Panduan Gaji'!$C:$C,0))</f>
        <v>KG</v>
      </c>
      <c r="I943" s="128" t="s">
        <v>138</v>
      </c>
      <c r="J943" s="308"/>
      <c r="K943" s="351"/>
      <c r="L943" s="119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 ht="13.5" hidden="1" customHeight="1">
      <c r="A944" s="116">
        <f t="shared" si="145"/>
        <v>24</v>
      </c>
      <c r="B944" s="118">
        <v>46253.0</v>
      </c>
      <c r="C944" s="119"/>
      <c r="D944" s="120" t="str">
        <f t="shared" si="146"/>
        <v>Danilo</v>
      </c>
      <c r="E944" s="121">
        <f>SUMIFS(SSOD!$C:$C,SSOD!$B:$B,Hitungan!D944,SSOD!$A:$A,Hitungan!C944)</f>
        <v>0</v>
      </c>
      <c r="F944" s="122"/>
      <c r="G944" s="124">
        <f t="shared" si="151"/>
        <v>0</v>
      </c>
      <c r="H944" s="126" t="str">
        <f t="array" ref="H944">INDEX('Panduan Gaji'!$Q:$Q,MATCH(D944,'Panduan Gaji'!$C:$C,0))</f>
        <v>KG</v>
      </c>
      <c r="I944" s="128" t="s">
        <v>138</v>
      </c>
      <c r="J944" s="308"/>
      <c r="K944" s="351"/>
      <c r="L944" s="119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 ht="13.5" hidden="1" customHeight="1">
      <c r="A945" s="116">
        <f t="shared" si="145"/>
        <v>24</v>
      </c>
      <c r="B945" s="118">
        <v>46254.0</v>
      </c>
      <c r="C945" s="119"/>
      <c r="D945" s="120" t="str">
        <f t="shared" si="146"/>
        <v>Danilo</v>
      </c>
      <c r="E945" s="121">
        <f>SUMIFS(SSOD!$C:$C,SSOD!$B:$B,Hitungan!D945,SSOD!$A:$A,Hitungan!C945)</f>
        <v>0</v>
      </c>
      <c r="F945" s="122"/>
      <c r="G945" s="124">
        <f t="shared" si="151"/>
        <v>0</v>
      </c>
      <c r="H945" s="126" t="str">
        <f t="array" ref="H945">INDEX('Panduan Gaji'!$Q:$Q,MATCH(D945,'Panduan Gaji'!$C:$C,0))</f>
        <v>KG</v>
      </c>
      <c r="I945" s="128" t="s">
        <v>138</v>
      </c>
      <c r="J945" s="308"/>
      <c r="K945" s="351"/>
      <c r="L945" s="145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 ht="13.5" hidden="1" customHeight="1">
      <c r="A946" s="116">
        <f t="shared" si="145"/>
        <v>24</v>
      </c>
      <c r="B946" s="118">
        <v>46255.0</v>
      </c>
      <c r="C946" s="119"/>
      <c r="D946" s="120" t="str">
        <f t="shared" si="146"/>
        <v>Danilo</v>
      </c>
      <c r="E946" s="121">
        <f>SUMIFS(SSOD!$C:$C,SSOD!$B:$B,Hitungan!D946,SSOD!$A:$A,Hitungan!C946)</f>
        <v>0</v>
      </c>
      <c r="F946" s="122"/>
      <c r="G946" s="124">
        <f t="shared" si="151"/>
        <v>0</v>
      </c>
      <c r="H946" s="126" t="str">
        <f t="array" ref="H946">INDEX('Panduan Gaji'!$Q:$Q,MATCH(D946,'Panduan Gaji'!$C:$C,0))</f>
        <v>KG</v>
      </c>
      <c r="I946" s="128" t="s">
        <v>138</v>
      </c>
      <c r="J946" s="308"/>
      <c r="K946" s="351"/>
      <c r="L946" s="119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 ht="13.5" hidden="1" customHeight="1">
      <c r="A947" s="116">
        <f t="shared" si="145"/>
        <v>24</v>
      </c>
      <c r="B947" s="118">
        <v>46256.0</v>
      </c>
      <c r="C947" s="119"/>
      <c r="D947" s="120" t="str">
        <f t="shared" si="146"/>
        <v>Danilo</v>
      </c>
      <c r="E947" s="121">
        <f>SUMIFS(SSOD!$C:$C,SSOD!$B:$B,Hitungan!D947,SSOD!$A:$A,Hitungan!C947)</f>
        <v>0</v>
      </c>
      <c r="F947" s="122"/>
      <c r="G947" s="124">
        <f t="shared" si="151"/>
        <v>0</v>
      </c>
      <c r="H947" s="126" t="str">
        <f t="array" ref="H947">INDEX('Panduan Gaji'!$Q:$Q,MATCH(D947,'Panduan Gaji'!$C:$C,0))</f>
        <v>KG</v>
      </c>
      <c r="I947" s="128" t="s">
        <v>138</v>
      </c>
      <c r="J947" s="308"/>
      <c r="K947" s="351"/>
      <c r="L947" s="119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 ht="13.5" hidden="1" customHeight="1">
      <c r="A948" s="116">
        <f t="shared" si="145"/>
        <v>24</v>
      </c>
      <c r="B948" s="118">
        <v>46257.0</v>
      </c>
      <c r="C948" s="119"/>
      <c r="D948" s="120" t="str">
        <f t="shared" si="146"/>
        <v>Danilo</v>
      </c>
      <c r="E948" s="121">
        <f>SUMIFS(SSOD!$C:$C,SSOD!$B:$B,Hitungan!D948,SSOD!$A:$A,Hitungan!C948)</f>
        <v>0</v>
      </c>
      <c r="F948" s="122"/>
      <c r="G948" s="124">
        <f t="shared" si="151"/>
        <v>0</v>
      </c>
      <c r="H948" s="126" t="str">
        <f t="array" ref="H948">INDEX('Panduan Gaji'!$Q:$Q,MATCH(D948,'Panduan Gaji'!$C:$C,0))</f>
        <v>KG</v>
      </c>
      <c r="I948" s="128" t="s">
        <v>138</v>
      </c>
      <c r="J948" s="308"/>
      <c r="K948" s="351"/>
      <c r="L948" s="119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 ht="15.75" hidden="1" customHeight="1">
      <c r="A949" s="116">
        <f t="shared" si="145"/>
        <v>24</v>
      </c>
      <c r="B949" s="118">
        <v>46258.0</v>
      </c>
      <c r="C949" s="119"/>
      <c r="D949" s="120" t="str">
        <f t="shared" si="146"/>
        <v>Danilo</v>
      </c>
      <c r="E949" s="121">
        <f>SUMIFS(SSOD!$C:$C,SSOD!$B:$B,Hitungan!D949,SSOD!$A:$A,Hitungan!C949)</f>
        <v>0</v>
      </c>
      <c r="F949" s="122"/>
      <c r="G949" s="124">
        <f t="shared" si="151"/>
        <v>0</v>
      </c>
      <c r="H949" s="220" t="str">
        <f t="array" ref="H949">INDEX('Panduan Gaji'!$Q:$Q,MATCH(D949,'Panduan Gaji'!$C:$C,0))</f>
        <v>KG</v>
      </c>
      <c r="I949" s="128" t="s">
        <v>138</v>
      </c>
      <c r="J949" s="308"/>
      <c r="K949" s="351"/>
      <c r="L949" s="119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 ht="15.75" hidden="1" customHeight="1">
      <c r="A950" s="222"/>
      <c r="B950" s="223"/>
      <c r="C950" s="224"/>
      <c r="D950" s="225"/>
      <c r="E950" s="226"/>
      <c r="F950" s="227"/>
      <c r="G950" s="228"/>
      <c r="H950" s="229"/>
      <c r="I950" s="22"/>
      <c r="J950" s="230"/>
      <c r="K950" s="230"/>
      <c r="L950" s="224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 ht="13.5" hidden="1" customHeight="1">
      <c r="A951" s="26">
        <v>25.0</v>
      </c>
      <c r="B951" s="28"/>
      <c r="C951" s="30" t="s">
        <v>6</v>
      </c>
      <c r="D951" s="33" t="s">
        <v>113</v>
      </c>
      <c r="E951" s="42">
        <f>SUMIFS(SSOD!$C:$C,SSOD!$B:$B,Hitungan!D951,SSOD!$A:$A,Hitungan!C951)</f>
        <v>0</v>
      </c>
      <c r="F951" s="44">
        <v>1.0</v>
      </c>
      <c r="G951" s="47">
        <f t="shared" ref="G951:G954" si="152">E951*F951</f>
        <v>0</v>
      </c>
      <c r="H951" s="51" t="str">
        <f t="array" ref="H951">INDEX('Panduan Gaji'!$Q:$Q,MATCH(D951,'Panduan Gaji'!$C:$C,0))</f>
        <v>KG</v>
      </c>
      <c r="I951" s="53"/>
      <c r="J951" s="54"/>
      <c r="K951" s="54"/>
      <c r="L951" s="55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 ht="13.5" hidden="1" customHeight="1">
      <c r="A952" s="26">
        <f t="shared" ref="A952:A990" si="153">A951</f>
        <v>25</v>
      </c>
      <c r="B952" s="28"/>
      <c r="C952" s="30" t="s">
        <v>17</v>
      </c>
      <c r="D952" s="33" t="str">
        <f t="shared" ref="D952:D990" si="154">D951</f>
        <v>Ridho</v>
      </c>
      <c r="E952" s="42">
        <f>SUMIFS(SSOD!$C:$C,SSOD!$B:$B,Hitungan!D952,SSOD!$A:$A,Hitungan!C952)</f>
        <v>150000</v>
      </c>
      <c r="F952" s="44">
        <f>F953</f>
        <v>10</v>
      </c>
      <c r="G952" s="47">
        <f t="shared" si="152"/>
        <v>1500000</v>
      </c>
      <c r="H952" s="51" t="str">
        <f t="array" ref="H952">INDEX('Panduan Gaji'!$Q:$Q,MATCH(D952,'Panduan Gaji'!$C:$C,0))</f>
        <v>KG</v>
      </c>
      <c r="I952" s="53"/>
      <c r="J952" s="54"/>
      <c r="K952" s="54"/>
      <c r="L952" s="55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 ht="13.5" hidden="1" customHeight="1">
      <c r="A953" s="26">
        <f t="shared" si="153"/>
        <v>25</v>
      </c>
      <c r="B953" s="28"/>
      <c r="C953" s="30" t="s">
        <v>7</v>
      </c>
      <c r="D953" s="33" t="str">
        <f t="shared" si="154"/>
        <v>Ridho</v>
      </c>
      <c r="E953" s="42">
        <f>SUMIFS(SSOD!$C:$C,SSOD!$B:$B,Hitungan!D953,SSOD!$A:$A,Hitungan!C953)</f>
        <v>0</v>
      </c>
      <c r="F953" s="44">
        <f t="shared" ref="F953:F954" si="155">SUMPRODUCT(--((($J$961:$J$990&lt;&gt;"")+($K$961:$K$990&lt;&gt;""))&gt;0))</f>
        <v>10</v>
      </c>
      <c r="G953" s="47">
        <f t="shared" si="152"/>
        <v>0</v>
      </c>
      <c r="H953" s="51" t="str">
        <f t="array" ref="H953">INDEX('Panduan Gaji'!$Q:$Q,MATCH(D953,'Panduan Gaji'!$C:$C,0))</f>
        <v>KG</v>
      </c>
      <c r="I953" s="53"/>
      <c r="J953" s="88"/>
      <c r="K953" s="88"/>
      <c r="L953" s="55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 ht="13.5" hidden="1" customHeight="1">
      <c r="A954" s="26">
        <f t="shared" si="153"/>
        <v>25</v>
      </c>
      <c r="B954" s="28"/>
      <c r="C954" s="30" t="s">
        <v>9</v>
      </c>
      <c r="D954" s="33" t="str">
        <f t="shared" si="154"/>
        <v>Ridho</v>
      </c>
      <c r="E954" s="42">
        <f>SUMIFS(SSOD!$C:$C,SSOD!$B:$B,Hitungan!D954,SSOD!$A:$A,Hitungan!C954)</f>
        <v>0</v>
      </c>
      <c r="F954" s="44">
        <f t="shared" si="155"/>
        <v>10</v>
      </c>
      <c r="G954" s="47">
        <f t="shared" si="152"/>
        <v>0</v>
      </c>
      <c r="H954" s="51" t="str">
        <f t="array" ref="H954">INDEX('Panduan Gaji'!$Q:$Q,MATCH(D954,'Panduan Gaji'!$C:$C,0))</f>
        <v>KG</v>
      </c>
      <c r="I954" s="53"/>
      <c r="J954" s="88"/>
      <c r="K954" s="88"/>
      <c r="L954" s="9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 ht="15.75" hidden="1" customHeight="1">
      <c r="A955" s="26">
        <f t="shared" si="153"/>
        <v>25</v>
      </c>
      <c r="B955" s="28"/>
      <c r="C955" s="30" t="s">
        <v>39</v>
      </c>
      <c r="D955" s="33" t="str">
        <f t="shared" si="154"/>
        <v>Ridho</v>
      </c>
      <c r="E955" s="42"/>
      <c r="F955" s="44">
        <v>1.0</v>
      </c>
      <c r="G955" s="47">
        <f>F955*E955</f>
        <v>0</v>
      </c>
      <c r="H955" s="51" t="str">
        <f t="array" ref="H955">INDEX('Panduan Gaji'!$Q:$Q,MATCH(D955,'Panduan Gaji'!$C:$C,0))</f>
        <v>KG</v>
      </c>
      <c r="I955" s="53"/>
      <c r="J955" s="88"/>
      <c r="K955" s="88"/>
      <c r="L955" s="9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 ht="15.75" hidden="1" customHeight="1">
      <c r="A956" s="26">
        <f t="shared" si="153"/>
        <v>25</v>
      </c>
      <c r="B956" s="28"/>
      <c r="C956" s="30" t="s">
        <v>12</v>
      </c>
      <c r="D956" s="33" t="str">
        <f t="shared" si="154"/>
        <v>Ridho</v>
      </c>
      <c r="E956" s="42">
        <f>SUMIFS(SSOD!$C:$C,SSOD!$B:$B,Hitungan!D956,SSOD!$A:$A,Hitungan!C956)</f>
        <v>15000</v>
      </c>
      <c r="F956" s="44">
        <f>SUMIF($C$961:$C$990,C956,$F$961:$F$990)</f>
        <v>0</v>
      </c>
      <c r="G956" s="47">
        <f t="shared" ref="G956:G957" si="156">E956*F956</f>
        <v>0</v>
      </c>
      <c r="H956" s="51" t="str">
        <f t="array" ref="H956">INDEX('Panduan Gaji'!$Q:$Q,MATCH(D956,'Panduan Gaji'!$C:$C,0))</f>
        <v>KG</v>
      </c>
      <c r="I956" s="53"/>
      <c r="J956" s="88"/>
      <c r="K956" s="88"/>
      <c r="L956" s="100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 ht="15.75" hidden="1" customHeight="1">
      <c r="A957" s="26">
        <f t="shared" si="153"/>
        <v>25</v>
      </c>
      <c r="B957" s="28"/>
      <c r="C957" s="102" t="s">
        <v>30</v>
      </c>
      <c r="D957" s="33" t="str">
        <f t="shared" si="154"/>
        <v>Ridho</v>
      </c>
      <c r="E957" s="42">
        <f>SUMIFS(SSOD!$C:$C,SSOD!$B:$B,Hitungan!D957,SSOD!$A:$A,Hitungan!C957)</f>
        <v>12500</v>
      </c>
      <c r="F957" s="44">
        <f t="shared" ref="F957:F958" si="157">COUNTIF($C$961:$C$990,C957)</f>
        <v>0</v>
      </c>
      <c r="G957" s="47">
        <f t="shared" si="156"/>
        <v>0</v>
      </c>
      <c r="H957" s="51" t="str">
        <f t="array" ref="H957">INDEX('Panduan Gaji'!$Q:$Q,MATCH(D957,'Panduan Gaji'!$C:$C,0))</f>
        <v>KG</v>
      </c>
      <c r="I957" s="53"/>
      <c r="J957" s="105"/>
      <c r="K957" s="105"/>
      <c r="L957" s="10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 ht="15.75" hidden="1" customHeight="1">
      <c r="A958" s="26">
        <f t="shared" si="153"/>
        <v>25</v>
      </c>
      <c r="B958" s="28"/>
      <c r="C958" s="30" t="s">
        <v>33</v>
      </c>
      <c r="D958" s="33" t="str">
        <f t="shared" si="154"/>
        <v>Ridho</v>
      </c>
      <c r="E958" s="42"/>
      <c r="F958" s="44">
        <f t="shared" si="157"/>
        <v>0</v>
      </c>
      <c r="G958" s="47">
        <f>SUMIF($C$961:$C$990,C958,$E$961:$E$990)</f>
        <v>0</v>
      </c>
      <c r="H958" s="51" t="str">
        <f t="array" ref="H958">INDEX('Panduan Gaji'!$Q:$Q,MATCH(D958,'Panduan Gaji'!$C:$C,0))</f>
        <v>KG</v>
      </c>
      <c r="I958" s="53"/>
      <c r="J958" s="105"/>
      <c r="K958" s="105"/>
      <c r="L958" s="10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 ht="15.75" hidden="1" customHeight="1">
      <c r="A959" s="26">
        <f t="shared" si="153"/>
        <v>25</v>
      </c>
      <c r="B959" s="28"/>
      <c r="C959" s="30" t="s">
        <v>83</v>
      </c>
      <c r="D959" s="33" t="str">
        <f t="shared" si="154"/>
        <v>Ridho</v>
      </c>
      <c r="E959" s="42"/>
      <c r="F959" s="44"/>
      <c r="G959" s="47"/>
      <c r="H959" s="51" t="str">
        <f t="array" ref="H959">INDEX('Panduan Gaji'!$Q:$Q,MATCH(D959,'Panduan Gaji'!$C:$C,0))</f>
        <v>KG</v>
      </c>
      <c r="I959" s="53"/>
      <c r="J959" s="105"/>
      <c r="K959" s="105"/>
      <c r="L959" s="10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 ht="13.5" hidden="1" customHeight="1">
      <c r="A960" s="26">
        <f t="shared" si="153"/>
        <v>25</v>
      </c>
      <c r="B960" s="28"/>
      <c r="C960" s="30" t="s">
        <v>85</v>
      </c>
      <c r="D960" s="33" t="str">
        <f t="shared" si="154"/>
        <v>Ridho</v>
      </c>
      <c r="E960" s="42"/>
      <c r="F960" s="44"/>
      <c r="G960" s="47"/>
      <c r="H960" s="51" t="str">
        <f t="array" ref="H960">INDEX('Panduan Gaji'!$Q:$Q,MATCH(D960,'Panduan Gaji'!$C:$C,0))</f>
        <v>KG</v>
      </c>
      <c r="I960" s="53"/>
      <c r="J960" s="105"/>
      <c r="K960" s="105"/>
      <c r="L960" s="106"/>
      <c r="M960" s="56"/>
      <c r="N960" s="56"/>
      <c r="O960" s="22"/>
      <c r="P960" s="56"/>
      <c r="Q960" s="56"/>
      <c r="R960" s="56"/>
      <c r="S960" s="56"/>
      <c r="T960" s="56"/>
      <c r="U960" s="56"/>
      <c r="V960" s="56"/>
      <c r="W960" s="56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 ht="13.5" hidden="1" customHeight="1">
      <c r="A961" s="116">
        <f t="shared" si="153"/>
        <v>25</v>
      </c>
      <c r="B961" s="118">
        <v>46229.0</v>
      </c>
      <c r="C961" s="119"/>
      <c r="D961" s="120" t="str">
        <f t="shared" si="154"/>
        <v>Ridho</v>
      </c>
      <c r="E961" s="121">
        <f>SUMIFS(SSOD!$C:$C,SSOD!$B:$B,Hitungan!D961,SSOD!$A:$A,Hitungan!C961)</f>
        <v>0</v>
      </c>
      <c r="F961" s="122"/>
      <c r="G961" s="124">
        <f t="shared" ref="G961:G990" si="158">E961*F961</f>
        <v>0</v>
      </c>
      <c r="H961" s="126" t="str">
        <f t="array" ref="H961">INDEX('Panduan Gaji'!$Q:$Q,MATCH(D961,'Panduan Gaji'!$C:$C,0))</f>
        <v>KG</v>
      </c>
      <c r="I961" s="128" t="s">
        <v>138</v>
      </c>
      <c r="J961" s="308">
        <v>0.4083333333333333</v>
      </c>
      <c r="K961" s="308">
        <v>0.9166666666666666</v>
      </c>
      <c r="L961" s="130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 ht="13.5" hidden="1" customHeight="1">
      <c r="A962" s="116">
        <f t="shared" si="153"/>
        <v>25</v>
      </c>
      <c r="B962" s="118">
        <v>46230.0</v>
      </c>
      <c r="C962" s="119"/>
      <c r="D962" s="120" t="str">
        <f t="shared" si="154"/>
        <v>Ridho</v>
      </c>
      <c r="E962" s="121">
        <f>SUMIFS(SSOD!$C:$C,SSOD!$B:$B,Hitungan!D962,SSOD!$A:$A,Hitungan!C962)</f>
        <v>0</v>
      </c>
      <c r="F962" s="122"/>
      <c r="G962" s="124">
        <f t="shared" si="158"/>
        <v>0</v>
      </c>
      <c r="H962" s="126" t="str">
        <f t="array" ref="H962">INDEX('Panduan Gaji'!$Q:$Q,MATCH(D962,'Panduan Gaji'!$C:$C,0))</f>
        <v>KG</v>
      </c>
      <c r="I962" s="128" t="s">
        <v>138</v>
      </c>
      <c r="J962" s="308"/>
      <c r="K962" s="308"/>
      <c r="L962" s="138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 ht="13.5" hidden="1" customHeight="1">
      <c r="A963" s="116">
        <f t="shared" si="153"/>
        <v>25</v>
      </c>
      <c r="B963" s="118">
        <v>46231.0</v>
      </c>
      <c r="C963" s="119"/>
      <c r="D963" s="120" t="str">
        <f t="shared" si="154"/>
        <v>Ridho</v>
      </c>
      <c r="E963" s="121">
        <f>SUMIFS(SSOD!$C:$C,SSOD!$B:$B,Hitungan!D963,SSOD!$A:$A,Hitungan!C963)</f>
        <v>0</v>
      </c>
      <c r="F963" s="122"/>
      <c r="G963" s="124">
        <f t="shared" si="158"/>
        <v>0</v>
      </c>
      <c r="H963" s="126" t="str">
        <f t="array" ref="H963">INDEX('Panduan Gaji'!$Q:$Q,MATCH(D963,'Panduan Gaji'!$C:$C,0))</f>
        <v>KG</v>
      </c>
      <c r="I963" s="128" t="s">
        <v>138</v>
      </c>
      <c r="J963" s="308"/>
      <c r="K963" s="308"/>
      <c r="L963" s="145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 ht="13.5" hidden="1" customHeight="1">
      <c r="A964" s="116">
        <f t="shared" si="153"/>
        <v>25</v>
      </c>
      <c r="B964" s="118">
        <v>46232.0</v>
      </c>
      <c r="C964" s="146"/>
      <c r="D964" s="120" t="str">
        <f t="shared" si="154"/>
        <v>Ridho</v>
      </c>
      <c r="E964" s="147">
        <f>SUMIFS(SSOD!$C:$C,SSOD!$B:$B,Hitungan!D964,SSOD!$A:$A,Hitungan!C964)</f>
        <v>0</v>
      </c>
      <c r="F964" s="148"/>
      <c r="G964" s="124">
        <f t="shared" si="158"/>
        <v>0</v>
      </c>
      <c r="H964" s="126" t="str">
        <f t="array" ref="H964">INDEX('Panduan Gaji'!$Q:$Q,MATCH(D964,'Panduan Gaji'!$C:$C,0))</f>
        <v>KG</v>
      </c>
      <c r="I964" s="128" t="s">
        <v>138</v>
      </c>
      <c r="J964" s="308"/>
      <c r="K964" s="308"/>
      <c r="L964" s="153"/>
      <c r="M964" s="16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 ht="13.5" hidden="1" customHeight="1">
      <c r="A965" s="116">
        <f t="shared" si="153"/>
        <v>25</v>
      </c>
      <c r="B965" s="118">
        <v>46233.0</v>
      </c>
      <c r="C965" s="119"/>
      <c r="D965" s="120" t="str">
        <f t="shared" si="154"/>
        <v>Ridho</v>
      </c>
      <c r="E965" s="121">
        <f>SUMIFS(SSOD!$C:$C,SSOD!$B:$B,Hitungan!D965,SSOD!$A:$A,Hitungan!C965)</f>
        <v>0</v>
      </c>
      <c r="F965" s="122"/>
      <c r="G965" s="124">
        <f t="shared" si="158"/>
        <v>0</v>
      </c>
      <c r="H965" s="126" t="str">
        <f t="array" ref="H965">INDEX('Panduan Gaji'!$Q:$Q,MATCH(D965,'Panduan Gaji'!$C:$C,0))</f>
        <v>KG</v>
      </c>
      <c r="I965" s="128" t="s">
        <v>138</v>
      </c>
      <c r="J965" s="308"/>
      <c r="K965" s="308"/>
      <c r="L965" s="164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 ht="13.5" hidden="1" customHeight="1">
      <c r="A966" s="116">
        <f t="shared" si="153"/>
        <v>25</v>
      </c>
      <c r="B966" s="118">
        <v>46234.0</v>
      </c>
      <c r="C966" s="119"/>
      <c r="D966" s="120" t="str">
        <f t="shared" si="154"/>
        <v>Ridho</v>
      </c>
      <c r="E966" s="121">
        <f>SUMIFS(SSOD!$C:$C,SSOD!$B:$B,Hitungan!D966,SSOD!$A:$A,Hitungan!C966)</f>
        <v>0</v>
      </c>
      <c r="F966" s="122"/>
      <c r="G966" s="124">
        <f t="shared" si="158"/>
        <v>0</v>
      </c>
      <c r="H966" s="126" t="str">
        <f t="array" ref="H966">INDEX('Panduan Gaji'!$Q:$Q,MATCH(D966,'Panduan Gaji'!$C:$C,0))</f>
        <v>KG</v>
      </c>
      <c r="I966" s="128" t="s">
        <v>138</v>
      </c>
      <c r="J966" s="308"/>
      <c r="K966" s="310"/>
      <c r="L966" s="130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 ht="13.5" hidden="1" customHeight="1">
      <c r="A967" s="116">
        <f t="shared" si="153"/>
        <v>25</v>
      </c>
      <c r="B967" s="118">
        <v>46235.0</v>
      </c>
      <c r="C967" s="119"/>
      <c r="D967" s="120" t="str">
        <f t="shared" si="154"/>
        <v>Ridho</v>
      </c>
      <c r="E967" s="121">
        <f>SUMIFS(SSOD!$C:$C,SSOD!$B:$B,Hitungan!D967,SSOD!$A:$A,Hitungan!C967)</f>
        <v>0</v>
      </c>
      <c r="F967" s="122"/>
      <c r="G967" s="124">
        <f t="shared" si="158"/>
        <v>0</v>
      </c>
      <c r="H967" s="126" t="str">
        <f t="array" ref="H967">INDEX('Panduan Gaji'!$Q:$Q,MATCH(D967,'Panduan Gaji'!$C:$C,0))</f>
        <v>KG</v>
      </c>
      <c r="I967" s="128" t="s">
        <v>138</v>
      </c>
      <c r="J967" s="309">
        <v>0.41875</v>
      </c>
      <c r="K967" s="308">
        <v>0.9166666666666666</v>
      </c>
      <c r="L967" s="145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 ht="13.5" hidden="1" customHeight="1">
      <c r="A968" s="116">
        <f t="shared" si="153"/>
        <v>25</v>
      </c>
      <c r="B968" s="118">
        <v>46236.0</v>
      </c>
      <c r="C968" s="119"/>
      <c r="D968" s="120" t="str">
        <f t="shared" si="154"/>
        <v>Ridho</v>
      </c>
      <c r="E968" s="121">
        <v>0.0</v>
      </c>
      <c r="F968" s="122"/>
      <c r="G968" s="124">
        <f t="shared" si="158"/>
        <v>0</v>
      </c>
      <c r="H968" s="126" t="str">
        <f t="array" ref="H968">INDEX('Panduan Gaji'!$Q:$Q,MATCH(D968,'Panduan Gaji'!$C:$C,0))</f>
        <v>KG</v>
      </c>
      <c r="I968" s="128" t="s">
        <v>138</v>
      </c>
      <c r="J968" s="309">
        <v>0.4069444444444444</v>
      </c>
      <c r="K968" s="308">
        <v>0.9166666666666666</v>
      </c>
      <c r="L968" s="145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 ht="13.5" hidden="1" customHeight="1">
      <c r="A969" s="116">
        <f t="shared" si="153"/>
        <v>25</v>
      </c>
      <c r="B969" s="118">
        <v>46237.0</v>
      </c>
      <c r="C969" s="119"/>
      <c r="D969" s="120" t="str">
        <f t="shared" si="154"/>
        <v>Ridho</v>
      </c>
      <c r="E969" s="121">
        <f>SUMIFS(SSOD!$C:$C,SSOD!$B:$B,Hitungan!D969,SSOD!$A:$A,Hitungan!C969)</f>
        <v>0</v>
      </c>
      <c r="F969" s="122"/>
      <c r="G969" s="124">
        <f t="shared" si="158"/>
        <v>0</v>
      </c>
      <c r="H969" s="126" t="str">
        <f t="array" ref="H969">INDEX('Panduan Gaji'!$Q:$Q,MATCH(D969,'Panduan Gaji'!$C:$C,0))</f>
        <v>KG</v>
      </c>
      <c r="I969" s="128" t="s">
        <v>138</v>
      </c>
      <c r="J969" s="309"/>
      <c r="K969" s="308"/>
      <c r="L969" s="145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 ht="13.5" hidden="1" customHeight="1">
      <c r="A970" s="116">
        <f t="shared" si="153"/>
        <v>25</v>
      </c>
      <c r="B970" s="118">
        <v>46238.0</v>
      </c>
      <c r="C970" s="181"/>
      <c r="D970" s="120" t="str">
        <f t="shared" si="154"/>
        <v>Ridho</v>
      </c>
      <c r="E970" s="121">
        <f>SUMIFS(SSOD!$C:$C,SSOD!$B:$B,Hitungan!D970,SSOD!$A:$A,Hitungan!C970)</f>
        <v>0</v>
      </c>
      <c r="F970" s="182"/>
      <c r="G970" s="52">
        <f t="shared" si="158"/>
        <v>0</v>
      </c>
      <c r="H970" s="126" t="str">
        <f t="array" ref="H970">INDEX('Panduan Gaji'!$Q:$Q,MATCH(D970,'Panduan Gaji'!$C:$C,0))</f>
        <v>KG</v>
      </c>
      <c r="I970" s="128" t="s">
        <v>138</v>
      </c>
      <c r="J970" s="309"/>
      <c r="K970" s="308"/>
      <c r="L970" s="119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 ht="13.5" hidden="1" customHeight="1">
      <c r="A971" s="116">
        <f t="shared" si="153"/>
        <v>25</v>
      </c>
      <c r="B971" s="118">
        <v>46239.0</v>
      </c>
      <c r="C971" s="119"/>
      <c r="D971" s="120" t="str">
        <f t="shared" si="154"/>
        <v>Ridho</v>
      </c>
      <c r="E971" s="121">
        <f>SUMIFS(SSOD!$C:$C,SSOD!$B:$B,Hitungan!D971,SSOD!$A:$A,Hitungan!C971)</f>
        <v>0</v>
      </c>
      <c r="F971" s="122"/>
      <c r="G971" s="124">
        <f t="shared" si="158"/>
        <v>0</v>
      </c>
      <c r="H971" s="126" t="str">
        <f t="array" ref="H971">INDEX('Panduan Gaji'!$Q:$Q,MATCH(D971,'Panduan Gaji'!$C:$C,0))</f>
        <v>KG</v>
      </c>
      <c r="I971" s="128" t="s">
        <v>138</v>
      </c>
      <c r="J971" s="309"/>
      <c r="K971" s="308"/>
      <c r="L971" s="145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 ht="13.5" hidden="1" customHeight="1">
      <c r="A972" s="116">
        <f t="shared" si="153"/>
        <v>25</v>
      </c>
      <c r="B972" s="118">
        <v>46240.0</v>
      </c>
      <c r="C972" s="119"/>
      <c r="D972" s="120" t="str">
        <f t="shared" si="154"/>
        <v>Ridho</v>
      </c>
      <c r="E972" s="121">
        <f>SUMIFS(SSOD!$C:$C,SSOD!$B:$B,Hitungan!D972,SSOD!$A:$A,Hitungan!C972)</f>
        <v>0</v>
      </c>
      <c r="F972" s="122"/>
      <c r="G972" s="124">
        <f t="shared" si="158"/>
        <v>0</v>
      </c>
      <c r="H972" s="126" t="str">
        <f t="array" ref="H972">INDEX('Panduan Gaji'!$Q:$Q,MATCH(D972,'Panduan Gaji'!$C:$C,0))</f>
        <v>KG</v>
      </c>
      <c r="I972" s="128" t="s">
        <v>138</v>
      </c>
      <c r="J972" s="308"/>
      <c r="K972" s="308"/>
      <c r="L972" s="145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 ht="13.5" hidden="1" customHeight="1">
      <c r="A973" s="116">
        <f t="shared" si="153"/>
        <v>25</v>
      </c>
      <c r="B973" s="118">
        <v>46241.0</v>
      </c>
      <c r="C973" s="119"/>
      <c r="D973" s="120" t="str">
        <f t="shared" si="154"/>
        <v>Ridho</v>
      </c>
      <c r="E973" s="121">
        <f>SUMIFS(SSOD!$C:$C,SSOD!$B:$B,Hitungan!D973,SSOD!$A:$A,Hitungan!C973)</f>
        <v>0</v>
      </c>
      <c r="F973" s="122"/>
      <c r="G973" s="124">
        <f t="shared" si="158"/>
        <v>0</v>
      </c>
      <c r="H973" s="126" t="str">
        <f t="array" ref="H973">INDEX('Panduan Gaji'!$Q:$Q,MATCH(D973,'Panduan Gaji'!$C:$C,0))</f>
        <v>KG</v>
      </c>
      <c r="I973" s="128" t="s">
        <v>138</v>
      </c>
      <c r="J973" s="308"/>
      <c r="K973" s="310"/>
      <c r="L973" s="119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 ht="13.5" hidden="1" customHeight="1">
      <c r="A974" s="116">
        <f t="shared" si="153"/>
        <v>25</v>
      </c>
      <c r="B974" s="118">
        <v>46242.0</v>
      </c>
      <c r="C974" s="119"/>
      <c r="D974" s="120" t="str">
        <f t="shared" si="154"/>
        <v>Ridho</v>
      </c>
      <c r="E974" s="121">
        <f>SUMIFS(SSOD!$C:$C,SSOD!$B:$B,Hitungan!D974,SSOD!$A:$A,Hitungan!C974)</f>
        <v>0</v>
      </c>
      <c r="F974" s="122"/>
      <c r="G974" s="124">
        <f t="shared" si="158"/>
        <v>0</v>
      </c>
      <c r="H974" s="126" t="str">
        <f t="array" ref="H974">INDEX('Panduan Gaji'!$Q:$Q,MATCH(D974,'Panduan Gaji'!$C:$C,0))</f>
        <v>KG</v>
      </c>
      <c r="I974" s="128" t="s">
        <v>138</v>
      </c>
      <c r="J974" s="309">
        <v>0.4069444444444444</v>
      </c>
      <c r="K974" s="309">
        <v>0.9166666666666666</v>
      </c>
      <c r="L974" s="187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 ht="13.5" hidden="1" customHeight="1">
      <c r="A975" s="116">
        <f t="shared" si="153"/>
        <v>25</v>
      </c>
      <c r="B975" s="118">
        <v>46243.0</v>
      </c>
      <c r="C975" s="119"/>
      <c r="D975" s="120" t="str">
        <f t="shared" si="154"/>
        <v>Ridho</v>
      </c>
      <c r="E975" s="121">
        <f>SUMIFS(SSOD!$C:$C,SSOD!$B:$B,Hitungan!D975,SSOD!$A:$A,Hitungan!C975)</f>
        <v>0</v>
      </c>
      <c r="F975" s="122"/>
      <c r="G975" s="124">
        <f t="shared" si="158"/>
        <v>0</v>
      </c>
      <c r="H975" s="126" t="str">
        <f t="array" ref="H975">INDEX('Panduan Gaji'!$Q:$Q,MATCH(D975,'Panduan Gaji'!$C:$C,0))</f>
        <v>KG</v>
      </c>
      <c r="I975" s="128" t="s">
        <v>138</v>
      </c>
      <c r="J975" s="309">
        <v>0.4097222222222222</v>
      </c>
      <c r="K975" s="309">
        <v>0.9166666666666666</v>
      </c>
      <c r="L975" s="187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 ht="13.5" hidden="1" customHeight="1">
      <c r="A976" s="116">
        <f t="shared" si="153"/>
        <v>25</v>
      </c>
      <c r="B976" s="118">
        <v>46244.0</v>
      </c>
      <c r="C976" s="119"/>
      <c r="D976" s="120" t="str">
        <f t="shared" si="154"/>
        <v>Ridho</v>
      </c>
      <c r="E976" s="121">
        <f>SUMIFS(SSOD!$C:$C,SSOD!$B:$B,Hitungan!D976,SSOD!$A:$A,Hitungan!C976)</f>
        <v>0</v>
      </c>
      <c r="F976" s="122"/>
      <c r="G976" s="124">
        <f t="shared" si="158"/>
        <v>0</v>
      </c>
      <c r="H976" s="126" t="str">
        <f t="array" ref="H976">INDEX('Panduan Gaji'!$Q:$Q,MATCH(D976,'Panduan Gaji'!$C:$C,0))</f>
        <v>KG</v>
      </c>
      <c r="I976" s="128" t="s">
        <v>138</v>
      </c>
      <c r="J976" s="309"/>
      <c r="K976" s="309"/>
      <c r="L976" s="187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 ht="13.5" hidden="1" customHeight="1">
      <c r="A977" s="116">
        <f t="shared" si="153"/>
        <v>25</v>
      </c>
      <c r="B977" s="118">
        <v>46245.0</v>
      </c>
      <c r="C977" s="119"/>
      <c r="D977" s="120" t="str">
        <f t="shared" si="154"/>
        <v>Ridho</v>
      </c>
      <c r="E977" s="121">
        <f>SUMIFS(SSOD!$C:$C,SSOD!$B:$B,Hitungan!D977,SSOD!$A:$A,Hitungan!C977)</f>
        <v>0</v>
      </c>
      <c r="F977" s="122"/>
      <c r="G977" s="124">
        <f t="shared" si="158"/>
        <v>0</v>
      </c>
      <c r="H977" s="126" t="str">
        <f t="array" ref="H977">INDEX('Panduan Gaji'!$Q:$Q,MATCH(D977,'Panduan Gaji'!$C:$C,0))</f>
        <v>KG</v>
      </c>
      <c r="I977" s="128" t="s">
        <v>138</v>
      </c>
      <c r="J977" s="308"/>
      <c r="K977" s="308"/>
      <c r="L977" s="145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 ht="13.5" hidden="1" customHeight="1">
      <c r="A978" s="116">
        <f t="shared" si="153"/>
        <v>25</v>
      </c>
      <c r="B978" s="118">
        <v>46246.0</v>
      </c>
      <c r="C978" s="119"/>
      <c r="D978" s="120" t="str">
        <f t="shared" si="154"/>
        <v>Ridho</v>
      </c>
      <c r="E978" s="121">
        <f>SUMIFS(SSOD!$C:$C,SSOD!$B:$B,Hitungan!D978,SSOD!$A:$A,Hitungan!C978)</f>
        <v>0</v>
      </c>
      <c r="F978" s="122"/>
      <c r="G978" s="124">
        <f t="shared" si="158"/>
        <v>0</v>
      </c>
      <c r="H978" s="126" t="str">
        <f t="array" ref="H978">INDEX('Panduan Gaji'!$Q:$Q,MATCH(D978,'Panduan Gaji'!$C:$C,0))</f>
        <v>KG</v>
      </c>
      <c r="I978" s="128" t="s">
        <v>138</v>
      </c>
      <c r="J978" s="308"/>
      <c r="K978" s="308"/>
      <c r="L978" s="145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 ht="13.5" hidden="1" customHeight="1">
      <c r="A979" s="116">
        <f t="shared" si="153"/>
        <v>25</v>
      </c>
      <c r="B979" s="118">
        <v>46247.0</v>
      </c>
      <c r="C979" s="119"/>
      <c r="D979" s="120" t="str">
        <f t="shared" si="154"/>
        <v>Ridho</v>
      </c>
      <c r="E979" s="121">
        <f>SUMIFS(SSOD!$C:$C,SSOD!$B:$B,Hitungan!D979,SSOD!$A:$A,Hitungan!C979)</f>
        <v>0</v>
      </c>
      <c r="F979" s="122"/>
      <c r="G979" s="124">
        <f t="shared" si="158"/>
        <v>0</v>
      </c>
      <c r="H979" s="126" t="str">
        <f t="array" ref="H979">INDEX('Panduan Gaji'!$Q:$Q,MATCH(D979,'Panduan Gaji'!$C:$C,0))</f>
        <v>KG</v>
      </c>
      <c r="I979" s="128" t="s">
        <v>138</v>
      </c>
      <c r="J979" s="308"/>
      <c r="K979" s="308"/>
      <c r="L979" s="145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 ht="13.5" hidden="1" customHeight="1">
      <c r="A980" s="116">
        <f t="shared" si="153"/>
        <v>25</v>
      </c>
      <c r="B980" s="118">
        <v>46248.0</v>
      </c>
      <c r="C980" s="119"/>
      <c r="D980" s="120" t="str">
        <f t="shared" si="154"/>
        <v>Ridho</v>
      </c>
      <c r="E980" s="121">
        <f>SUMIFS(SSOD!$C:$C,SSOD!$B:$B,Hitungan!D980,SSOD!$A:$A,Hitungan!C980)</f>
        <v>0</v>
      </c>
      <c r="F980" s="122"/>
      <c r="G980" s="124">
        <f t="shared" si="158"/>
        <v>0</v>
      </c>
      <c r="H980" s="126" t="str">
        <f t="array" ref="H980">INDEX('Panduan Gaji'!$Q:$Q,MATCH(D980,'Panduan Gaji'!$C:$C,0))</f>
        <v>KG</v>
      </c>
      <c r="I980" s="128" t="s">
        <v>138</v>
      </c>
      <c r="J980" s="308"/>
      <c r="K980" s="310"/>
      <c r="L980" s="145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 ht="13.5" hidden="1" customHeight="1">
      <c r="A981" s="116">
        <f t="shared" si="153"/>
        <v>25</v>
      </c>
      <c r="B981" s="118">
        <v>46249.0</v>
      </c>
      <c r="C981" s="119"/>
      <c r="D981" s="120" t="str">
        <f t="shared" si="154"/>
        <v>Ridho</v>
      </c>
      <c r="E981" s="121">
        <f>SUMIFS(SSOD!$C:$C,SSOD!$B:$B,Hitungan!D981,SSOD!$A:$A,Hitungan!C981)</f>
        <v>0</v>
      </c>
      <c r="F981" s="122"/>
      <c r="G981" s="124">
        <f t="shared" si="158"/>
        <v>0</v>
      </c>
      <c r="H981" s="126" t="str">
        <f t="array" ref="H981">INDEX('Panduan Gaji'!$Q:$Q,MATCH(D981,'Panduan Gaji'!$C:$C,0))</f>
        <v>KG</v>
      </c>
      <c r="I981" s="128" t="s">
        <v>138</v>
      </c>
      <c r="J981" s="308">
        <v>0.4090277777777778</v>
      </c>
      <c r="K981" s="308">
        <v>0.9166666666666666</v>
      </c>
      <c r="L981" s="145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 ht="13.5" hidden="1" customHeight="1">
      <c r="A982" s="116">
        <f t="shared" si="153"/>
        <v>25</v>
      </c>
      <c r="B982" s="118">
        <v>46250.0</v>
      </c>
      <c r="C982" s="119"/>
      <c r="D982" s="120" t="str">
        <f t="shared" si="154"/>
        <v>Ridho</v>
      </c>
      <c r="E982" s="121">
        <f>SUMIFS(SSOD!$C:$C,SSOD!$B:$B,Hitungan!D982,SSOD!$A:$A,Hitungan!C982)</f>
        <v>0</v>
      </c>
      <c r="F982" s="122"/>
      <c r="G982" s="124">
        <f t="shared" si="158"/>
        <v>0</v>
      </c>
      <c r="H982" s="126" t="str">
        <f t="array" ref="H982">INDEX('Panduan Gaji'!$Q:$Q,MATCH(D982,'Panduan Gaji'!$C:$C,0))</f>
        <v>KG</v>
      </c>
      <c r="I982" s="128" t="s">
        <v>138</v>
      </c>
      <c r="J982" s="308">
        <v>0.4111111111111111</v>
      </c>
      <c r="K982" s="308">
        <v>0.9166666666666666</v>
      </c>
      <c r="L982" s="145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 ht="13.5" hidden="1" customHeight="1">
      <c r="A983" s="116">
        <f t="shared" si="153"/>
        <v>25</v>
      </c>
      <c r="B983" s="118">
        <v>46251.0</v>
      </c>
      <c r="C983" s="119"/>
      <c r="D983" s="120" t="str">
        <f t="shared" si="154"/>
        <v>Ridho</v>
      </c>
      <c r="E983" s="121">
        <f>SUMIFS(SSOD!$C:$C,SSOD!$B:$B,Hitungan!D983,SSOD!$A:$A,Hitungan!C983)</f>
        <v>0</v>
      </c>
      <c r="F983" s="122"/>
      <c r="G983" s="124">
        <f t="shared" si="158"/>
        <v>0</v>
      </c>
      <c r="H983" s="126" t="str">
        <f t="array" ref="H983">INDEX('Panduan Gaji'!$Q:$Q,MATCH(D983,'Panduan Gaji'!$C:$C,0))</f>
        <v>KG</v>
      </c>
      <c r="I983" s="128" t="s">
        <v>138</v>
      </c>
      <c r="J983" s="308"/>
      <c r="K983" s="308"/>
      <c r="L983" s="119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 ht="13.5" hidden="1" customHeight="1">
      <c r="A984" s="116">
        <f t="shared" si="153"/>
        <v>25</v>
      </c>
      <c r="B984" s="118">
        <v>46252.0</v>
      </c>
      <c r="C984" s="119"/>
      <c r="D984" s="120" t="str">
        <f t="shared" si="154"/>
        <v>Ridho</v>
      </c>
      <c r="E984" s="121">
        <f>SUMIFS(SSOD!$C:$C,SSOD!$B:$B,Hitungan!D984,SSOD!$A:$A,Hitungan!C984)</f>
        <v>0</v>
      </c>
      <c r="F984" s="122"/>
      <c r="G984" s="124">
        <f t="shared" si="158"/>
        <v>0</v>
      </c>
      <c r="H984" s="126" t="str">
        <f t="array" ref="H984">INDEX('Panduan Gaji'!$Q:$Q,MATCH(D984,'Panduan Gaji'!$C:$C,0))</f>
        <v>KG</v>
      </c>
      <c r="I984" s="128" t="s">
        <v>138</v>
      </c>
      <c r="J984" s="308"/>
      <c r="K984" s="308"/>
      <c r="L984" s="119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 ht="13.5" hidden="1" customHeight="1">
      <c r="A985" s="116">
        <f t="shared" si="153"/>
        <v>25</v>
      </c>
      <c r="B985" s="118">
        <v>46253.0</v>
      </c>
      <c r="C985" s="119"/>
      <c r="D985" s="120" t="str">
        <f t="shared" si="154"/>
        <v>Ridho</v>
      </c>
      <c r="E985" s="121">
        <f>SUMIFS(SSOD!$C:$C,SSOD!$B:$B,Hitungan!D985,SSOD!$A:$A,Hitungan!C985)</f>
        <v>0</v>
      </c>
      <c r="F985" s="122"/>
      <c r="G985" s="124">
        <f t="shared" si="158"/>
        <v>0</v>
      </c>
      <c r="H985" s="126" t="str">
        <f t="array" ref="H985">INDEX('Panduan Gaji'!$Q:$Q,MATCH(D985,'Panduan Gaji'!$C:$C,0))</f>
        <v>KG</v>
      </c>
      <c r="I985" s="128" t="s">
        <v>138</v>
      </c>
      <c r="J985" s="308"/>
      <c r="K985" s="308"/>
      <c r="L985" s="119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 ht="13.5" hidden="1" customHeight="1">
      <c r="A986" s="116">
        <f t="shared" si="153"/>
        <v>25</v>
      </c>
      <c r="B986" s="118">
        <v>46254.0</v>
      </c>
      <c r="C986" s="119"/>
      <c r="D986" s="120" t="str">
        <f t="shared" si="154"/>
        <v>Ridho</v>
      </c>
      <c r="E986" s="121">
        <f>SUMIFS(SSOD!$C:$C,SSOD!$B:$B,Hitungan!D986,SSOD!$A:$A,Hitungan!C986)</f>
        <v>0</v>
      </c>
      <c r="F986" s="122"/>
      <c r="G986" s="124">
        <f t="shared" si="158"/>
        <v>0</v>
      </c>
      <c r="H986" s="126" t="str">
        <f t="array" ref="H986">INDEX('Panduan Gaji'!$Q:$Q,MATCH(D986,'Panduan Gaji'!$C:$C,0))</f>
        <v>KG</v>
      </c>
      <c r="I986" s="128" t="s">
        <v>138</v>
      </c>
      <c r="J986" s="308"/>
      <c r="K986" s="308"/>
      <c r="L986" s="145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 ht="13.5" hidden="1" customHeight="1">
      <c r="A987" s="116">
        <f t="shared" si="153"/>
        <v>25</v>
      </c>
      <c r="B987" s="118">
        <v>46255.0</v>
      </c>
      <c r="C987" s="119"/>
      <c r="D987" s="120" t="str">
        <f t="shared" si="154"/>
        <v>Ridho</v>
      </c>
      <c r="E987" s="121">
        <f>SUMIFS(SSOD!$C:$C,SSOD!$B:$B,Hitungan!D987,SSOD!$A:$A,Hitungan!C987)</f>
        <v>0</v>
      </c>
      <c r="F987" s="122"/>
      <c r="G987" s="124">
        <f t="shared" si="158"/>
        <v>0</v>
      </c>
      <c r="H987" s="126" t="str">
        <f t="array" ref="H987">INDEX('Panduan Gaji'!$Q:$Q,MATCH(D987,'Panduan Gaji'!$C:$C,0))</f>
        <v>KG</v>
      </c>
      <c r="I987" s="128" t="s">
        <v>138</v>
      </c>
      <c r="J987" s="308">
        <v>0.4138888888888889</v>
      </c>
      <c r="K987" s="308">
        <v>0.9166666666666666</v>
      </c>
      <c r="L987" s="119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22"/>
      <c r="Y987" s="22"/>
      <c r="Z987" s="22"/>
      <c r="AA987" s="22"/>
      <c r="AB987" s="22"/>
      <c r="AC987" s="22"/>
      <c r="AD987" s="22"/>
      <c r="AE987" s="22"/>
      <c r="AF987" s="22"/>
    </row>
    <row r="988" ht="13.5" hidden="1" customHeight="1">
      <c r="A988" s="116">
        <f t="shared" si="153"/>
        <v>25</v>
      </c>
      <c r="B988" s="118">
        <v>46256.0</v>
      </c>
      <c r="C988" s="119"/>
      <c r="D988" s="120" t="str">
        <f t="shared" si="154"/>
        <v>Ridho</v>
      </c>
      <c r="E988" s="121">
        <f>SUMIFS(SSOD!$C:$C,SSOD!$B:$B,Hitungan!D988,SSOD!$A:$A,Hitungan!C988)</f>
        <v>0</v>
      </c>
      <c r="F988" s="122"/>
      <c r="G988" s="124">
        <f t="shared" si="158"/>
        <v>0</v>
      </c>
      <c r="H988" s="126" t="str">
        <f t="array" ref="H988">INDEX('Panduan Gaji'!$Q:$Q,MATCH(D988,'Panduan Gaji'!$C:$C,0))</f>
        <v>KG</v>
      </c>
      <c r="I988" s="128" t="s">
        <v>138</v>
      </c>
      <c r="J988" s="308">
        <v>0.4083333333333333</v>
      </c>
      <c r="K988" s="308">
        <v>0.9166666666666666</v>
      </c>
      <c r="L988" s="119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22"/>
      <c r="Y988" s="22"/>
      <c r="Z988" s="22"/>
      <c r="AA988" s="22"/>
      <c r="AB988" s="22"/>
      <c r="AC988" s="22"/>
      <c r="AD988" s="22"/>
      <c r="AE988" s="22"/>
      <c r="AF988" s="22"/>
    </row>
    <row r="989" ht="13.5" hidden="1" customHeight="1">
      <c r="A989" s="116">
        <f t="shared" si="153"/>
        <v>25</v>
      </c>
      <c r="B989" s="118">
        <v>46257.0</v>
      </c>
      <c r="C989" s="119"/>
      <c r="D989" s="120" t="str">
        <f t="shared" si="154"/>
        <v>Ridho</v>
      </c>
      <c r="E989" s="121">
        <f>SUMIFS(SSOD!$C:$C,SSOD!$B:$B,Hitungan!D989,SSOD!$A:$A,Hitungan!C989)</f>
        <v>0</v>
      </c>
      <c r="F989" s="122"/>
      <c r="G989" s="124">
        <f t="shared" si="158"/>
        <v>0</v>
      </c>
      <c r="H989" s="126" t="str">
        <f t="array" ref="H989">INDEX('Panduan Gaji'!$Q:$Q,MATCH(D989,'Panduan Gaji'!$C:$C,0))</f>
        <v>KG</v>
      </c>
      <c r="I989" s="128" t="s">
        <v>138</v>
      </c>
      <c r="J989" s="308">
        <v>0.4076388888888889</v>
      </c>
      <c r="K989" s="308">
        <v>0.9166666666666666</v>
      </c>
      <c r="L989" s="119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 ht="15.75" hidden="1" customHeight="1">
      <c r="A990" s="116">
        <f t="shared" si="153"/>
        <v>25</v>
      </c>
      <c r="B990" s="118">
        <v>46258.0</v>
      </c>
      <c r="C990" s="119"/>
      <c r="D990" s="120" t="str">
        <f t="shared" si="154"/>
        <v>Ridho</v>
      </c>
      <c r="E990" s="121">
        <f>SUMIFS(SSOD!$C:$C,SSOD!$B:$B,Hitungan!D990,SSOD!$A:$A,Hitungan!C990)</f>
        <v>0</v>
      </c>
      <c r="F990" s="122"/>
      <c r="G990" s="124">
        <f t="shared" si="158"/>
        <v>0</v>
      </c>
      <c r="H990" s="220" t="str">
        <f t="array" ref="H990">INDEX('Panduan Gaji'!$Q:$Q,MATCH(D990,'Panduan Gaji'!$C:$C,0))</f>
        <v>KG</v>
      </c>
      <c r="I990" s="128" t="s">
        <v>138</v>
      </c>
      <c r="J990" s="308"/>
      <c r="K990" s="308"/>
      <c r="L990" s="119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 ht="15.75" hidden="1" customHeight="1">
      <c r="A991" s="222"/>
      <c r="B991" s="223"/>
      <c r="C991" s="224"/>
      <c r="D991" s="225"/>
      <c r="E991" s="226"/>
      <c r="F991" s="227"/>
      <c r="G991" s="228"/>
      <c r="H991" s="229"/>
      <c r="I991" s="22"/>
      <c r="J991" s="230"/>
      <c r="K991" s="230"/>
      <c r="L991" s="224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</row>
    <row r="992" ht="13.5" hidden="1" customHeight="1">
      <c r="A992" s="26">
        <v>26.0</v>
      </c>
      <c r="B992" s="28"/>
      <c r="C992" s="30" t="s">
        <v>6</v>
      </c>
      <c r="D992" s="33" t="s">
        <v>82</v>
      </c>
      <c r="E992" s="42">
        <f>SUMIFS(SSOD!$C:$C,SSOD!$B:$B,Hitungan!D992,SSOD!$A:$A,Hitungan!C992)</f>
        <v>0</v>
      </c>
      <c r="F992" s="44">
        <v>1.0</v>
      </c>
      <c r="G992" s="47">
        <f t="shared" ref="G992:G995" si="159">E992*F992</f>
        <v>0</v>
      </c>
      <c r="H992" s="51" t="str">
        <f t="array" ref="H992">INDEX('Panduan Gaji'!$Q:$Q,MATCH(D992,'Panduan Gaji'!$C:$C,0))</f>
        <v>GS</v>
      </c>
      <c r="I992" s="53"/>
      <c r="J992" s="54"/>
      <c r="K992" s="54"/>
      <c r="L992" s="55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22"/>
      <c r="Y992" s="22"/>
      <c r="Z992" s="22"/>
      <c r="AA992" s="22"/>
      <c r="AB992" s="22"/>
      <c r="AC992" s="22"/>
      <c r="AD992" s="22"/>
      <c r="AE992" s="22"/>
      <c r="AF992" s="22"/>
    </row>
    <row r="993" ht="13.5" hidden="1" customHeight="1">
      <c r="A993" s="26">
        <f t="shared" ref="A993:A1031" si="160">A992</f>
        <v>26</v>
      </c>
      <c r="B993" s="28"/>
      <c r="C993" s="30" t="s">
        <v>17</v>
      </c>
      <c r="D993" s="33" t="str">
        <f t="shared" ref="D993:D1031" si="161">D992</f>
        <v>Jerrel</v>
      </c>
      <c r="E993" s="42">
        <f>SUMIFS(SSOD!$C:$C,SSOD!$B:$B,Hitungan!D993,SSOD!$A:$A,Hitungan!C993)</f>
        <v>150000</v>
      </c>
      <c r="F993" s="44">
        <f t="shared" ref="F993:F995" si="162">SUMPRODUCT(--((($J$1002:$J$1031&lt;&gt;"")+($K$1002:$K$1031&lt;&gt;""))&gt;0))</f>
        <v>12</v>
      </c>
      <c r="G993" s="47">
        <f t="shared" si="159"/>
        <v>1800000</v>
      </c>
      <c r="H993" s="51" t="str">
        <f t="array" ref="H993">INDEX('Panduan Gaji'!$Q:$Q,MATCH(D993,'Panduan Gaji'!$C:$C,0))</f>
        <v>GS</v>
      </c>
      <c r="I993" s="53"/>
      <c r="J993" s="54"/>
      <c r="K993" s="54"/>
      <c r="L993" s="55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 ht="13.5" hidden="1" customHeight="1">
      <c r="A994" s="26">
        <f t="shared" si="160"/>
        <v>26</v>
      </c>
      <c r="B994" s="28"/>
      <c r="C994" s="30" t="s">
        <v>7</v>
      </c>
      <c r="D994" s="33" t="str">
        <f t="shared" si="161"/>
        <v>Jerrel</v>
      </c>
      <c r="E994" s="42">
        <f>SUMIFS(SSOD!$C:$C,SSOD!$B:$B,Hitungan!D994,SSOD!$A:$A,Hitungan!C994)</f>
        <v>0</v>
      </c>
      <c r="F994" s="44">
        <f t="shared" si="162"/>
        <v>12</v>
      </c>
      <c r="G994" s="47">
        <f t="shared" si="159"/>
        <v>0</v>
      </c>
      <c r="H994" s="51" t="str">
        <f t="array" ref="H994">INDEX('Panduan Gaji'!$Q:$Q,MATCH(D994,'Panduan Gaji'!$C:$C,0))</f>
        <v>GS</v>
      </c>
      <c r="I994" s="53"/>
      <c r="J994" s="88"/>
      <c r="K994" s="88"/>
      <c r="L994" s="55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 ht="13.5" hidden="1" customHeight="1">
      <c r="A995" s="26">
        <f t="shared" si="160"/>
        <v>26</v>
      </c>
      <c r="B995" s="28"/>
      <c r="C995" s="30" t="s">
        <v>9</v>
      </c>
      <c r="D995" s="33" t="str">
        <f t="shared" si="161"/>
        <v>Jerrel</v>
      </c>
      <c r="E995" s="42">
        <f>SUMIFS(SSOD!$C:$C,SSOD!$B:$B,Hitungan!D995,SSOD!$A:$A,Hitungan!C995)</f>
        <v>0</v>
      </c>
      <c r="F995" s="44">
        <f t="shared" si="162"/>
        <v>12</v>
      </c>
      <c r="G995" s="47">
        <f t="shared" si="159"/>
        <v>0</v>
      </c>
      <c r="H995" s="51" t="str">
        <f t="array" ref="H995">INDEX('Panduan Gaji'!$Q:$Q,MATCH(D995,'Panduan Gaji'!$C:$C,0))</f>
        <v>GS</v>
      </c>
      <c r="I995" s="53"/>
      <c r="J995" s="88"/>
      <c r="K995" s="88"/>
      <c r="L995" s="9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 ht="15.75" hidden="1" customHeight="1">
      <c r="A996" s="26">
        <f t="shared" si="160"/>
        <v>26</v>
      </c>
      <c r="B996" s="28"/>
      <c r="C996" s="30" t="s">
        <v>39</v>
      </c>
      <c r="D996" s="33" t="str">
        <f t="shared" si="161"/>
        <v>Jerrel</v>
      </c>
      <c r="E996" s="42"/>
      <c r="F996" s="44">
        <v>1.0</v>
      </c>
      <c r="G996" s="47">
        <f>F996*E996</f>
        <v>0</v>
      </c>
      <c r="H996" s="51" t="str">
        <f t="array" ref="H996">INDEX('Panduan Gaji'!$Q:$Q,MATCH(D996,'Panduan Gaji'!$C:$C,0))</f>
        <v>GS</v>
      </c>
      <c r="I996" s="53"/>
      <c r="J996" s="88"/>
      <c r="K996" s="88"/>
      <c r="L996" s="9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22"/>
      <c r="Y996" s="22"/>
      <c r="Z996" s="22"/>
      <c r="AA996" s="22"/>
      <c r="AB996" s="22"/>
      <c r="AC996" s="22"/>
      <c r="AD996" s="22"/>
      <c r="AE996" s="22"/>
      <c r="AF996" s="22"/>
    </row>
    <row r="997" ht="15.75" hidden="1" customHeight="1">
      <c r="A997" s="26">
        <f t="shared" si="160"/>
        <v>26</v>
      </c>
      <c r="B997" s="28"/>
      <c r="C997" s="30" t="s">
        <v>12</v>
      </c>
      <c r="D997" s="33" t="str">
        <f t="shared" si="161"/>
        <v>Jerrel</v>
      </c>
      <c r="E997" s="42">
        <f>SUMIFS(SSOD!$C:$C,SSOD!$B:$B,Hitungan!D997,SSOD!$A:$A,Hitungan!C997)</f>
        <v>15000</v>
      </c>
      <c r="F997" s="44">
        <f>SUMIF($C$1002:$C$1031,C997,$F$1002:$F$1031)</f>
        <v>0</v>
      </c>
      <c r="G997" s="47">
        <f t="shared" ref="G997:G998" si="163">E997*F997</f>
        <v>0</v>
      </c>
      <c r="H997" s="51" t="str">
        <f t="array" ref="H997">INDEX('Panduan Gaji'!$Q:$Q,MATCH(D997,'Panduan Gaji'!$C:$C,0))</f>
        <v>GS</v>
      </c>
      <c r="I997" s="53"/>
      <c r="J997" s="88"/>
      <c r="K997" s="88"/>
      <c r="L997" s="100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22"/>
      <c r="Y997" s="22"/>
      <c r="Z997" s="22"/>
      <c r="AA997" s="22"/>
      <c r="AB997" s="22"/>
      <c r="AC997" s="22"/>
      <c r="AD997" s="22"/>
      <c r="AE997" s="22"/>
      <c r="AF997" s="22"/>
    </row>
    <row r="998" ht="15.75" hidden="1" customHeight="1">
      <c r="A998" s="26">
        <f t="shared" si="160"/>
        <v>26</v>
      </c>
      <c r="B998" s="28"/>
      <c r="C998" s="102" t="s">
        <v>30</v>
      </c>
      <c r="D998" s="33" t="str">
        <f t="shared" si="161"/>
        <v>Jerrel</v>
      </c>
      <c r="E998" s="42">
        <f>SUMIFS(SSOD!$C:$C,SSOD!$B:$B,Hitungan!D998,SSOD!$A:$A,Hitungan!C998)</f>
        <v>12500</v>
      </c>
      <c r="F998" s="44">
        <f t="shared" ref="F998:F999" si="164">COUNTIF($C$1002:$C$1031,C998)</f>
        <v>0</v>
      </c>
      <c r="G998" s="47">
        <f t="shared" si="163"/>
        <v>0</v>
      </c>
      <c r="H998" s="51" t="str">
        <f t="array" ref="H998">INDEX('Panduan Gaji'!$Q:$Q,MATCH(D998,'Panduan Gaji'!$C:$C,0))</f>
        <v>GS</v>
      </c>
      <c r="I998" s="53"/>
      <c r="J998" s="105"/>
      <c r="K998" s="105"/>
      <c r="L998" s="10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 ht="15.75" hidden="1" customHeight="1">
      <c r="A999" s="26">
        <f t="shared" si="160"/>
        <v>26</v>
      </c>
      <c r="B999" s="28"/>
      <c r="C999" s="30" t="s">
        <v>33</v>
      </c>
      <c r="D999" s="33" t="str">
        <f t="shared" si="161"/>
        <v>Jerrel</v>
      </c>
      <c r="E999" s="42"/>
      <c r="F999" s="44">
        <f t="shared" si="164"/>
        <v>0</v>
      </c>
      <c r="G999" s="47">
        <f>SUMIF($C$1002:$C$1031,C999,$E$1002:$E$1031)</f>
        <v>0</v>
      </c>
      <c r="H999" s="51" t="str">
        <f t="array" ref="H999">INDEX('Panduan Gaji'!$Q:$Q,MATCH(D999,'Panduan Gaji'!$C:$C,0))</f>
        <v>GS</v>
      </c>
      <c r="I999" s="53"/>
      <c r="J999" s="105"/>
      <c r="K999" s="105"/>
      <c r="L999" s="10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22"/>
      <c r="Y999" s="22"/>
      <c r="Z999" s="22"/>
      <c r="AA999" s="22"/>
      <c r="AB999" s="22"/>
      <c r="AC999" s="22"/>
      <c r="AD999" s="22"/>
      <c r="AE999" s="22"/>
      <c r="AF999" s="22"/>
    </row>
    <row r="1000" ht="15.75" hidden="1" customHeight="1">
      <c r="A1000" s="26">
        <f t="shared" si="160"/>
        <v>26</v>
      </c>
      <c r="B1000" s="28"/>
      <c r="C1000" s="30" t="s">
        <v>83</v>
      </c>
      <c r="D1000" s="33" t="str">
        <f t="shared" si="161"/>
        <v>Jerrel</v>
      </c>
      <c r="E1000" s="42"/>
      <c r="F1000" s="44"/>
      <c r="G1000" s="47"/>
      <c r="H1000" s="51" t="str">
        <f t="array" ref="H1000">INDEX('Panduan Gaji'!$Q:$Q,MATCH(D1000,'Panduan Gaji'!$C:$C,0))</f>
        <v>GS</v>
      </c>
      <c r="I1000" s="53"/>
      <c r="J1000" s="105"/>
      <c r="K1000" s="105"/>
      <c r="L1000" s="10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22"/>
      <c r="Y1000" s="22"/>
      <c r="Z1000" s="22"/>
      <c r="AA1000" s="22"/>
      <c r="AB1000" s="22"/>
      <c r="AC1000" s="22"/>
      <c r="AD1000" s="22"/>
      <c r="AE1000" s="22"/>
      <c r="AF1000" s="22"/>
    </row>
    <row r="1001" ht="13.5" hidden="1" customHeight="1">
      <c r="A1001" s="26">
        <f t="shared" si="160"/>
        <v>26</v>
      </c>
      <c r="B1001" s="28"/>
      <c r="C1001" s="30" t="s">
        <v>85</v>
      </c>
      <c r="D1001" s="33" t="str">
        <f t="shared" si="161"/>
        <v>Jerrel</v>
      </c>
      <c r="E1001" s="42"/>
      <c r="F1001" s="44"/>
      <c r="G1001" s="47"/>
      <c r="H1001" s="51" t="str">
        <f t="array" ref="H1001">INDEX('Panduan Gaji'!$Q:$Q,MATCH(D1001,'Panduan Gaji'!$C:$C,0))</f>
        <v>GS</v>
      </c>
      <c r="I1001" s="53"/>
      <c r="J1001" s="105"/>
      <c r="K1001" s="105"/>
      <c r="L1001" s="106"/>
      <c r="M1001" s="56"/>
      <c r="N1001" s="56"/>
      <c r="O1001" s="22"/>
      <c r="P1001" s="56"/>
      <c r="Q1001" s="56"/>
      <c r="R1001" s="56"/>
      <c r="S1001" s="56"/>
      <c r="T1001" s="56"/>
      <c r="U1001" s="56"/>
      <c r="V1001" s="56"/>
      <c r="W1001" s="56"/>
      <c r="X1001" s="22"/>
      <c r="Y1001" s="22"/>
      <c r="Z1001" s="22"/>
      <c r="AA1001" s="22"/>
      <c r="AB1001" s="22"/>
      <c r="AC1001" s="22"/>
      <c r="AD1001" s="22"/>
      <c r="AE1001" s="22"/>
      <c r="AF1001" s="22"/>
    </row>
    <row r="1002" ht="13.5" hidden="1" customHeight="1">
      <c r="A1002" s="116">
        <f t="shared" si="160"/>
        <v>26</v>
      </c>
      <c r="B1002" s="118">
        <v>46229.0</v>
      </c>
      <c r="C1002" s="119"/>
      <c r="D1002" s="120" t="str">
        <f t="shared" si="161"/>
        <v>Jerrel</v>
      </c>
      <c r="E1002" s="121">
        <f>SUMIFS(SSOD!$C:$C,SSOD!$B:$B,Hitungan!D1002,SSOD!$A:$A,Hitungan!C1002)</f>
        <v>0</v>
      </c>
      <c r="F1002" s="122"/>
      <c r="G1002" s="124">
        <f t="shared" ref="G1002:G1031" si="165">E1002*F1002</f>
        <v>0</v>
      </c>
      <c r="H1002" s="126" t="str">
        <f t="array" ref="H1002">INDEX('Panduan Gaji'!$Q:$Q,MATCH(D1002,'Panduan Gaji'!$C:$C,0))</f>
        <v>GS</v>
      </c>
      <c r="I1002" s="128" t="s">
        <v>138</v>
      </c>
      <c r="J1002" s="308"/>
      <c r="K1002" s="309"/>
      <c r="L1002" s="130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22"/>
      <c r="Y1002" s="22"/>
      <c r="Z1002" s="22"/>
      <c r="AA1002" s="22"/>
      <c r="AB1002" s="22"/>
      <c r="AC1002" s="22"/>
      <c r="AD1002" s="22"/>
      <c r="AE1002" s="22"/>
      <c r="AF1002" s="22"/>
    </row>
    <row r="1003" ht="13.5" hidden="1" customHeight="1">
      <c r="A1003" s="116">
        <f t="shared" si="160"/>
        <v>26</v>
      </c>
      <c r="B1003" s="118">
        <v>46230.0</v>
      </c>
      <c r="C1003" s="119"/>
      <c r="D1003" s="120" t="str">
        <f t="shared" si="161"/>
        <v>Jerrel</v>
      </c>
      <c r="E1003" s="121">
        <f>SUMIFS(SSOD!$C:$C,SSOD!$B:$B,Hitungan!D1003,SSOD!$A:$A,Hitungan!C1003)</f>
        <v>0</v>
      </c>
      <c r="F1003" s="122"/>
      <c r="G1003" s="124">
        <f t="shared" si="165"/>
        <v>0</v>
      </c>
      <c r="H1003" s="126" t="str">
        <f t="array" ref="H1003">INDEX('Panduan Gaji'!$Q:$Q,MATCH(D1003,'Panduan Gaji'!$C:$C,0))</f>
        <v>GS</v>
      </c>
      <c r="I1003" s="128" t="s">
        <v>138</v>
      </c>
      <c r="J1003" s="308"/>
      <c r="K1003" s="308"/>
      <c r="L1003" s="138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22"/>
      <c r="Y1003" s="22"/>
      <c r="Z1003" s="22"/>
      <c r="AA1003" s="22"/>
      <c r="AB1003" s="22"/>
      <c r="AC1003" s="22"/>
      <c r="AD1003" s="22"/>
      <c r="AE1003" s="22"/>
      <c r="AF1003" s="22"/>
    </row>
    <row r="1004" ht="13.5" hidden="1" customHeight="1">
      <c r="A1004" s="116">
        <f t="shared" si="160"/>
        <v>26</v>
      </c>
      <c r="B1004" s="118">
        <v>46231.0</v>
      </c>
      <c r="C1004" s="119"/>
      <c r="D1004" s="120" t="str">
        <f t="shared" si="161"/>
        <v>Jerrel</v>
      </c>
      <c r="E1004" s="121">
        <f>SUMIFS(SSOD!$C:$C,SSOD!$B:$B,Hitungan!D1004,SSOD!$A:$A,Hitungan!C1004)</f>
        <v>0</v>
      </c>
      <c r="F1004" s="122"/>
      <c r="G1004" s="124">
        <f t="shared" si="165"/>
        <v>0</v>
      </c>
      <c r="H1004" s="126" t="str">
        <f t="array" ref="H1004">INDEX('Panduan Gaji'!$Q:$Q,MATCH(D1004,'Panduan Gaji'!$C:$C,0))</f>
        <v>GS</v>
      </c>
      <c r="I1004" s="128" t="s">
        <v>138</v>
      </c>
      <c r="J1004" s="308"/>
      <c r="K1004" s="308"/>
      <c r="L1004" s="145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22"/>
      <c r="Y1004" s="22"/>
      <c r="Z1004" s="22"/>
      <c r="AA1004" s="22"/>
      <c r="AB1004" s="22"/>
      <c r="AC1004" s="22"/>
      <c r="AD1004" s="22"/>
      <c r="AE1004" s="22"/>
      <c r="AF1004" s="22"/>
    </row>
    <row r="1005" ht="13.5" hidden="1" customHeight="1">
      <c r="A1005" s="116">
        <f t="shared" si="160"/>
        <v>26</v>
      </c>
      <c r="B1005" s="118">
        <v>46232.0</v>
      </c>
      <c r="C1005" s="146"/>
      <c r="D1005" s="120" t="str">
        <f t="shared" si="161"/>
        <v>Jerrel</v>
      </c>
      <c r="E1005" s="147">
        <f>SUMIFS(SSOD!$C:$C,SSOD!$B:$B,Hitungan!D1005,SSOD!$A:$A,Hitungan!C1005)</f>
        <v>0</v>
      </c>
      <c r="F1005" s="148"/>
      <c r="G1005" s="124">
        <f t="shared" si="165"/>
        <v>0</v>
      </c>
      <c r="H1005" s="126" t="str">
        <f t="array" ref="H1005">INDEX('Panduan Gaji'!$Q:$Q,MATCH(D1005,'Panduan Gaji'!$C:$C,0))</f>
        <v>GS</v>
      </c>
      <c r="I1005" s="128" t="s">
        <v>138</v>
      </c>
      <c r="J1005" s="308"/>
      <c r="K1005" s="309"/>
      <c r="L1005" s="153"/>
      <c r="M1005" s="16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22"/>
      <c r="Y1005" s="22"/>
      <c r="Z1005" s="22"/>
      <c r="AA1005" s="22"/>
      <c r="AB1005" s="22"/>
      <c r="AC1005" s="22"/>
      <c r="AD1005" s="22"/>
      <c r="AE1005" s="22"/>
      <c r="AF1005" s="22"/>
    </row>
    <row r="1006" ht="13.5" hidden="1" customHeight="1">
      <c r="A1006" s="116">
        <f t="shared" si="160"/>
        <v>26</v>
      </c>
      <c r="B1006" s="118">
        <v>46233.0</v>
      </c>
      <c r="C1006" s="119"/>
      <c r="D1006" s="120" t="str">
        <f t="shared" si="161"/>
        <v>Jerrel</v>
      </c>
      <c r="E1006" s="121">
        <f>SUMIFS(SSOD!$C:$C,SSOD!$B:$B,Hitungan!D1006,SSOD!$A:$A,Hitungan!C1006)</f>
        <v>0</v>
      </c>
      <c r="F1006" s="122"/>
      <c r="G1006" s="124">
        <f t="shared" si="165"/>
        <v>0</v>
      </c>
      <c r="H1006" s="126" t="str">
        <f t="array" ref="H1006">INDEX('Panduan Gaji'!$Q:$Q,MATCH(D1006,'Panduan Gaji'!$C:$C,0))</f>
        <v>GS</v>
      </c>
      <c r="I1006" s="128" t="s">
        <v>138</v>
      </c>
      <c r="J1006" s="308">
        <v>0.4166666666666667</v>
      </c>
      <c r="K1006" s="309">
        <v>0.9166666666666666</v>
      </c>
      <c r="L1006" s="164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22"/>
      <c r="Y1006" s="22"/>
      <c r="Z1006" s="22"/>
      <c r="AA1006" s="22"/>
      <c r="AB1006" s="22"/>
      <c r="AC1006" s="22"/>
      <c r="AD1006" s="22"/>
      <c r="AE1006" s="22"/>
      <c r="AF1006" s="22"/>
    </row>
    <row r="1007" ht="13.5" hidden="1" customHeight="1">
      <c r="A1007" s="116">
        <f t="shared" si="160"/>
        <v>26</v>
      </c>
      <c r="B1007" s="118">
        <v>46234.0</v>
      </c>
      <c r="C1007" s="119"/>
      <c r="D1007" s="120" t="str">
        <f t="shared" si="161"/>
        <v>Jerrel</v>
      </c>
      <c r="E1007" s="121">
        <f>SUMIFS(SSOD!$C:$C,SSOD!$B:$B,Hitungan!D1007,SSOD!$A:$A,Hitungan!C1007)</f>
        <v>0</v>
      </c>
      <c r="F1007" s="122"/>
      <c r="G1007" s="124">
        <f t="shared" si="165"/>
        <v>0</v>
      </c>
      <c r="H1007" s="126" t="str">
        <f t="array" ref="H1007">INDEX('Panduan Gaji'!$Q:$Q,MATCH(D1007,'Panduan Gaji'!$C:$C,0))</f>
        <v>GS</v>
      </c>
      <c r="I1007" s="128" t="s">
        <v>138</v>
      </c>
      <c r="J1007" s="308">
        <v>0.4166666666666667</v>
      </c>
      <c r="K1007" s="309">
        <v>0.9166666666666666</v>
      </c>
      <c r="L1007" s="130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22"/>
      <c r="Y1007" s="22"/>
      <c r="Z1007" s="22"/>
      <c r="AA1007" s="22"/>
      <c r="AB1007" s="22"/>
      <c r="AC1007" s="22"/>
      <c r="AD1007" s="22"/>
      <c r="AE1007" s="22"/>
      <c r="AF1007" s="22"/>
    </row>
    <row r="1008" ht="13.5" hidden="1" customHeight="1">
      <c r="A1008" s="116">
        <f t="shared" si="160"/>
        <v>26</v>
      </c>
      <c r="B1008" s="118">
        <v>46235.0</v>
      </c>
      <c r="C1008" s="119"/>
      <c r="D1008" s="120" t="str">
        <f t="shared" si="161"/>
        <v>Jerrel</v>
      </c>
      <c r="E1008" s="121">
        <f>SUMIFS(SSOD!$C:$C,SSOD!$B:$B,Hitungan!D1008,SSOD!$A:$A,Hitungan!C1008)</f>
        <v>0</v>
      </c>
      <c r="F1008" s="122"/>
      <c r="G1008" s="124">
        <f t="shared" si="165"/>
        <v>0</v>
      </c>
      <c r="H1008" s="126" t="str">
        <f t="array" ref="H1008">INDEX('Panduan Gaji'!$Q:$Q,MATCH(D1008,'Panduan Gaji'!$C:$C,0))</f>
        <v>GS</v>
      </c>
      <c r="I1008" s="128" t="s">
        <v>138</v>
      </c>
      <c r="J1008" s="308">
        <v>0.4166666666666667</v>
      </c>
      <c r="K1008" s="309">
        <v>0.9166666666666666</v>
      </c>
      <c r="L1008" s="145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22"/>
      <c r="Y1008" s="22"/>
      <c r="Z1008" s="22"/>
      <c r="AA1008" s="22"/>
      <c r="AB1008" s="22"/>
      <c r="AC1008" s="22"/>
      <c r="AD1008" s="22"/>
      <c r="AE1008" s="22"/>
      <c r="AF1008" s="22"/>
    </row>
    <row r="1009" ht="13.5" hidden="1" customHeight="1">
      <c r="A1009" s="116">
        <f t="shared" si="160"/>
        <v>26</v>
      </c>
      <c r="B1009" s="118">
        <v>46236.0</v>
      </c>
      <c r="C1009" s="119"/>
      <c r="D1009" s="120" t="str">
        <f t="shared" si="161"/>
        <v>Jerrel</v>
      </c>
      <c r="E1009" s="121">
        <v>0.0</v>
      </c>
      <c r="F1009" s="122"/>
      <c r="G1009" s="124">
        <f t="shared" si="165"/>
        <v>0</v>
      </c>
      <c r="H1009" s="126" t="str">
        <f t="array" ref="H1009">INDEX('Panduan Gaji'!$Q:$Q,MATCH(D1009,'Panduan Gaji'!$C:$C,0))</f>
        <v>GS</v>
      </c>
      <c r="I1009" s="128" t="s">
        <v>138</v>
      </c>
      <c r="J1009" s="308">
        <v>0.4166666666666667</v>
      </c>
      <c r="K1009" s="309">
        <v>0.9166666666666666</v>
      </c>
      <c r="L1009" s="145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22"/>
      <c r="Y1009" s="22"/>
      <c r="Z1009" s="22"/>
      <c r="AA1009" s="22"/>
      <c r="AB1009" s="22"/>
      <c r="AC1009" s="22"/>
      <c r="AD1009" s="22"/>
      <c r="AE1009" s="22"/>
      <c r="AF1009" s="22"/>
    </row>
    <row r="1010" ht="13.5" hidden="1" customHeight="1">
      <c r="A1010" s="116">
        <f t="shared" si="160"/>
        <v>26</v>
      </c>
      <c r="B1010" s="118">
        <v>46237.0</v>
      </c>
      <c r="C1010" s="119"/>
      <c r="D1010" s="120" t="str">
        <f t="shared" si="161"/>
        <v>Jerrel</v>
      </c>
      <c r="E1010" s="121">
        <f>SUMIFS(SSOD!$C:$C,SSOD!$B:$B,Hitungan!D1010,SSOD!$A:$A,Hitungan!C1010)</f>
        <v>0</v>
      </c>
      <c r="F1010" s="122"/>
      <c r="G1010" s="124">
        <f t="shared" si="165"/>
        <v>0</v>
      </c>
      <c r="H1010" s="126" t="str">
        <f t="array" ref="H1010">INDEX('Panduan Gaji'!$Q:$Q,MATCH(D1010,'Panduan Gaji'!$C:$C,0))</f>
        <v>GS</v>
      </c>
      <c r="I1010" s="128" t="s">
        <v>138</v>
      </c>
      <c r="J1010" s="309"/>
      <c r="K1010" s="308"/>
      <c r="L1010" s="145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22"/>
      <c r="Y1010" s="22"/>
      <c r="Z1010" s="22"/>
      <c r="AA1010" s="22"/>
      <c r="AB1010" s="22"/>
      <c r="AC1010" s="22"/>
      <c r="AD1010" s="22"/>
      <c r="AE1010" s="22"/>
      <c r="AF1010" s="22"/>
    </row>
    <row r="1011" ht="13.5" hidden="1" customHeight="1">
      <c r="A1011" s="116">
        <f t="shared" si="160"/>
        <v>26</v>
      </c>
      <c r="B1011" s="118">
        <v>46238.0</v>
      </c>
      <c r="C1011" s="181"/>
      <c r="D1011" s="120" t="str">
        <f t="shared" si="161"/>
        <v>Jerrel</v>
      </c>
      <c r="E1011" s="121">
        <f>SUMIFS(SSOD!$C:$C,SSOD!$B:$B,Hitungan!D1011,SSOD!$A:$A,Hitungan!C1011)</f>
        <v>0</v>
      </c>
      <c r="F1011" s="182"/>
      <c r="G1011" s="52">
        <f t="shared" si="165"/>
        <v>0</v>
      </c>
      <c r="H1011" s="126" t="str">
        <f t="array" ref="H1011">INDEX('Panduan Gaji'!$Q:$Q,MATCH(D1011,'Panduan Gaji'!$C:$C,0))</f>
        <v>GS</v>
      </c>
      <c r="I1011" s="128" t="s">
        <v>138</v>
      </c>
      <c r="J1011" s="309"/>
      <c r="K1011" s="308"/>
      <c r="L1011" s="119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22"/>
      <c r="Y1011" s="22"/>
      <c r="Z1011" s="22"/>
      <c r="AA1011" s="22"/>
      <c r="AB1011" s="22"/>
      <c r="AC1011" s="22"/>
      <c r="AD1011" s="22"/>
      <c r="AE1011" s="22"/>
      <c r="AF1011" s="22"/>
    </row>
    <row r="1012" ht="13.5" hidden="1" customHeight="1">
      <c r="A1012" s="116">
        <f t="shared" si="160"/>
        <v>26</v>
      </c>
      <c r="B1012" s="118">
        <v>46239.0</v>
      </c>
      <c r="C1012" s="119"/>
      <c r="D1012" s="120" t="str">
        <f t="shared" si="161"/>
        <v>Jerrel</v>
      </c>
      <c r="E1012" s="121">
        <f>SUMIFS(SSOD!$C:$C,SSOD!$B:$B,Hitungan!D1012,SSOD!$A:$A,Hitungan!C1012)</f>
        <v>0</v>
      </c>
      <c r="F1012" s="122"/>
      <c r="G1012" s="124">
        <f t="shared" si="165"/>
        <v>0</v>
      </c>
      <c r="H1012" s="126" t="str">
        <f t="array" ref="H1012">INDEX('Panduan Gaji'!$Q:$Q,MATCH(D1012,'Panduan Gaji'!$C:$C,0))</f>
        <v>GS</v>
      </c>
      <c r="I1012" s="128" t="s">
        <v>138</v>
      </c>
      <c r="J1012" s="309"/>
      <c r="K1012" s="308"/>
      <c r="L1012" s="145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22"/>
      <c r="Y1012" s="22"/>
      <c r="Z1012" s="22"/>
      <c r="AA1012" s="22"/>
      <c r="AB1012" s="22"/>
      <c r="AC1012" s="22"/>
      <c r="AD1012" s="22"/>
      <c r="AE1012" s="22"/>
      <c r="AF1012" s="22"/>
    </row>
    <row r="1013" ht="13.5" hidden="1" customHeight="1">
      <c r="A1013" s="116">
        <f t="shared" si="160"/>
        <v>26</v>
      </c>
      <c r="B1013" s="118">
        <v>46240.0</v>
      </c>
      <c r="C1013" s="119"/>
      <c r="D1013" s="120" t="str">
        <f t="shared" si="161"/>
        <v>Jerrel</v>
      </c>
      <c r="E1013" s="121">
        <f>SUMIFS(SSOD!$C:$C,SSOD!$B:$B,Hitungan!D1013,SSOD!$A:$A,Hitungan!C1013)</f>
        <v>0</v>
      </c>
      <c r="F1013" s="122"/>
      <c r="G1013" s="124">
        <f t="shared" si="165"/>
        <v>0</v>
      </c>
      <c r="H1013" s="126" t="str">
        <f t="array" ref="H1013">INDEX('Panduan Gaji'!$Q:$Q,MATCH(D1013,'Panduan Gaji'!$C:$C,0))</f>
        <v>GS</v>
      </c>
      <c r="I1013" s="128" t="s">
        <v>138</v>
      </c>
      <c r="J1013" s="308"/>
      <c r="K1013" s="308"/>
      <c r="L1013" s="145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22"/>
      <c r="Y1013" s="22"/>
      <c r="Z1013" s="22"/>
      <c r="AA1013" s="22"/>
      <c r="AB1013" s="22"/>
      <c r="AC1013" s="22"/>
      <c r="AD1013" s="22"/>
      <c r="AE1013" s="22"/>
      <c r="AF1013" s="22"/>
    </row>
    <row r="1014" ht="13.5" hidden="1" customHeight="1">
      <c r="A1014" s="116">
        <f t="shared" si="160"/>
        <v>26</v>
      </c>
      <c r="B1014" s="118">
        <v>46241.0</v>
      </c>
      <c r="C1014" s="119"/>
      <c r="D1014" s="120" t="str">
        <f t="shared" si="161"/>
        <v>Jerrel</v>
      </c>
      <c r="E1014" s="121">
        <f>SUMIFS(SSOD!$C:$C,SSOD!$B:$B,Hitungan!D1014,SSOD!$A:$A,Hitungan!C1014)</f>
        <v>0</v>
      </c>
      <c r="F1014" s="122"/>
      <c r="G1014" s="124">
        <f t="shared" si="165"/>
        <v>0</v>
      </c>
      <c r="H1014" s="126" t="str">
        <f t="array" ref="H1014">INDEX('Panduan Gaji'!$Q:$Q,MATCH(D1014,'Panduan Gaji'!$C:$C,0))</f>
        <v>GS</v>
      </c>
      <c r="I1014" s="128" t="s">
        <v>138</v>
      </c>
      <c r="J1014" s="308">
        <v>0.4166666666666667</v>
      </c>
      <c r="K1014" s="309">
        <v>0.9166666666666666</v>
      </c>
      <c r="L1014" s="119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22"/>
      <c r="Y1014" s="22"/>
      <c r="Z1014" s="22"/>
      <c r="AA1014" s="22"/>
      <c r="AB1014" s="22"/>
      <c r="AC1014" s="22"/>
      <c r="AD1014" s="22"/>
      <c r="AE1014" s="22"/>
      <c r="AF1014" s="22"/>
    </row>
    <row r="1015" ht="13.5" hidden="1" customHeight="1">
      <c r="A1015" s="116">
        <f t="shared" si="160"/>
        <v>26</v>
      </c>
      <c r="B1015" s="118">
        <v>46242.0</v>
      </c>
      <c r="C1015" s="119"/>
      <c r="D1015" s="120" t="str">
        <f t="shared" si="161"/>
        <v>Jerrel</v>
      </c>
      <c r="E1015" s="121">
        <f>SUMIFS(SSOD!$C:$C,SSOD!$B:$B,Hitungan!D1015,SSOD!$A:$A,Hitungan!C1015)</f>
        <v>0</v>
      </c>
      <c r="F1015" s="122"/>
      <c r="G1015" s="124">
        <f t="shared" si="165"/>
        <v>0</v>
      </c>
      <c r="H1015" s="126" t="str">
        <f t="array" ref="H1015">INDEX('Panduan Gaji'!$Q:$Q,MATCH(D1015,'Panduan Gaji'!$C:$C,0))</f>
        <v>GS</v>
      </c>
      <c r="I1015" s="128" t="s">
        <v>138</v>
      </c>
      <c r="J1015" s="309">
        <v>0.4125</v>
      </c>
      <c r="K1015" s="309">
        <v>0.9166666666666666</v>
      </c>
      <c r="L1015" s="187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22"/>
      <c r="Y1015" s="22"/>
      <c r="Z1015" s="22"/>
      <c r="AA1015" s="22"/>
      <c r="AB1015" s="22"/>
      <c r="AC1015" s="22"/>
      <c r="AD1015" s="22"/>
      <c r="AE1015" s="22"/>
      <c r="AF1015" s="22"/>
    </row>
    <row r="1016" ht="13.5" hidden="1" customHeight="1">
      <c r="A1016" s="116">
        <f t="shared" si="160"/>
        <v>26</v>
      </c>
      <c r="B1016" s="118">
        <v>46243.0</v>
      </c>
      <c r="C1016" s="119"/>
      <c r="D1016" s="120" t="str">
        <f t="shared" si="161"/>
        <v>Jerrel</v>
      </c>
      <c r="E1016" s="121">
        <f>SUMIFS(SSOD!$C:$C,SSOD!$B:$B,Hitungan!D1016,SSOD!$A:$A,Hitungan!C1016)</f>
        <v>0</v>
      </c>
      <c r="F1016" s="122"/>
      <c r="G1016" s="124">
        <f t="shared" si="165"/>
        <v>0</v>
      </c>
      <c r="H1016" s="126" t="str">
        <f t="array" ref="H1016">INDEX('Panduan Gaji'!$Q:$Q,MATCH(D1016,'Panduan Gaji'!$C:$C,0))</f>
        <v>GS</v>
      </c>
      <c r="I1016" s="128" t="s">
        <v>138</v>
      </c>
      <c r="J1016" s="309">
        <v>0.4138888888888889</v>
      </c>
      <c r="K1016" s="309">
        <v>0.9201388888888888</v>
      </c>
      <c r="L1016" s="187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22"/>
      <c r="Y1016" s="22"/>
      <c r="Z1016" s="22"/>
      <c r="AA1016" s="22"/>
      <c r="AB1016" s="22"/>
      <c r="AC1016" s="22"/>
      <c r="AD1016" s="22"/>
      <c r="AE1016" s="22"/>
      <c r="AF1016" s="22"/>
    </row>
    <row r="1017" ht="13.5" hidden="1" customHeight="1">
      <c r="A1017" s="116">
        <f t="shared" si="160"/>
        <v>26</v>
      </c>
      <c r="B1017" s="118">
        <v>46244.0</v>
      </c>
      <c r="C1017" s="119"/>
      <c r="D1017" s="120" t="str">
        <f t="shared" si="161"/>
        <v>Jerrel</v>
      </c>
      <c r="E1017" s="121">
        <f>SUMIFS(SSOD!$C:$C,SSOD!$B:$B,Hitungan!D1017,SSOD!$A:$A,Hitungan!C1017)</f>
        <v>0</v>
      </c>
      <c r="F1017" s="122"/>
      <c r="G1017" s="124">
        <f t="shared" si="165"/>
        <v>0</v>
      </c>
      <c r="H1017" s="126" t="str">
        <f t="array" ref="H1017">INDEX('Panduan Gaji'!$Q:$Q,MATCH(D1017,'Panduan Gaji'!$C:$C,0))</f>
        <v>GS</v>
      </c>
      <c r="I1017" s="128" t="s">
        <v>138</v>
      </c>
      <c r="J1017" s="309"/>
      <c r="K1017" s="309"/>
      <c r="L1017" s="187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22"/>
      <c r="Y1017" s="22"/>
      <c r="Z1017" s="22"/>
      <c r="AA1017" s="22"/>
      <c r="AB1017" s="22"/>
      <c r="AC1017" s="22"/>
      <c r="AD1017" s="22"/>
      <c r="AE1017" s="22"/>
      <c r="AF1017" s="22"/>
    </row>
    <row r="1018" ht="13.5" hidden="1" customHeight="1">
      <c r="A1018" s="116">
        <f t="shared" si="160"/>
        <v>26</v>
      </c>
      <c r="B1018" s="118">
        <v>46245.0</v>
      </c>
      <c r="C1018" s="119"/>
      <c r="D1018" s="120" t="str">
        <f t="shared" si="161"/>
        <v>Jerrel</v>
      </c>
      <c r="E1018" s="121">
        <f>SUMIFS(SSOD!$C:$C,SSOD!$B:$B,Hitungan!D1018,SSOD!$A:$A,Hitungan!C1018)</f>
        <v>0</v>
      </c>
      <c r="F1018" s="122"/>
      <c r="G1018" s="124">
        <f t="shared" si="165"/>
        <v>0</v>
      </c>
      <c r="H1018" s="126" t="str">
        <f t="array" ref="H1018">INDEX('Panduan Gaji'!$Q:$Q,MATCH(D1018,'Panduan Gaji'!$C:$C,0))</f>
        <v>GS</v>
      </c>
      <c r="I1018" s="128" t="s">
        <v>138</v>
      </c>
      <c r="J1018" s="308"/>
      <c r="K1018" s="308"/>
      <c r="L1018" s="145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22"/>
      <c r="Y1018" s="22"/>
      <c r="Z1018" s="22"/>
      <c r="AA1018" s="22"/>
      <c r="AB1018" s="22"/>
      <c r="AC1018" s="22"/>
      <c r="AD1018" s="22"/>
      <c r="AE1018" s="22"/>
      <c r="AF1018" s="22"/>
    </row>
    <row r="1019" ht="13.5" hidden="1" customHeight="1">
      <c r="A1019" s="116">
        <f t="shared" si="160"/>
        <v>26</v>
      </c>
      <c r="B1019" s="118">
        <v>46246.0</v>
      </c>
      <c r="C1019" s="119"/>
      <c r="D1019" s="120" t="str">
        <f t="shared" si="161"/>
        <v>Jerrel</v>
      </c>
      <c r="E1019" s="121">
        <f>SUMIFS(SSOD!$C:$C,SSOD!$B:$B,Hitungan!D1019,SSOD!$A:$A,Hitungan!C1019)</f>
        <v>0</v>
      </c>
      <c r="F1019" s="122"/>
      <c r="G1019" s="124">
        <f t="shared" si="165"/>
        <v>0</v>
      </c>
      <c r="H1019" s="126" t="str">
        <f t="array" ref="H1019">INDEX('Panduan Gaji'!$Q:$Q,MATCH(D1019,'Panduan Gaji'!$C:$C,0))</f>
        <v>GS</v>
      </c>
      <c r="I1019" s="128" t="s">
        <v>138</v>
      </c>
      <c r="J1019" s="308"/>
      <c r="K1019" s="308"/>
      <c r="L1019" s="145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22"/>
      <c r="Y1019" s="22"/>
      <c r="Z1019" s="22"/>
      <c r="AA1019" s="22"/>
      <c r="AB1019" s="22"/>
      <c r="AC1019" s="22"/>
      <c r="AD1019" s="22"/>
      <c r="AE1019" s="22"/>
      <c r="AF1019" s="22"/>
    </row>
    <row r="1020" ht="13.5" hidden="1" customHeight="1">
      <c r="A1020" s="116">
        <f t="shared" si="160"/>
        <v>26</v>
      </c>
      <c r="B1020" s="118">
        <v>46247.0</v>
      </c>
      <c r="C1020" s="119"/>
      <c r="D1020" s="120" t="str">
        <f t="shared" si="161"/>
        <v>Jerrel</v>
      </c>
      <c r="E1020" s="121">
        <f>SUMIFS(SSOD!$C:$C,SSOD!$B:$B,Hitungan!D1020,SSOD!$A:$A,Hitungan!C1020)</f>
        <v>0</v>
      </c>
      <c r="F1020" s="122"/>
      <c r="G1020" s="124">
        <f t="shared" si="165"/>
        <v>0</v>
      </c>
      <c r="H1020" s="126" t="str">
        <f t="array" ref="H1020">INDEX('Panduan Gaji'!$Q:$Q,MATCH(D1020,'Panduan Gaji'!$C:$C,0))</f>
        <v>GS</v>
      </c>
      <c r="I1020" s="128" t="s">
        <v>138</v>
      </c>
      <c r="J1020" s="308"/>
      <c r="K1020" s="308"/>
      <c r="L1020" s="145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22"/>
      <c r="Y1020" s="22"/>
      <c r="Z1020" s="22"/>
      <c r="AA1020" s="22"/>
      <c r="AB1020" s="22"/>
      <c r="AC1020" s="22"/>
      <c r="AD1020" s="22"/>
      <c r="AE1020" s="22"/>
      <c r="AF1020" s="22"/>
    </row>
    <row r="1021" ht="13.5" hidden="1" customHeight="1">
      <c r="A1021" s="116">
        <f t="shared" si="160"/>
        <v>26</v>
      </c>
      <c r="B1021" s="118">
        <v>46248.0</v>
      </c>
      <c r="C1021" s="119"/>
      <c r="D1021" s="120" t="str">
        <f t="shared" si="161"/>
        <v>Jerrel</v>
      </c>
      <c r="E1021" s="121">
        <f>SUMIFS(SSOD!$C:$C,SSOD!$B:$B,Hitungan!D1021,SSOD!$A:$A,Hitungan!C1021)</f>
        <v>0</v>
      </c>
      <c r="F1021" s="122"/>
      <c r="G1021" s="124">
        <f t="shared" si="165"/>
        <v>0</v>
      </c>
      <c r="H1021" s="126" t="str">
        <f t="array" ref="H1021">INDEX('Panduan Gaji'!$Q:$Q,MATCH(D1021,'Panduan Gaji'!$C:$C,0))</f>
        <v>GS</v>
      </c>
      <c r="I1021" s="128" t="s">
        <v>138</v>
      </c>
      <c r="J1021" s="308">
        <v>0.4125</v>
      </c>
      <c r="K1021" s="310">
        <v>0.9166666666666666</v>
      </c>
      <c r="L1021" s="145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22"/>
      <c r="Y1021" s="22"/>
      <c r="Z1021" s="22"/>
      <c r="AA1021" s="22"/>
      <c r="AB1021" s="22"/>
      <c r="AC1021" s="22"/>
      <c r="AD1021" s="22"/>
      <c r="AE1021" s="22"/>
      <c r="AF1021" s="22"/>
    </row>
    <row r="1022" ht="13.5" hidden="1" customHeight="1">
      <c r="A1022" s="116">
        <f t="shared" si="160"/>
        <v>26</v>
      </c>
      <c r="B1022" s="118">
        <v>46249.0</v>
      </c>
      <c r="C1022" s="119"/>
      <c r="D1022" s="120" t="str">
        <f t="shared" si="161"/>
        <v>Jerrel</v>
      </c>
      <c r="E1022" s="121">
        <f>SUMIFS(SSOD!$C:$C,SSOD!$B:$B,Hitungan!D1022,SSOD!$A:$A,Hitungan!C1022)</f>
        <v>0</v>
      </c>
      <c r="F1022" s="122"/>
      <c r="G1022" s="124">
        <f t="shared" si="165"/>
        <v>0</v>
      </c>
      <c r="H1022" s="126" t="str">
        <f t="array" ref="H1022">INDEX('Panduan Gaji'!$Q:$Q,MATCH(D1022,'Panduan Gaji'!$C:$C,0))</f>
        <v>GS</v>
      </c>
      <c r="I1022" s="128" t="s">
        <v>138</v>
      </c>
      <c r="J1022" s="308">
        <v>0.4152777777777778</v>
      </c>
      <c r="K1022" s="308">
        <v>0.9166666666666666</v>
      </c>
      <c r="L1022" s="145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22"/>
      <c r="Y1022" s="22"/>
      <c r="Z1022" s="22"/>
      <c r="AA1022" s="22"/>
      <c r="AB1022" s="22"/>
      <c r="AC1022" s="22"/>
      <c r="AD1022" s="22"/>
      <c r="AE1022" s="22"/>
      <c r="AF1022" s="22"/>
    </row>
    <row r="1023" ht="13.5" hidden="1" customHeight="1">
      <c r="A1023" s="116">
        <f t="shared" si="160"/>
        <v>26</v>
      </c>
      <c r="B1023" s="118">
        <v>46250.0</v>
      </c>
      <c r="C1023" s="119"/>
      <c r="D1023" s="120" t="str">
        <f t="shared" si="161"/>
        <v>Jerrel</v>
      </c>
      <c r="E1023" s="121">
        <f>SUMIFS(SSOD!$C:$C,SSOD!$B:$B,Hitungan!D1023,SSOD!$A:$A,Hitungan!C1023)</f>
        <v>0</v>
      </c>
      <c r="F1023" s="122"/>
      <c r="G1023" s="124">
        <f t="shared" si="165"/>
        <v>0</v>
      </c>
      <c r="H1023" s="126" t="str">
        <f t="array" ref="H1023">INDEX('Panduan Gaji'!$Q:$Q,MATCH(D1023,'Panduan Gaji'!$C:$C,0))</f>
        <v>GS</v>
      </c>
      <c r="I1023" s="128" t="s">
        <v>138</v>
      </c>
      <c r="J1023" s="308"/>
      <c r="K1023" s="308"/>
      <c r="L1023" s="145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22"/>
      <c r="Y1023" s="22"/>
      <c r="Z1023" s="22"/>
      <c r="AA1023" s="22"/>
      <c r="AB1023" s="22"/>
      <c r="AC1023" s="22"/>
      <c r="AD1023" s="22"/>
      <c r="AE1023" s="22"/>
      <c r="AF1023" s="22"/>
    </row>
    <row r="1024" ht="13.5" hidden="1" customHeight="1">
      <c r="A1024" s="116">
        <f t="shared" si="160"/>
        <v>26</v>
      </c>
      <c r="B1024" s="118">
        <v>46251.0</v>
      </c>
      <c r="C1024" s="119"/>
      <c r="D1024" s="120" t="str">
        <f t="shared" si="161"/>
        <v>Jerrel</v>
      </c>
      <c r="E1024" s="121">
        <f>SUMIFS(SSOD!$C:$C,SSOD!$B:$B,Hitungan!D1024,SSOD!$A:$A,Hitungan!C1024)</f>
        <v>0</v>
      </c>
      <c r="F1024" s="122"/>
      <c r="G1024" s="124">
        <f t="shared" si="165"/>
        <v>0</v>
      </c>
      <c r="H1024" s="126" t="str">
        <f t="array" ref="H1024">INDEX('Panduan Gaji'!$Q:$Q,MATCH(D1024,'Panduan Gaji'!$C:$C,0))</f>
        <v>GS</v>
      </c>
      <c r="I1024" s="128" t="s">
        <v>138</v>
      </c>
      <c r="J1024" s="308"/>
      <c r="K1024" s="308"/>
      <c r="L1024" s="119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22"/>
      <c r="Y1024" s="22"/>
      <c r="Z1024" s="22"/>
      <c r="AA1024" s="22"/>
      <c r="AB1024" s="22"/>
      <c r="AC1024" s="22"/>
      <c r="AD1024" s="22"/>
      <c r="AE1024" s="22"/>
      <c r="AF1024" s="22"/>
    </row>
    <row r="1025" ht="13.5" hidden="1" customHeight="1">
      <c r="A1025" s="116">
        <f t="shared" si="160"/>
        <v>26</v>
      </c>
      <c r="B1025" s="118">
        <v>46252.0</v>
      </c>
      <c r="C1025" s="119"/>
      <c r="D1025" s="120" t="str">
        <f t="shared" si="161"/>
        <v>Jerrel</v>
      </c>
      <c r="E1025" s="121">
        <f>SUMIFS(SSOD!$C:$C,SSOD!$B:$B,Hitungan!D1025,SSOD!$A:$A,Hitungan!C1025)</f>
        <v>0</v>
      </c>
      <c r="F1025" s="122"/>
      <c r="G1025" s="124">
        <f t="shared" si="165"/>
        <v>0</v>
      </c>
      <c r="H1025" s="126" t="str">
        <f t="array" ref="H1025">INDEX('Panduan Gaji'!$Q:$Q,MATCH(D1025,'Panduan Gaji'!$C:$C,0))</f>
        <v>GS</v>
      </c>
      <c r="I1025" s="128" t="s">
        <v>138</v>
      </c>
      <c r="J1025" s="308"/>
      <c r="K1025" s="308"/>
      <c r="L1025" s="119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22"/>
      <c r="Y1025" s="22"/>
      <c r="Z1025" s="22"/>
      <c r="AA1025" s="22"/>
      <c r="AB1025" s="22"/>
      <c r="AC1025" s="22"/>
      <c r="AD1025" s="22"/>
      <c r="AE1025" s="22"/>
      <c r="AF1025" s="22"/>
    </row>
    <row r="1026" ht="13.5" hidden="1" customHeight="1">
      <c r="A1026" s="116">
        <f t="shared" si="160"/>
        <v>26</v>
      </c>
      <c r="B1026" s="118">
        <v>46253.0</v>
      </c>
      <c r="C1026" s="119"/>
      <c r="D1026" s="120" t="str">
        <f t="shared" si="161"/>
        <v>Jerrel</v>
      </c>
      <c r="E1026" s="121">
        <f>SUMIFS(SSOD!$C:$C,SSOD!$B:$B,Hitungan!D1026,SSOD!$A:$A,Hitungan!C1026)</f>
        <v>0</v>
      </c>
      <c r="F1026" s="122"/>
      <c r="G1026" s="124">
        <f t="shared" si="165"/>
        <v>0</v>
      </c>
      <c r="H1026" s="126" t="str">
        <f t="array" ref="H1026">INDEX('Panduan Gaji'!$Q:$Q,MATCH(D1026,'Panduan Gaji'!$C:$C,0))</f>
        <v>GS</v>
      </c>
      <c r="I1026" s="128" t="s">
        <v>138</v>
      </c>
      <c r="J1026" s="308"/>
      <c r="K1026" s="308"/>
      <c r="L1026" s="119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22"/>
      <c r="Y1026" s="22"/>
      <c r="Z1026" s="22"/>
      <c r="AA1026" s="22"/>
      <c r="AB1026" s="22"/>
      <c r="AC1026" s="22"/>
      <c r="AD1026" s="22"/>
      <c r="AE1026" s="22"/>
      <c r="AF1026" s="22"/>
    </row>
    <row r="1027" ht="13.5" hidden="1" customHeight="1">
      <c r="A1027" s="116">
        <f t="shared" si="160"/>
        <v>26</v>
      </c>
      <c r="B1027" s="118">
        <v>46254.0</v>
      </c>
      <c r="C1027" s="119"/>
      <c r="D1027" s="120" t="str">
        <f t="shared" si="161"/>
        <v>Jerrel</v>
      </c>
      <c r="E1027" s="121">
        <f>SUMIFS(SSOD!$C:$C,SSOD!$B:$B,Hitungan!D1027,SSOD!$A:$A,Hitungan!C1027)</f>
        <v>0</v>
      </c>
      <c r="F1027" s="122"/>
      <c r="G1027" s="124">
        <f t="shared" si="165"/>
        <v>0</v>
      </c>
      <c r="H1027" s="126" t="str">
        <f t="array" ref="H1027">INDEX('Panduan Gaji'!$Q:$Q,MATCH(D1027,'Panduan Gaji'!$C:$C,0))</f>
        <v>GS</v>
      </c>
      <c r="I1027" s="128" t="s">
        <v>138</v>
      </c>
      <c r="J1027" s="308"/>
      <c r="K1027" s="308"/>
      <c r="L1027" s="145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22"/>
      <c r="Y1027" s="22"/>
      <c r="Z1027" s="22"/>
      <c r="AA1027" s="22"/>
      <c r="AB1027" s="22"/>
      <c r="AC1027" s="22"/>
      <c r="AD1027" s="22"/>
      <c r="AE1027" s="22"/>
      <c r="AF1027" s="22"/>
    </row>
    <row r="1028" ht="13.5" hidden="1" customHeight="1">
      <c r="A1028" s="116">
        <f t="shared" si="160"/>
        <v>26</v>
      </c>
      <c r="B1028" s="118">
        <v>46255.0</v>
      </c>
      <c r="C1028" s="119"/>
      <c r="D1028" s="120" t="str">
        <f t="shared" si="161"/>
        <v>Jerrel</v>
      </c>
      <c r="E1028" s="121">
        <f>SUMIFS(SSOD!$C:$C,SSOD!$B:$B,Hitungan!D1028,SSOD!$A:$A,Hitungan!C1028)</f>
        <v>0</v>
      </c>
      <c r="F1028" s="122"/>
      <c r="G1028" s="124">
        <f t="shared" si="165"/>
        <v>0</v>
      </c>
      <c r="H1028" s="126" t="str">
        <f t="array" ref="H1028">INDEX('Panduan Gaji'!$Q:$Q,MATCH(D1028,'Panduan Gaji'!$C:$C,0))</f>
        <v>GS</v>
      </c>
      <c r="I1028" s="128" t="s">
        <v>138</v>
      </c>
      <c r="J1028" s="308">
        <v>0.4131944444444444</v>
      </c>
      <c r="K1028" s="308">
        <v>0.9166666666666666</v>
      </c>
      <c r="L1028" s="119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22"/>
      <c r="Y1028" s="22"/>
      <c r="Z1028" s="22"/>
      <c r="AA1028" s="22"/>
      <c r="AB1028" s="22"/>
      <c r="AC1028" s="22"/>
      <c r="AD1028" s="22"/>
      <c r="AE1028" s="22"/>
      <c r="AF1028" s="22"/>
    </row>
    <row r="1029" ht="13.5" hidden="1" customHeight="1">
      <c r="A1029" s="116">
        <f t="shared" si="160"/>
        <v>26</v>
      </c>
      <c r="B1029" s="118">
        <v>46256.0</v>
      </c>
      <c r="C1029" s="119"/>
      <c r="D1029" s="120" t="str">
        <f t="shared" si="161"/>
        <v>Jerrel</v>
      </c>
      <c r="E1029" s="121">
        <f>SUMIFS(SSOD!$C:$C,SSOD!$B:$B,Hitungan!D1029,SSOD!$A:$A,Hitungan!C1029)</f>
        <v>0</v>
      </c>
      <c r="F1029" s="122"/>
      <c r="G1029" s="124">
        <f t="shared" si="165"/>
        <v>0</v>
      </c>
      <c r="H1029" s="126" t="str">
        <f t="array" ref="H1029">INDEX('Panduan Gaji'!$Q:$Q,MATCH(D1029,'Panduan Gaji'!$C:$C,0))</f>
        <v>GS</v>
      </c>
      <c r="I1029" s="128" t="s">
        <v>138</v>
      </c>
      <c r="J1029" s="308">
        <v>0.4111111111111111</v>
      </c>
      <c r="K1029" s="308">
        <v>0.9166666666666666</v>
      </c>
      <c r="L1029" s="119"/>
      <c r="M1029" s="56"/>
      <c r="N1029" s="56"/>
      <c r="O1029" s="56"/>
      <c r="P1029" s="56"/>
      <c r="Q1029" s="56"/>
      <c r="R1029" s="56"/>
      <c r="S1029" s="56"/>
      <c r="T1029" s="56"/>
      <c r="U1029" s="56"/>
      <c r="V1029" s="56"/>
      <c r="W1029" s="56"/>
      <c r="X1029" s="22"/>
      <c r="Y1029" s="22"/>
      <c r="Z1029" s="22"/>
      <c r="AA1029" s="22"/>
      <c r="AB1029" s="22"/>
      <c r="AC1029" s="22"/>
      <c r="AD1029" s="22"/>
      <c r="AE1029" s="22"/>
      <c r="AF1029" s="22"/>
    </row>
    <row r="1030" ht="13.5" hidden="1" customHeight="1">
      <c r="A1030" s="116">
        <f t="shared" si="160"/>
        <v>26</v>
      </c>
      <c r="B1030" s="118">
        <v>46257.0</v>
      </c>
      <c r="C1030" s="119"/>
      <c r="D1030" s="120" t="str">
        <f t="shared" si="161"/>
        <v>Jerrel</v>
      </c>
      <c r="E1030" s="121">
        <f>SUMIFS(SSOD!$C:$C,SSOD!$B:$B,Hitungan!D1030,SSOD!$A:$A,Hitungan!C1030)</f>
        <v>0</v>
      </c>
      <c r="F1030" s="122"/>
      <c r="G1030" s="124">
        <f t="shared" si="165"/>
        <v>0</v>
      </c>
      <c r="H1030" s="126" t="str">
        <f t="array" ref="H1030">INDEX('Panduan Gaji'!$Q:$Q,MATCH(D1030,'Panduan Gaji'!$C:$C,0))</f>
        <v>GS</v>
      </c>
      <c r="I1030" s="128" t="s">
        <v>138</v>
      </c>
      <c r="J1030" s="308">
        <v>0.4138888888888889</v>
      </c>
      <c r="K1030" s="308">
        <v>0.9180555555555555</v>
      </c>
      <c r="L1030" s="119"/>
      <c r="M1030" s="56"/>
      <c r="N1030" s="56"/>
      <c r="O1030" s="56"/>
      <c r="P1030" s="56"/>
      <c r="Q1030" s="56"/>
      <c r="R1030" s="56"/>
      <c r="S1030" s="56"/>
      <c r="T1030" s="56"/>
      <c r="U1030" s="56"/>
      <c r="V1030" s="56"/>
      <c r="W1030" s="56"/>
      <c r="X1030" s="22"/>
      <c r="Y1030" s="22"/>
      <c r="Z1030" s="22"/>
      <c r="AA1030" s="22"/>
      <c r="AB1030" s="22"/>
      <c r="AC1030" s="22"/>
      <c r="AD1030" s="22"/>
      <c r="AE1030" s="22"/>
      <c r="AF1030" s="22"/>
    </row>
    <row r="1031" ht="15.75" hidden="1" customHeight="1">
      <c r="A1031" s="116">
        <f t="shared" si="160"/>
        <v>26</v>
      </c>
      <c r="B1031" s="118">
        <v>46258.0</v>
      </c>
      <c r="C1031" s="119"/>
      <c r="D1031" s="120" t="str">
        <f t="shared" si="161"/>
        <v>Jerrel</v>
      </c>
      <c r="E1031" s="121">
        <f>SUMIFS(SSOD!$C:$C,SSOD!$B:$B,Hitungan!D1031,SSOD!$A:$A,Hitungan!C1031)</f>
        <v>0</v>
      </c>
      <c r="F1031" s="122"/>
      <c r="G1031" s="124">
        <f t="shared" si="165"/>
        <v>0</v>
      </c>
      <c r="H1031" s="220" t="str">
        <f t="array" ref="H1031">INDEX('Panduan Gaji'!$Q:$Q,MATCH(D1031,'Panduan Gaji'!$C:$C,0))</f>
        <v>GS</v>
      </c>
      <c r="I1031" s="128" t="s">
        <v>138</v>
      </c>
      <c r="J1031" s="308"/>
      <c r="K1031" s="308"/>
      <c r="L1031" s="119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F1031" s="22"/>
    </row>
    <row r="1032" ht="15.75" hidden="1" customHeight="1">
      <c r="A1032" s="222"/>
      <c r="B1032" s="223"/>
      <c r="C1032" s="224"/>
      <c r="D1032" s="225"/>
      <c r="E1032" s="226"/>
      <c r="F1032" s="227"/>
      <c r="G1032" s="228"/>
      <c r="H1032" s="229"/>
      <c r="I1032" s="22"/>
      <c r="J1032" s="230"/>
      <c r="K1032" s="230"/>
      <c r="L1032" s="224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</row>
    <row r="1033" ht="13.5" hidden="1" customHeight="1">
      <c r="A1033" s="26">
        <v>27.0</v>
      </c>
      <c r="B1033" s="28"/>
      <c r="C1033" s="30" t="s">
        <v>6</v>
      </c>
      <c r="D1033" s="33" t="s">
        <v>118</v>
      </c>
      <c r="E1033" s="42">
        <f>SUMIFS(SSOD!$C:$C,SSOD!$B:$B,Hitungan!D1033,SSOD!$A:$A,Hitungan!C1033)</f>
        <v>1740000</v>
      </c>
      <c r="F1033" s="44">
        <v>1.0</v>
      </c>
      <c r="G1033" s="47">
        <f>(E1033/24)*F1035</f>
        <v>870000</v>
      </c>
      <c r="H1033" s="51" t="str">
        <f t="array" ref="H1033">INDEX('Panduan Gaji'!$Q:$Q,MATCH(D1033,'Panduan Gaji'!$C:$C,0))</f>
        <v>KG</v>
      </c>
      <c r="I1033" s="53"/>
      <c r="J1033" s="54"/>
      <c r="K1033" s="54"/>
      <c r="L1033" s="55"/>
      <c r="M1033" s="56"/>
      <c r="N1033" s="56"/>
      <c r="O1033" s="56"/>
      <c r="P1033" s="56"/>
      <c r="Q1033" s="56"/>
      <c r="R1033" s="56"/>
      <c r="S1033" s="56"/>
      <c r="T1033" s="56"/>
      <c r="U1033" s="56"/>
      <c r="V1033" s="56"/>
      <c r="W1033" s="56"/>
      <c r="X1033" s="22"/>
      <c r="Y1033" s="22"/>
      <c r="Z1033" s="22"/>
      <c r="AA1033" s="22"/>
      <c r="AB1033" s="22"/>
      <c r="AC1033" s="22"/>
      <c r="AD1033" s="22"/>
      <c r="AE1033" s="22"/>
      <c r="AF1033" s="22"/>
    </row>
    <row r="1034" ht="13.5" hidden="1" customHeight="1">
      <c r="A1034" s="26">
        <f t="shared" ref="A1034:A1072" si="166">A1033</f>
        <v>27</v>
      </c>
      <c r="B1034" s="28"/>
      <c r="C1034" s="30" t="s">
        <v>17</v>
      </c>
      <c r="D1034" s="33" t="str">
        <f t="shared" ref="D1034:D1072" si="167">D1033</f>
        <v>Revan</v>
      </c>
      <c r="E1034" s="42">
        <f>SUMIFS(SSOD!$C:$C,SSOD!$B:$B,Hitungan!D1034,SSOD!$A:$A,Hitungan!C1034)</f>
        <v>0</v>
      </c>
      <c r="F1034" s="44"/>
      <c r="G1034" s="47">
        <f t="shared" ref="G1034:G1036" si="168">E1034*F1034</f>
        <v>0</v>
      </c>
      <c r="H1034" s="51" t="str">
        <f t="array" ref="H1034">INDEX('Panduan Gaji'!$Q:$Q,MATCH(D1034,'Panduan Gaji'!$C:$C,0))</f>
        <v>KG</v>
      </c>
      <c r="I1034" s="53"/>
      <c r="J1034" s="54"/>
      <c r="K1034" s="54"/>
      <c r="L1034" s="55"/>
      <c r="M1034" s="56"/>
      <c r="N1034" s="56"/>
      <c r="O1034" s="56"/>
      <c r="P1034" s="56"/>
      <c r="Q1034" s="56"/>
      <c r="R1034" s="56"/>
      <c r="S1034" s="56"/>
      <c r="T1034" s="56"/>
      <c r="U1034" s="56"/>
      <c r="V1034" s="56"/>
      <c r="W1034" s="56"/>
      <c r="X1034" s="22"/>
      <c r="Y1034" s="22"/>
      <c r="Z1034" s="22"/>
      <c r="AA1034" s="22"/>
      <c r="AB1034" s="22"/>
      <c r="AC1034" s="22"/>
      <c r="AD1034" s="22"/>
      <c r="AE1034" s="22"/>
      <c r="AF1034" s="22"/>
    </row>
    <row r="1035" ht="13.5" hidden="1" customHeight="1">
      <c r="A1035" s="26">
        <f t="shared" si="166"/>
        <v>27</v>
      </c>
      <c r="B1035" s="28"/>
      <c r="C1035" s="30" t="s">
        <v>7</v>
      </c>
      <c r="D1035" s="33" t="str">
        <f t="shared" si="167"/>
        <v>Revan</v>
      </c>
      <c r="E1035" s="42">
        <f>SUMIFS(SSOD!$C:$C,SSOD!$B:$B,Hitungan!D1035,SSOD!$A:$A,Hitungan!C1035)</f>
        <v>21000</v>
      </c>
      <c r="F1035" s="44">
        <f t="shared" ref="F1035:F1036" si="169">SUMPRODUCT(--((($J$1043:$J$1072&lt;&gt;"")+($K$1043:$K$1072&lt;&gt;""))&gt;0))</f>
        <v>12</v>
      </c>
      <c r="G1035" s="47">
        <f t="shared" si="168"/>
        <v>252000</v>
      </c>
      <c r="H1035" s="51" t="str">
        <f t="array" ref="H1035">INDEX('Panduan Gaji'!$Q:$Q,MATCH(D1035,'Panduan Gaji'!$C:$C,0))</f>
        <v>KG</v>
      </c>
      <c r="I1035" s="53"/>
      <c r="J1035" s="88"/>
      <c r="K1035" s="88"/>
      <c r="L1035" s="55"/>
      <c r="M1035" s="56"/>
      <c r="N1035" s="56"/>
      <c r="O1035" s="56"/>
      <c r="P1035" s="56"/>
      <c r="Q1035" s="56"/>
      <c r="R1035" s="56"/>
      <c r="S1035" s="56"/>
      <c r="T1035" s="56"/>
      <c r="U1035" s="56"/>
      <c r="V1035" s="56"/>
      <c r="W1035" s="56"/>
      <c r="X1035" s="22"/>
      <c r="Y1035" s="22"/>
      <c r="Z1035" s="22"/>
      <c r="AA1035" s="22"/>
      <c r="AB1035" s="22"/>
      <c r="AC1035" s="22"/>
      <c r="AD1035" s="22"/>
      <c r="AE1035" s="22"/>
      <c r="AF1035" s="22"/>
    </row>
    <row r="1036" ht="13.5" hidden="1" customHeight="1">
      <c r="A1036" s="26">
        <f t="shared" si="166"/>
        <v>27</v>
      </c>
      <c r="B1036" s="28"/>
      <c r="C1036" s="30" t="s">
        <v>9</v>
      </c>
      <c r="D1036" s="33" t="str">
        <f t="shared" si="167"/>
        <v>Revan</v>
      </c>
      <c r="E1036" s="42">
        <f>SUMIFS(SSOD!$C:$C,SSOD!$B:$B,Hitungan!D1036,SSOD!$A:$A,Hitungan!C1036)</f>
        <v>39150</v>
      </c>
      <c r="F1036" s="44">
        <f t="shared" si="169"/>
        <v>12</v>
      </c>
      <c r="G1036" s="47">
        <f t="shared" si="168"/>
        <v>469800</v>
      </c>
      <c r="H1036" s="51" t="str">
        <f t="array" ref="H1036">INDEX('Panduan Gaji'!$Q:$Q,MATCH(D1036,'Panduan Gaji'!$C:$C,0))</f>
        <v>KG</v>
      </c>
      <c r="I1036" s="53"/>
      <c r="J1036" s="88"/>
      <c r="K1036" s="88"/>
      <c r="L1036" s="96"/>
      <c r="M1036" s="56"/>
      <c r="N1036" s="56"/>
      <c r="O1036" s="56"/>
      <c r="P1036" s="56"/>
      <c r="Q1036" s="56"/>
      <c r="R1036" s="56"/>
      <c r="S1036" s="56"/>
      <c r="T1036" s="56"/>
      <c r="U1036" s="56"/>
      <c r="V1036" s="56"/>
      <c r="W1036" s="56"/>
      <c r="X1036" s="22"/>
      <c r="Y1036" s="22"/>
      <c r="Z1036" s="22"/>
      <c r="AA1036" s="22"/>
      <c r="AB1036" s="22"/>
      <c r="AC1036" s="22"/>
      <c r="AD1036" s="22"/>
      <c r="AE1036" s="22"/>
      <c r="AF1036" s="22"/>
    </row>
    <row r="1037" ht="15.75" hidden="1" customHeight="1">
      <c r="A1037" s="26">
        <f t="shared" si="166"/>
        <v>27</v>
      </c>
      <c r="B1037" s="28"/>
      <c r="C1037" s="30" t="s">
        <v>39</v>
      </c>
      <c r="D1037" s="33" t="str">
        <f t="shared" si="167"/>
        <v>Revan</v>
      </c>
      <c r="E1037" s="42">
        <v>152157.0</v>
      </c>
      <c r="F1037" s="44">
        <v>1.0</v>
      </c>
      <c r="G1037" s="47">
        <f>F1037*E1037</f>
        <v>152157</v>
      </c>
      <c r="H1037" s="51" t="str">
        <f t="array" ref="H1037">INDEX('Panduan Gaji'!$Q:$Q,MATCH(D1037,'Panduan Gaji'!$C:$C,0))</f>
        <v>KG</v>
      </c>
      <c r="I1037" s="53"/>
      <c r="J1037" s="88"/>
      <c r="K1037" s="88"/>
      <c r="L1037" s="96"/>
      <c r="M1037" s="56"/>
      <c r="N1037" s="56"/>
      <c r="O1037" s="56"/>
      <c r="P1037" s="56"/>
      <c r="Q1037" s="56"/>
      <c r="R1037" s="56"/>
      <c r="S1037" s="56"/>
      <c r="T1037" s="56"/>
      <c r="U1037" s="56"/>
      <c r="V1037" s="56"/>
      <c r="W1037" s="56"/>
      <c r="X1037" s="22"/>
      <c r="Y1037" s="22"/>
      <c r="Z1037" s="22"/>
      <c r="AA1037" s="22"/>
      <c r="AB1037" s="22"/>
      <c r="AC1037" s="22"/>
      <c r="AD1037" s="22"/>
      <c r="AE1037" s="22"/>
      <c r="AF1037" s="22"/>
    </row>
    <row r="1038" ht="15.75" hidden="1" customHeight="1">
      <c r="A1038" s="26">
        <f t="shared" si="166"/>
        <v>27</v>
      </c>
      <c r="B1038" s="28"/>
      <c r="C1038" s="30" t="s">
        <v>12</v>
      </c>
      <c r="D1038" s="33" t="str">
        <f t="shared" si="167"/>
        <v>Revan</v>
      </c>
      <c r="E1038" s="42">
        <f>SUMIFS(SSOD!$C:$C,SSOD!$B:$B,Hitungan!D1038,SSOD!$A:$A,Hitungan!C1038)</f>
        <v>13050</v>
      </c>
      <c r="F1038" s="44">
        <f>SUMIF($C$1043:$C$1072,C1038,$F$1043:$F$1072)</f>
        <v>0</v>
      </c>
      <c r="G1038" s="47">
        <f t="shared" ref="G1038:G1039" si="170">E1038*F1038</f>
        <v>0</v>
      </c>
      <c r="H1038" s="51" t="str">
        <f t="array" ref="H1038">INDEX('Panduan Gaji'!$Q:$Q,MATCH(D1038,'Panduan Gaji'!$C:$C,0))</f>
        <v>KG</v>
      </c>
      <c r="I1038" s="53"/>
      <c r="J1038" s="88"/>
      <c r="K1038" s="88"/>
      <c r="L1038" s="100"/>
      <c r="M1038" s="56"/>
      <c r="N1038" s="56"/>
      <c r="O1038" s="56"/>
      <c r="P1038" s="56"/>
      <c r="Q1038" s="56"/>
      <c r="R1038" s="56"/>
      <c r="S1038" s="56"/>
      <c r="T1038" s="56"/>
      <c r="U1038" s="56"/>
      <c r="V1038" s="56"/>
      <c r="W1038" s="56"/>
      <c r="X1038" s="22"/>
      <c r="Y1038" s="22"/>
      <c r="Z1038" s="22"/>
      <c r="AA1038" s="22"/>
      <c r="AB1038" s="22"/>
      <c r="AC1038" s="22"/>
      <c r="AD1038" s="22"/>
      <c r="AE1038" s="22"/>
      <c r="AF1038" s="22"/>
    </row>
    <row r="1039" ht="15.75" hidden="1" customHeight="1">
      <c r="A1039" s="26">
        <f t="shared" si="166"/>
        <v>27</v>
      </c>
      <c r="B1039" s="28"/>
      <c r="C1039" s="102" t="s">
        <v>30</v>
      </c>
      <c r="D1039" s="33" t="str">
        <f t="shared" si="167"/>
        <v>Revan</v>
      </c>
      <c r="E1039" s="42">
        <f>SUMIFS(SSOD!$C:$C,SSOD!$B:$B,Hitungan!D1039,SSOD!$A:$A,Hitungan!C1039)</f>
        <v>13050</v>
      </c>
      <c r="F1039" s="44">
        <f t="shared" ref="F1039:F1040" si="171">COUNTIF($C$1043:$C$1072,C1039)</f>
        <v>0</v>
      </c>
      <c r="G1039" s="47">
        <f t="shared" si="170"/>
        <v>0</v>
      </c>
      <c r="H1039" s="51" t="str">
        <f t="array" ref="H1039">INDEX('Panduan Gaji'!$Q:$Q,MATCH(D1039,'Panduan Gaji'!$C:$C,0))</f>
        <v>KG</v>
      </c>
      <c r="I1039" s="53"/>
      <c r="J1039" s="105"/>
      <c r="K1039" s="105"/>
      <c r="L1039" s="106"/>
      <c r="M1039" s="56"/>
      <c r="N1039" s="56"/>
      <c r="O1039" s="56"/>
      <c r="P1039" s="56"/>
      <c r="Q1039" s="56"/>
      <c r="R1039" s="56"/>
      <c r="S1039" s="56"/>
      <c r="T1039" s="56"/>
      <c r="U1039" s="56"/>
      <c r="V1039" s="56"/>
      <c r="W1039" s="56"/>
      <c r="X1039" s="22"/>
      <c r="Y1039" s="22"/>
      <c r="Z1039" s="22"/>
      <c r="AA1039" s="22"/>
      <c r="AB1039" s="22"/>
      <c r="AC1039" s="22"/>
      <c r="AD1039" s="22"/>
      <c r="AE1039" s="22"/>
      <c r="AF1039" s="22"/>
    </row>
    <row r="1040" ht="15.75" hidden="1" customHeight="1">
      <c r="A1040" s="26">
        <f t="shared" si="166"/>
        <v>27</v>
      </c>
      <c r="B1040" s="28"/>
      <c r="C1040" s="30" t="s">
        <v>33</v>
      </c>
      <c r="D1040" s="33" t="str">
        <f t="shared" si="167"/>
        <v>Revan</v>
      </c>
      <c r="E1040" s="42"/>
      <c r="F1040" s="44">
        <f t="shared" si="171"/>
        <v>1</v>
      </c>
      <c r="G1040" s="47">
        <f>SUMIF($C$1043:$C$1072,C1040,$E$1043:$E$1072)</f>
        <v>35000</v>
      </c>
      <c r="H1040" s="51" t="str">
        <f t="array" ref="H1040">INDEX('Panduan Gaji'!$Q:$Q,MATCH(D1040,'Panduan Gaji'!$C:$C,0))</f>
        <v>KG</v>
      </c>
      <c r="I1040" s="53"/>
      <c r="J1040" s="105"/>
      <c r="K1040" s="105"/>
      <c r="L1040" s="106"/>
      <c r="M1040" s="56"/>
      <c r="N1040" s="56"/>
      <c r="O1040" s="56"/>
      <c r="P1040" s="56"/>
      <c r="Q1040" s="56"/>
      <c r="R1040" s="56"/>
      <c r="S1040" s="56"/>
      <c r="T1040" s="56"/>
      <c r="U1040" s="56"/>
      <c r="V1040" s="56"/>
      <c r="W1040" s="56"/>
      <c r="X1040" s="22"/>
      <c r="Y1040" s="22"/>
      <c r="Z1040" s="22"/>
      <c r="AA1040" s="22"/>
      <c r="AB1040" s="22"/>
      <c r="AC1040" s="22"/>
      <c r="AD1040" s="22"/>
      <c r="AE1040" s="22"/>
      <c r="AF1040" s="22"/>
    </row>
    <row r="1041" ht="15.75" hidden="1" customHeight="1">
      <c r="A1041" s="26">
        <f t="shared" si="166"/>
        <v>27</v>
      </c>
      <c r="B1041" s="28"/>
      <c r="C1041" s="30" t="s">
        <v>83</v>
      </c>
      <c r="D1041" s="33" t="str">
        <f t="shared" si="167"/>
        <v>Revan</v>
      </c>
      <c r="E1041" s="42"/>
      <c r="F1041" s="44"/>
      <c r="G1041" s="47"/>
      <c r="H1041" s="51" t="str">
        <f t="array" ref="H1041">INDEX('Panduan Gaji'!$Q:$Q,MATCH(D1041,'Panduan Gaji'!$C:$C,0))</f>
        <v>KG</v>
      </c>
      <c r="I1041" s="53"/>
      <c r="J1041" s="105"/>
      <c r="K1041" s="105"/>
      <c r="L1041" s="106"/>
      <c r="M1041" s="56"/>
      <c r="N1041" s="56"/>
      <c r="O1041" s="56"/>
      <c r="P1041" s="56"/>
      <c r="Q1041" s="56"/>
      <c r="R1041" s="56"/>
      <c r="S1041" s="56"/>
      <c r="T1041" s="56"/>
      <c r="U1041" s="56"/>
      <c r="V1041" s="56"/>
      <c r="W1041" s="56"/>
      <c r="X1041" s="22"/>
      <c r="Y1041" s="22"/>
      <c r="Z1041" s="22"/>
      <c r="AA1041" s="22"/>
      <c r="AB1041" s="22"/>
      <c r="AC1041" s="22"/>
      <c r="AD1041" s="22"/>
      <c r="AE1041" s="22"/>
      <c r="AF1041" s="22"/>
    </row>
    <row r="1042" ht="13.5" hidden="1" customHeight="1">
      <c r="A1042" s="26">
        <f t="shared" si="166"/>
        <v>27</v>
      </c>
      <c r="B1042" s="28"/>
      <c r="C1042" s="30" t="s">
        <v>85</v>
      </c>
      <c r="D1042" s="33" t="str">
        <f t="shared" si="167"/>
        <v>Revan</v>
      </c>
      <c r="E1042" s="42"/>
      <c r="F1042" s="44"/>
      <c r="G1042" s="47"/>
      <c r="H1042" s="51" t="str">
        <f t="array" ref="H1042">INDEX('Panduan Gaji'!$Q:$Q,MATCH(D1042,'Panduan Gaji'!$C:$C,0))</f>
        <v>KG</v>
      </c>
      <c r="I1042" s="53"/>
      <c r="J1042" s="105"/>
      <c r="K1042" s="105"/>
      <c r="L1042" s="106"/>
      <c r="M1042" s="56"/>
      <c r="N1042" s="56"/>
      <c r="O1042" s="22"/>
      <c r="P1042" s="56"/>
      <c r="Q1042" s="56"/>
      <c r="R1042" s="56"/>
      <c r="S1042" s="56"/>
      <c r="T1042" s="56"/>
      <c r="U1042" s="56"/>
      <c r="V1042" s="56"/>
      <c r="W1042" s="56"/>
      <c r="X1042" s="22"/>
      <c r="Y1042" s="22"/>
      <c r="Z1042" s="22"/>
      <c r="AA1042" s="22"/>
      <c r="AB1042" s="22"/>
      <c r="AC1042" s="22"/>
      <c r="AD1042" s="22"/>
      <c r="AE1042" s="22"/>
      <c r="AF1042" s="22"/>
    </row>
    <row r="1043" ht="13.5" hidden="1" customHeight="1">
      <c r="A1043" s="116">
        <f t="shared" si="166"/>
        <v>27</v>
      </c>
      <c r="B1043" s="118">
        <v>46229.0</v>
      </c>
      <c r="C1043" s="119"/>
      <c r="D1043" s="120" t="str">
        <f t="shared" si="167"/>
        <v>Revan</v>
      </c>
      <c r="E1043" s="121">
        <f>SUMIFS(SSOD!$C:$C,SSOD!$B:$B,Hitungan!D1043,SSOD!$A:$A,Hitungan!C1043)</f>
        <v>0</v>
      </c>
      <c r="F1043" s="122"/>
      <c r="G1043" s="124">
        <f t="shared" ref="G1043:G1072" si="172">E1043*F1043</f>
        <v>0</v>
      </c>
      <c r="H1043" s="126" t="str">
        <f t="array" ref="H1043">INDEX('Panduan Gaji'!$Q:$Q,MATCH(D1043,'Panduan Gaji'!$C:$C,0))</f>
        <v>KG</v>
      </c>
      <c r="I1043" s="128" t="s">
        <v>138</v>
      </c>
      <c r="J1043" s="308"/>
      <c r="K1043" s="308"/>
      <c r="L1043" s="130"/>
      <c r="M1043" s="56"/>
      <c r="N1043" s="56"/>
      <c r="O1043" s="56"/>
      <c r="P1043" s="56"/>
      <c r="Q1043" s="56"/>
      <c r="R1043" s="56"/>
      <c r="S1043" s="56"/>
      <c r="T1043" s="56"/>
      <c r="U1043" s="56"/>
      <c r="V1043" s="56"/>
      <c r="W1043" s="56"/>
      <c r="X1043" s="22"/>
      <c r="Y1043" s="22"/>
      <c r="Z1043" s="22"/>
      <c r="AA1043" s="22"/>
      <c r="AB1043" s="22"/>
      <c r="AC1043" s="22"/>
      <c r="AD1043" s="22"/>
      <c r="AE1043" s="22"/>
      <c r="AF1043" s="22"/>
    </row>
    <row r="1044" ht="13.5" hidden="1" customHeight="1">
      <c r="A1044" s="116">
        <f t="shared" si="166"/>
        <v>27</v>
      </c>
      <c r="B1044" s="118">
        <v>46230.0</v>
      </c>
      <c r="C1044" s="119"/>
      <c r="D1044" s="120" t="str">
        <f t="shared" si="167"/>
        <v>Revan</v>
      </c>
      <c r="E1044" s="121">
        <f>SUMIFS(SSOD!$C:$C,SSOD!$B:$B,Hitungan!D1044,SSOD!$A:$A,Hitungan!C1044)</f>
        <v>0</v>
      </c>
      <c r="F1044" s="122"/>
      <c r="G1044" s="124">
        <f t="shared" si="172"/>
        <v>0</v>
      </c>
      <c r="H1044" s="126" t="str">
        <f t="array" ref="H1044">INDEX('Panduan Gaji'!$Q:$Q,MATCH(D1044,'Panduan Gaji'!$C:$C,0))</f>
        <v>KG</v>
      </c>
      <c r="I1044" s="128" t="s">
        <v>138</v>
      </c>
      <c r="J1044" s="308"/>
      <c r="K1044" s="308"/>
      <c r="L1044" s="138"/>
      <c r="M1044" s="56"/>
      <c r="N1044" s="56"/>
      <c r="O1044" s="56"/>
      <c r="P1044" s="56"/>
      <c r="Q1044" s="56"/>
      <c r="R1044" s="56"/>
      <c r="S1044" s="56"/>
      <c r="T1044" s="56"/>
      <c r="U1044" s="56"/>
      <c r="V1044" s="56"/>
      <c r="W1044" s="56"/>
      <c r="X1044" s="22"/>
      <c r="Y1044" s="22"/>
      <c r="Z1044" s="22"/>
      <c r="AA1044" s="22"/>
      <c r="AB1044" s="22"/>
      <c r="AC1044" s="22"/>
      <c r="AD1044" s="22"/>
      <c r="AE1044" s="22"/>
      <c r="AF1044" s="22"/>
    </row>
    <row r="1045" ht="13.5" hidden="1" customHeight="1">
      <c r="A1045" s="116">
        <f t="shared" si="166"/>
        <v>27</v>
      </c>
      <c r="B1045" s="118">
        <v>46231.0</v>
      </c>
      <c r="C1045" s="119"/>
      <c r="D1045" s="120" t="str">
        <f t="shared" si="167"/>
        <v>Revan</v>
      </c>
      <c r="E1045" s="121">
        <f>SUMIFS(SSOD!$C:$C,SSOD!$B:$B,Hitungan!D1045,SSOD!$A:$A,Hitungan!C1045)</f>
        <v>0</v>
      </c>
      <c r="F1045" s="122"/>
      <c r="G1045" s="124">
        <f t="shared" si="172"/>
        <v>0</v>
      </c>
      <c r="H1045" s="126" t="str">
        <f t="array" ref="H1045">INDEX('Panduan Gaji'!$Q:$Q,MATCH(D1045,'Panduan Gaji'!$C:$C,0))</f>
        <v>KG</v>
      </c>
      <c r="I1045" s="128" t="s">
        <v>138</v>
      </c>
      <c r="J1045" s="308"/>
      <c r="K1045" s="308"/>
      <c r="L1045" s="145"/>
      <c r="M1045" s="56"/>
      <c r="N1045" s="56"/>
      <c r="O1045" s="56"/>
      <c r="P1045" s="56"/>
      <c r="Q1045" s="56"/>
      <c r="R1045" s="56"/>
      <c r="S1045" s="56"/>
      <c r="T1045" s="56"/>
      <c r="U1045" s="56"/>
      <c r="V1045" s="56"/>
      <c r="W1045" s="56"/>
      <c r="X1045" s="22"/>
      <c r="Y1045" s="22"/>
      <c r="Z1045" s="22"/>
      <c r="AA1045" s="22"/>
      <c r="AB1045" s="22"/>
      <c r="AC1045" s="22"/>
      <c r="AD1045" s="22"/>
      <c r="AE1045" s="22"/>
      <c r="AF1045" s="22"/>
    </row>
    <row r="1046" ht="13.5" hidden="1" customHeight="1">
      <c r="A1046" s="116">
        <f t="shared" si="166"/>
        <v>27</v>
      </c>
      <c r="B1046" s="118">
        <v>46232.0</v>
      </c>
      <c r="C1046" s="146"/>
      <c r="D1046" s="120" t="str">
        <f t="shared" si="167"/>
        <v>Revan</v>
      </c>
      <c r="E1046" s="147">
        <f>SUMIFS(SSOD!$C:$C,SSOD!$B:$B,Hitungan!D1046,SSOD!$A:$A,Hitungan!C1046)</f>
        <v>0</v>
      </c>
      <c r="F1046" s="148"/>
      <c r="G1046" s="124">
        <f t="shared" si="172"/>
        <v>0</v>
      </c>
      <c r="H1046" s="126" t="str">
        <f t="array" ref="H1046">INDEX('Panduan Gaji'!$Q:$Q,MATCH(D1046,'Panduan Gaji'!$C:$C,0))</f>
        <v>KG</v>
      </c>
      <c r="I1046" s="128" t="s">
        <v>138</v>
      </c>
      <c r="J1046" s="308"/>
      <c r="K1046" s="308"/>
      <c r="L1046" s="153"/>
      <c r="M1046" s="166"/>
      <c r="N1046" s="56"/>
      <c r="O1046" s="56"/>
      <c r="P1046" s="56"/>
      <c r="Q1046" s="56"/>
      <c r="R1046" s="56"/>
      <c r="S1046" s="56"/>
      <c r="T1046" s="56"/>
      <c r="U1046" s="56"/>
      <c r="V1046" s="56"/>
      <c r="W1046" s="56"/>
      <c r="X1046" s="22"/>
      <c r="Y1046" s="22"/>
      <c r="Z1046" s="22"/>
      <c r="AA1046" s="22"/>
      <c r="AB1046" s="22"/>
      <c r="AC1046" s="22"/>
      <c r="AD1046" s="22"/>
      <c r="AE1046" s="22"/>
      <c r="AF1046" s="22"/>
    </row>
    <row r="1047" ht="13.5" hidden="1" customHeight="1">
      <c r="A1047" s="116">
        <f t="shared" si="166"/>
        <v>27</v>
      </c>
      <c r="B1047" s="118">
        <v>46233.0</v>
      </c>
      <c r="C1047" s="119"/>
      <c r="D1047" s="120" t="str">
        <f t="shared" si="167"/>
        <v>Revan</v>
      </c>
      <c r="E1047" s="121">
        <f>SUMIFS(SSOD!$C:$C,SSOD!$B:$B,Hitungan!D1047,SSOD!$A:$A,Hitungan!C1047)</f>
        <v>0</v>
      </c>
      <c r="F1047" s="122"/>
      <c r="G1047" s="124">
        <f t="shared" si="172"/>
        <v>0</v>
      </c>
      <c r="H1047" s="126" t="str">
        <f t="array" ref="H1047">INDEX('Panduan Gaji'!$Q:$Q,MATCH(D1047,'Panduan Gaji'!$C:$C,0))</f>
        <v>KG</v>
      </c>
      <c r="I1047" s="128" t="s">
        <v>138</v>
      </c>
      <c r="J1047" s="308"/>
      <c r="K1047" s="308"/>
      <c r="L1047" s="164"/>
      <c r="M1047" s="56"/>
      <c r="N1047" s="56"/>
      <c r="O1047" s="56"/>
      <c r="P1047" s="56"/>
      <c r="Q1047" s="56"/>
      <c r="R1047" s="56"/>
      <c r="S1047" s="56"/>
      <c r="T1047" s="56"/>
      <c r="U1047" s="56"/>
      <c r="V1047" s="56"/>
      <c r="W1047" s="56"/>
      <c r="X1047" s="22"/>
      <c r="Y1047" s="22"/>
      <c r="Z1047" s="22"/>
      <c r="AA1047" s="22"/>
      <c r="AB1047" s="22"/>
      <c r="AC1047" s="22"/>
      <c r="AD1047" s="22"/>
      <c r="AE1047" s="22"/>
      <c r="AF1047" s="22"/>
    </row>
    <row r="1048" ht="13.5" hidden="1" customHeight="1">
      <c r="A1048" s="116">
        <f t="shared" si="166"/>
        <v>27</v>
      </c>
      <c r="B1048" s="118">
        <v>46234.0</v>
      </c>
      <c r="C1048" s="119"/>
      <c r="D1048" s="120" t="str">
        <f t="shared" si="167"/>
        <v>Revan</v>
      </c>
      <c r="E1048" s="121">
        <f>SUMIFS(SSOD!$C:$C,SSOD!$B:$B,Hitungan!D1048,SSOD!$A:$A,Hitungan!C1048)</f>
        <v>0</v>
      </c>
      <c r="F1048" s="122"/>
      <c r="G1048" s="124">
        <f t="shared" si="172"/>
        <v>0</v>
      </c>
      <c r="H1048" s="126" t="str">
        <f t="array" ref="H1048">INDEX('Panduan Gaji'!$Q:$Q,MATCH(D1048,'Panduan Gaji'!$C:$C,0))</f>
        <v>KG</v>
      </c>
      <c r="I1048" s="128" t="s">
        <v>138</v>
      </c>
      <c r="J1048" s="308"/>
      <c r="K1048" s="310"/>
      <c r="L1048" s="130"/>
      <c r="M1048" s="56"/>
      <c r="N1048" s="56"/>
      <c r="O1048" s="56"/>
      <c r="P1048" s="56"/>
      <c r="Q1048" s="56"/>
      <c r="R1048" s="56"/>
      <c r="S1048" s="56"/>
      <c r="T1048" s="56"/>
      <c r="U1048" s="56"/>
      <c r="V1048" s="56"/>
      <c r="W1048" s="56"/>
      <c r="X1048" s="22"/>
      <c r="Y1048" s="22"/>
      <c r="Z1048" s="22"/>
      <c r="AA1048" s="22"/>
      <c r="AB1048" s="22"/>
      <c r="AC1048" s="22"/>
      <c r="AD1048" s="22"/>
      <c r="AE1048" s="22"/>
      <c r="AF1048" s="22"/>
    </row>
    <row r="1049" ht="13.5" hidden="1" customHeight="1">
      <c r="A1049" s="116">
        <f t="shared" si="166"/>
        <v>27</v>
      </c>
      <c r="B1049" s="118">
        <v>46235.0</v>
      </c>
      <c r="C1049" s="119"/>
      <c r="D1049" s="120" t="str">
        <f t="shared" si="167"/>
        <v>Revan</v>
      </c>
      <c r="E1049" s="121">
        <f>SUMIFS(SSOD!$C:$C,SSOD!$B:$B,Hitungan!D1049,SSOD!$A:$A,Hitungan!C1049)</f>
        <v>0</v>
      </c>
      <c r="F1049" s="122"/>
      <c r="G1049" s="124">
        <f t="shared" si="172"/>
        <v>0</v>
      </c>
      <c r="H1049" s="126" t="str">
        <f t="array" ref="H1049">INDEX('Panduan Gaji'!$Q:$Q,MATCH(D1049,'Panduan Gaji'!$C:$C,0))</f>
        <v>KG</v>
      </c>
      <c r="I1049" s="128" t="s">
        <v>138</v>
      </c>
      <c r="J1049" s="309"/>
      <c r="K1049" s="308"/>
      <c r="L1049" s="145"/>
      <c r="M1049" s="56"/>
      <c r="N1049" s="56"/>
      <c r="O1049" s="56"/>
      <c r="P1049" s="56"/>
      <c r="Q1049" s="56"/>
      <c r="R1049" s="56"/>
      <c r="S1049" s="56"/>
      <c r="T1049" s="56"/>
      <c r="U1049" s="56"/>
      <c r="V1049" s="56"/>
      <c r="W1049" s="56"/>
      <c r="X1049" s="22"/>
      <c r="Y1049" s="22"/>
      <c r="Z1049" s="22"/>
      <c r="AA1049" s="22"/>
      <c r="AB1049" s="22"/>
      <c r="AC1049" s="22"/>
      <c r="AD1049" s="22"/>
      <c r="AE1049" s="22"/>
      <c r="AF1049" s="22"/>
    </row>
    <row r="1050" ht="13.5" hidden="1" customHeight="1">
      <c r="A1050" s="116">
        <f t="shared" si="166"/>
        <v>27</v>
      </c>
      <c r="B1050" s="118">
        <v>46236.0</v>
      </c>
      <c r="C1050" s="119"/>
      <c r="D1050" s="120" t="str">
        <f t="shared" si="167"/>
        <v>Revan</v>
      </c>
      <c r="E1050" s="121">
        <v>0.0</v>
      </c>
      <c r="F1050" s="122"/>
      <c r="G1050" s="124">
        <f t="shared" si="172"/>
        <v>0</v>
      </c>
      <c r="H1050" s="126" t="str">
        <f t="array" ref="H1050">INDEX('Panduan Gaji'!$Q:$Q,MATCH(D1050,'Panduan Gaji'!$C:$C,0))</f>
        <v>KG</v>
      </c>
      <c r="I1050" s="128" t="s">
        <v>138</v>
      </c>
      <c r="J1050" s="309"/>
      <c r="K1050" s="308"/>
      <c r="L1050" s="145"/>
      <c r="M1050" s="56"/>
      <c r="N1050" s="56"/>
      <c r="O1050" s="56"/>
      <c r="P1050" s="56"/>
      <c r="Q1050" s="56"/>
      <c r="R1050" s="56"/>
      <c r="S1050" s="56"/>
      <c r="T1050" s="56"/>
      <c r="U1050" s="56"/>
      <c r="V1050" s="56"/>
      <c r="W1050" s="56"/>
      <c r="X1050" s="22"/>
      <c r="Y1050" s="22"/>
      <c r="Z1050" s="22"/>
      <c r="AA1050" s="22"/>
      <c r="AB1050" s="22"/>
      <c r="AC1050" s="22"/>
      <c r="AD1050" s="22"/>
      <c r="AE1050" s="22"/>
      <c r="AF1050" s="22"/>
    </row>
    <row r="1051" ht="13.5" hidden="1" customHeight="1">
      <c r="A1051" s="116">
        <f t="shared" si="166"/>
        <v>27</v>
      </c>
      <c r="B1051" s="118">
        <v>46237.0</v>
      </c>
      <c r="C1051" s="119"/>
      <c r="D1051" s="120" t="str">
        <f t="shared" si="167"/>
        <v>Revan</v>
      </c>
      <c r="E1051" s="121">
        <f>SUMIFS(SSOD!$C:$C,SSOD!$B:$B,Hitungan!D1051,SSOD!$A:$A,Hitungan!C1051)</f>
        <v>0</v>
      </c>
      <c r="F1051" s="122"/>
      <c r="G1051" s="124">
        <f t="shared" si="172"/>
        <v>0</v>
      </c>
      <c r="H1051" s="126" t="str">
        <f t="array" ref="H1051">INDEX('Panduan Gaji'!$Q:$Q,MATCH(D1051,'Panduan Gaji'!$C:$C,0))</f>
        <v>KG</v>
      </c>
      <c r="I1051" s="128" t="s">
        <v>138</v>
      </c>
      <c r="J1051" s="309"/>
      <c r="K1051" s="308"/>
      <c r="L1051" s="145"/>
      <c r="M1051" s="56"/>
      <c r="N1051" s="56"/>
      <c r="O1051" s="56"/>
      <c r="P1051" s="56"/>
      <c r="Q1051" s="56"/>
      <c r="R1051" s="56"/>
      <c r="S1051" s="56"/>
      <c r="T1051" s="56"/>
      <c r="U1051" s="56"/>
      <c r="V1051" s="56"/>
      <c r="W1051" s="56"/>
      <c r="X1051" s="22"/>
      <c r="Y1051" s="22"/>
      <c r="Z1051" s="22"/>
      <c r="AA1051" s="22"/>
      <c r="AB1051" s="22"/>
      <c r="AC1051" s="22"/>
      <c r="AD1051" s="22"/>
      <c r="AE1051" s="22"/>
      <c r="AF1051" s="22"/>
    </row>
    <row r="1052" ht="13.5" hidden="1" customHeight="1">
      <c r="A1052" s="116">
        <f t="shared" si="166"/>
        <v>27</v>
      </c>
      <c r="B1052" s="118">
        <v>46238.0</v>
      </c>
      <c r="C1052" s="181"/>
      <c r="D1052" s="120" t="str">
        <f t="shared" si="167"/>
        <v>Revan</v>
      </c>
      <c r="E1052" s="121">
        <f>SUMIFS(SSOD!$C:$C,SSOD!$B:$B,Hitungan!D1052,SSOD!$A:$A,Hitungan!C1052)</f>
        <v>0</v>
      </c>
      <c r="F1052" s="182"/>
      <c r="G1052" s="52">
        <f t="shared" si="172"/>
        <v>0</v>
      </c>
      <c r="H1052" s="126" t="str">
        <f t="array" ref="H1052">INDEX('Panduan Gaji'!$Q:$Q,MATCH(D1052,'Panduan Gaji'!$C:$C,0))</f>
        <v>KG</v>
      </c>
      <c r="I1052" s="128" t="s">
        <v>138</v>
      </c>
      <c r="J1052" s="309"/>
      <c r="K1052" s="308"/>
      <c r="L1052" s="119"/>
      <c r="M1052" s="56"/>
      <c r="N1052" s="56"/>
      <c r="O1052" s="56"/>
      <c r="P1052" s="56"/>
      <c r="Q1052" s="56"/>
      <c r="R1052" s="56"/>
      <c r="S1052" s="56"/>
      <c r="T1052" s="56"/>
      <c r="U1052" s="56"/>
      <c r="V1052" s="56"/>
      <c r="W1052" s="56"/>
      <c r="X1052" s="22"/>
      <c r="Y1052" s="22"/>
      <c r="Z1052" s="22"/>
      <c r="AA1052" s="22"/>
      <c r="AB1052" s="22"/>
      <c r="AC1052" s="22"/>
      <c r="AD1052" s="22"/>
      <c r="AE1052" s="22"/>
      <c r="AF1052" s="22"/>
    </row>
    <row r="1053" ht="13.5" hidden="1" customHeight="1">
      <c r="A1053" s="116">
        <f t="shared" si="166"/>
        <v>27</v>
      </c>
      <c r="B1053" s="118">
        <v>46239.0</v>
      </c>
      <c r="C1053" s="119"/>
      <c r="D1053" s="120" t="str">
        <f t="shared" si="167"/>
        <v>Revan</v>
      </c>
      <c r="E1053" s="121">
        <f>SUMIFS(SSOD!$C:$C,SSOD!$B:$B,Hitungan!D1053,SSOD!$A:$A,Hitungan!C1053)</f>
        <v>0</v>
      </c>
      <c r="F1053" s="122"/>
      <c r="G1053" s="124">
        <f t="shared" si="172"/>
        <v>0</v>
      </c>
      <c r="H1053" s="126" t="str">
        <f t="array" ref="H1053">INDEX('Panduan Gaji'!$Q:$Q,MATCH(D1053,'Panduan Gaji'!$C:$C,0))</f>
        <v>KG</v>
      </c>
      <c r="I1053" s="128" t="s">
        <v>138</v>
      </c>
      <c r="J1053" s="309"/>
      <c r="K1053" s="308"/>
      <c r="L1053" s="145"/>
      <c r="M1053" s="56"/>
      <c r="N1053" s="56"/>
      <c r="O1053" s="56"/>
      <c r="P1053" s="56"/>
      <c r="Q1053" s="56"/>
      <c r="R1053" s="56"/>
      <c r="S1053" s="56"/>
      <c r="T1053" s="56"/>
      <c r="U1053" s="56"/>
      <c r="V1053" s="56"/>
      <c r="W1053" s="56"/>
      <c r="X1053" s="22"/>
      <c r="Y1053" s="22"/>
      <c r="Z1053" s="22"/>
      <c r="AA1053" s="22"/>
      <c r="AB1053" s="22"/>
      <c r="AC1053" s="22"/>
      <c r="AD1053" s="22"/>
      <c r="AE1053" s="22"/>
      <c r="AF1053" s="22"/>
    </row>
    <row r="1054" ht="13.5" hidden="1" customHeight="1">
      <c r="A1054" s="116">
        <f t="shared" si="166"/>
        <v>27</v>
      </c>
      <c r="B1054" s="118">
        <v>46240.0</v>
      </c>
      <c r="C1054" s="119"/>
      <c r="D1054" s="120" t="str">
        <f t="shared" si="167"/>
        <v>Revan</v>
      </c>
      <c r="E1054" s="121">
        <f>SUMIFS(SSOD!$C:$C,SSOD!$B:$B,Hitungan!D1054,SSOD!$A:$A,Hitungan!C1054)</f>
        <v>0</v>
      </c>
      <c r="F1054" s="122"/>
      <c r="G1054" s="124">
        <f t="shared" si="172"/>
        <v>0</v>
      </c>
      <c r="H1054" s="126" t="str">
        <f t="array" ref="H1054">INDEX('Panduan Gaji'!$Q:$Q,MATCH(D1054,'Panduan Gaji'!$C:$C,0))</f>
        <v>KG</v>
      </c>
      <c r="I1054" s="128" t="s">
        <v>138</v>
      </c>
      <c r="J1054" s="308">
        <v>0.4166666666666667</v>
      </c>
      <c r="K1054" s="308">
        <v>0.9166666666666666</v>
      </c>
      <c r="L1054" s="145"/>
      <c r="M1054" s="56"/>
      <c r="N1054" s="56"/>
      <c r="O1054" s="56"/>
      <c r="P1054" s="56"/>
      <c r="Q1054" s="56"/>
      <c r="R1054" s="56"/>
      <c r="S1054" s="56"/>
      <c r="T1054" s="56"/>
      <c r="U1054" s="56"/>
      <c r="V1054" s="56"/>
      <c r="W1054" s="56"/>
      <c r="X1054" s="22"/>
      <c r="Y1054" s="22"/>
      <c r="Z1054" s="22"/>
      <c r="AA1054" s="22"/>
      <c r="AB1054" s="22"/>
      <c r="AC1054" s="22"/>
      <c r="AD1054" s="22"/>
      <c r="AE1054" s="22"/>
      <c r="AF1054" s="22"/>
    </row>
    <row r="1055" ht="13.5" hidden="1" customHeight="1">
      <c r="A1055" s="116">
        <f t="shared" si="166"/>
        <v>27</v>
      </c>
      <c r="B1055" s="118">
        <v>46241.0</v>
      </c>
      <c r="C1055" s="119"/>
      <c r="D1055" s="120" t="str">
        <f t="shared" si="167"/>
        <v>Revan</v>
      </c>
      <c r="E1055" s="121">
        <f>SUMIFS(SSOD!$C:$C,SSOD!$B:$B,Hitungan!D1055,SSOD!$A:$A,Hitungan!C1055)</f>
        <v>0</v>
      </c>
      <c r="F1055" s="122"/>
      <c r="G1055" s="124">
        <f t="shared" si="172"/>
        <v>0</v>
      </c>
      <c r="H1055" s="126" t="str">
        <f t="array" ref="H1055">INDEX('Panduan Gaji'!$Q:$Q,MATCH(D1055,'Panduan Gaji'!$C:$C,0))</f>
        <v>KG</v>
      </c>
      <c r="I1055" s="128" t="s">
        <v>138</v>
      </c>
      <c r="J1055" s="308">
        <v>0.4166666666666667</v>
      </c>
      <c r="K1055" s="310">
        <v>0.9166666666666666</v>
      </c>
      <c r="L1055" s="119"/>
      <c r="M1055" s="56"/>
      <c r="N1055" s="56"/>
      <c r="O1055" s="56"/>
      <c r="P1055" s="56"/>
      <c r="Q1055" s="56"/>
      <c r="R1055" s="56"/>
      <c r="S1055" s="56"/>
      <c r="T1055" s="56"/>
      <c r="U1055" s="56"/>
      <c r="V1055" s="56"/>
      <c r="W1055" s="56"/>
      <c r="X1055" s="22"/>
      <c r="Y1055" s="22"/>
      <c r="Z1055" s="22"/>
      <c r="AA1055" s="22"/>
      <c r="AB1055" s="22"/>
      <c r="AC1055" s="22"/>
      <c r="AD1055" s="22"/>
      <c r="AE1055" s="22"/>
      <c r="AF1055" s="22"/>
    </row>
    <row r="1056" ht="13.5" hidden="1" customHeight="1">
      <c r="A1056" s="116">
        <f t="shared" si="166"/>
        <v>27</v>
      </c>
      <c r="B1056" s="118">
        <v>46242.0</v>
      </c>
      <c r="C1056" s="119"/>
      <c r="D1056" s="120" t="str">
        <f t="shared" si="167"/>
        <v>Revan</v>
      </c>
      <c r="E1056" s="121">
        <f>SUMIFS(SSOD!$C:$C,SSOD!$B:$B,Hitungan!D1056,SSOD!$A:$A,Hitungan!C1056)</f>
        <v>0</v>
      </c>
      <c r="F1056" s="122"/>
      <c r="G1056" s="124">
        <f t="shared" si="172"/>
        <v>0</v>
      </c>
      <c r="H1056" s="126" t="str">
        <f t="array" ref="H1056">INDEX('Panduan Gaji'!$Q:$Q,MATCH(D1056,'Panduan Gaji'!$C:$C,0))</f>
        <v>KG</v>
      </c>
      <c r="I1056" s="128" t="s">
        <v>138</v>
      </c>
      <c r="J1056" s="309">
        <v>0.4173611111111111</v>
      </c>
      <c r="K1056" s="309">
        <v>0.9166666666666666</v>
      </c>
      <c r="L1056" s="187"/>
      <c r="M1056" s="56"/>
      <c r="N1056" s="56"/>
      <c r="O1056" s="56"/>
      <c r="P1056" s="56"/>
      <c r="Q1056" s="56"/>
      <c r="R1056" s="56"/>
      <c r="S1056" s="56"/>
      <c r="T1056" s="56"/>
      <c r="U1056" s="56"/>
      <c r="V1056" s="56"/>
      <c r="W1056" s="56"/>
      <c r="X1056" s="22"/>
      <c r="Y1056" s="22"/>
      <c r="Z1056" s="22"/>
      <c r="AA1056" s="22"/>
      <c r="AB1056" s="22"/>
      <c r="AC1056" s="22"/>
      <c r="AD1056" s="22"/>
      <c r="AE1056" s="22"/>
      <c r="AF1056" s="22"/>
    </row>
    <row r="1057" ht="13.5" hidden="1" customHeight="1">
      <c r="A1057" s="116">
        <f t="shared" si="166"/>
        <v>27</v>
      </c>
      <c r="B1057" s="118">
        <v>46243.0</v>
      </c>
      <c r="C1057" s="119"/>
      <c r="D1057" s="120" t="str">
        <f t="shared" si="167"/>
        <v>Revan</v>
      </c>
      <c r="E1057" s="121">
        <f>SUMIFS(SSOD!$C:$C,SSOD!$B:$B,Hitungan!D1057,SSOD!$A:$A,Hitungan!C1057)</f>
        <v>0</v>
      </c>
      <c r="F1057" s="122"/>
      <c r="G1057" s="124">
        <f t="shared" si="172"/>
        <v>0</v>
      </c>
      <c r="H1057" s="126" t="str">
        <f t="array" ref="H1057">INDEX('Panduan Gaji'!$Q:$Q,MATCH(D1057,'Panduan Gaji'!$C:$C,0))</f>
        <v>KG</v>
      </c>
      <c r="I1057" s="128" t="s">
        <v>138</v>
      </c>
      <c r="J1057" s="309">
        <v>0.4097222222222222</v>
      </c>
      <c r="K1057" s="309">
        <v>0.9166666666666666</v>
      </c>
      <c r="L1057" s="187"/>
      <c r="M1057" s="56"/>
      <c r="N1057" s="56"/>
      <c r="O1057" s="56"/>
      <c r="P1057" s="56"/>
      <c r="Q1057" s="56"/>
      <c r="R1057" s="56"/>
      <c r="S1057" s="56"/>
      <c r="T1057" s="56"/>
      <c r="U1057" s="56"/>
      <c r="V1057" s="56"/>
      <c r="W1057" s="56"/>
      <c r="X1057" s="22"/>
      <c r="Y1057" s="22"/>
      <c r="Z1057" s="22"/>
      <c r="AA1057" s="22"/>
      <c r="AB1057" s="22"/>
      <c r="AC1057" s="22"/>
      <c r="AD1057" s="22"/>
      <c r="AE1057" s="22"/>
      <c r="AF1057" s="22"/>
    </row>
    <row r="1058" ht="13.5" hidden="1" customHeight="1">
      <c r="A1058" s="116">
        <f t="shared" si="166"/>
        <v>27</v>
      </c>
      <c r="B1058" s="118">
        <v>46244.0</v>
      </c>
      <c r="C1058" s="119"/>
      <c r="D1058" s="120" t="str">
        <f t="shared" si="167"/>
        <v>Revan</v>
      </c>
      <c r="E1058" s="121">
        <f>SUMIFS(SSOD!$C:$C,SSOD!$B:$B,Hitungan!D1058,SSOD!$A:$A,Hitungan!C1058)</f>
        <v>0</v>
      </c>
      <c r="F1058" s="122"/>
      <c r="G1058" s="124">
        <f t="shared" si="172"/>
        <v>0</v>
      </c>
      <c r="H1058" s="126" t="str">
        <f t="array" ref="H1058">INDEX('Panduan Gaji'!$Q:$Q,MATCH(D1058,'Panduan Gaji'!$C:$C,0))</f>
        <v>KG</v>
      </c>
      <c r="I1058" s="128" t="s">
        <v>138</v>
      </c>
      <c r="J1058" s="309"/>
      <c r="K1058" s="309"/>
      <c r="L1058" s="187"/>
      <c r="M1058" s="56"/>
      <c r="N1058" s="56"/>
      <c r="O1058" s="56"/>
      <c r="P1058" s="56"/>
      <c r="Q1058" s="56"/>
      <c r="R1058" s="56"/>
      <c r="S1058" s="56"/>
      <c r="T1058" s="56"/>
      <c r="U1058" s="56"/>
      <c r="V1058" s="56"/>
      <c r="W1058" s="56"/>
      <c r="X1058" s="22"/>
      <c r="Y1058" s="22"/>
      <c r="Z1058" s="22"/>
      <c r="AA1058" s="22"/>
      <c r="AB1058" s="22"/>
      <c r="AC1058" s="22"/>
      <c r="AD1058" s="22"/>
      <c r="AE1058" s="22"/>
      <c r="AF1058" s="22"/>
    </row>
    <row r="1059" ht="13.5" hidden="1" customHeight="1">
      <c r="A1059" s="116">
        <f t="shared" si="166"/>
        <v>27</v>
      </c>
      <c r="B1059" s="118">
        <v>46245.0</v>
      </c>
      <c r="C1059" s="119"/>
      <c r="D1059" s="120" t="str">
        <f t="shared" si="167"/>
        <v>Revan</v>
      </c>
      <c r="E1059" s="121">
        <f>SUMIFS(SSOD!$C:$C,SSOD!$B:$B,Hitungan!D1059,SSOD!$A:$A,Hitungan!C1059)</f>
        <v>0</v>
      </c>
      <c r="F1059" s="122"/>
      <c r="G1059" s="124">
        <f t="shared" si="172"/>
        <v>0</v>
      </c>
      <c r="H1059" s="126" t="str">
        <f t="array" ref="H1059">INDEX('Panduan Gaji'!$Q:$Q,MATCH(D1059,'Panduan Gaji'!$C:$C,0))</f>
        <v>KG</v>
      </c>
      <c r="I1059" s="128" t="s">
        <v>138</v>
      </c>
      <c r="J1059" s="308"/>
      <c r="K1059" s="308"/>
      <c r="L1059" s="145"/>
      <c r="M1059" s="56"/>
      <c r="N1059" s="56"/>
      <c r="O1059" s="56"/>
      <c r="P1059" s="56"/>
      <c r="Q1059" s="56"/>
      <c r="R1059" s="56"/>
      <c r="S1059" s="56"/>
      <c r="T1059" s="56"/>
      <c r="U1059" s="56"/>
      <c r="V1059" s="56"/>
      <c r="W1059" s="56"/>
      <c r="X1059" s="22"/>
      <c r="Y1059" s="22"/>
      <c r="Z1059" s="22"/>
      <c r="AA1059" s="22"/>
      <c r="AB1059" s="22"/>
      <c r="AC1059" s="22"/>
      <c r="AD1059" s="22"/>
      <c r="AE1059" s="22"/>
      <c r="AF1059" s="22"/>
    </row>
    <row r="1060" ht="13.5" hidden="1" customHeight="1">
      <c r="A1060" s="116">
        <f t="shared" si="166"/>
        <v>27</v>
      </c>
      <c r="B1060" s="118">
        <v>46246.0</v>
      </c>
      <c r="C1060" s="119"/>
      <c r="D1060" s="120" t="str">
        <f t="shared" si="167"/>
        <v>Revan</v>
      </c>
      <c r="E1060" s="121">
        <f>SUMIFS(SSOD!$C:$C,SSOD!$B:$B,Hitungan!D1060,SSOD!$A:$A,Hitungan!C1060)</f>
        <v>0</v>
      </c>
      <c r="F1060" s="122"/>
      <c r="G1060" s="124">
        <f t="shared" si="172"/>
        <v>0</v>
      </c>
      <c r="H1060" s="126" t="str">
        <f t="array" ref="H1060">INDEX('Panduan Gaji'!$Q:$Q,MATCH(D1060,'Panduan Gaji'!$C:$C,0))</f>
        <v>KG</v>
      </c>
      <c r="I1060" s="128" t="s">
        <v>138</v>
      </c>
      <c r="J1060" s="308"/>
      <c r="K1060" s="308"/>
      <c r="L1060" s="145"/>
      <c r="M1060" s="56"/>
      <c r="N1060" s="56"/>
      <c r="O1060" s="56"/>
      <c r="P1060" s="56"/>
      <c r="Q1060" s="56"/>
      <c r="R1060" s="56"/>
      <c r="S1060" s="56"/>
      <c r="T1060" s="56"/>
      <c r="U1060" s="56"/>
      <c r="V1060" s="56"/>
      <c r="W1060" s="56"/>
      <c r="X1060" s="22"/>
      <c r="Y1060" s="22"/>
      <c r="Z1060" s="22"/>
      <c r="AA1060" s="22"/>
      <c r="AB1060" s="22"/>
      <c r="AC1060" s="22"/>
      <c r="AD1060" s="22"/>
      <c r="AE1060" s="22"/>
      <c r="AF1060" s="22"/>
    </row>
    <row r="1061" ht="13.5" hidden="1" customHeight="1">
      <c r="A1061" s="116">
        <f t="shared" si="166"/>
        <v>27</v>
      </c>
      <c r="B1061" s="118">
        <v>46247.0</v>
      </c>
      <c r="C1061" s="119"/>
      <c r="D1061" s="120" t="str">
        <f t="shared" si="167"/>
        <v>Revan</v>
      </c>
      <c r="E1061" s="121">
        <f>SUMIFS(SSOD!$C:$C,SSOD!$B:$B,Hitungan!D1061,SSOD!$A:$A,Hitungan!C1061)</f>
        <v>0</v>
      </c>
      <c r="F1061" s="122"/>
      <c r="G1061" s="124">
        <f t="shared" si="172"/>
        <v>0</v>
      </c>
      <c r="H1061" s="126" t="str">
        <f t="array" ref="H1061">INDEX('Panduan Gaji'!$Q:$Q,MATCH(D1061,'Panduan Gaji'!$C:$C,0))</f>
        <v>KG</v>
      </c>
      <c r="I1061" s="128" t="s">
        <v>138</v>
      </c>
      <c r="J1061" s="308">
        <v>0.4069444444444444</v>
      </c>
      <c r="K1061" s="308">
        <v>0.9166666666666666</v>
      </c>
      <c r="L1061" s="145"/>
      <c r="M1061" s="56"/>
      <c r="N1061" s="56"/>
      <c r="O1061" s="56"/>
      <c r="P1061" s="56"/>
      <c r="Q1061" s="56"/>
      <c r="R1061" s="56"/>
      <c r="S1061" s="56"/>
      <c r="T1061" s="56"/>
      <c r="U1061" s="56"/>
      <c r="V1061" s="56"/>
      <c r="W1061" s="56"/>
      <c r="X1061" s="22"/>
      <c r="Y1061" s="22"/>
      <c r="Z1061" s="22"/>
      <c r="AA1061" s="22"/>
      <c r="AB1061" s="22"/>
      <c r="AC1061" s="22"/>
      <c r="AD1061" s="22"/>
      <c r="AE1061" s="22"/>
      <c r="AF1061" s="22"/>
    </row>
    <row r="1062" ht="13.5" hidden="1" customHeight="1">
      <c r="A1062" s="116">
        <f t="shared" si="166"/>
        <v>27</v>
      </c>
      <c r="B1062" s="118">
        <v>46248.0</v>
      </c>
      <c r="C1062" s="119"/>
      <c r="D1062" s="120" t="str">
        <f t="shared" si="167"/>
        <v>Revan</v>
      </c>
      <c r="E1062" s="121">
        <f>SUMIFS(SSOD!$C:$C,SSOD!$B:$B,Hitungan!D1062,SSOD!$A:$A,Hitungan!C1062)</f>
        <v>0</v>
      </c>
      <c r="F1062" s="122"/>
      <c r="G1062" s="124">
        <f t="shared" si="172"/>
        <v>0</v>
      </c>
      <c r="H1062" s="126" t="str">
        <f t="array" ref="H1062">INDEX('Panduan Gaji'!$Q:$Q,MATCH(D1062,'Panduan Gaji'!$C:$C,0))</f>
        <v>KG</v>
      </c>
      <c r="I1062" s="128" t="s">
        <v>138</v>
      </c>
      <c r="J1062" s="308"/>
      <c r="K1062" s="310"/>
      <c r="L1062" s="145"/>
      <c r="M1062" s="56"/>
      <c r="N1062" s="56"/>
      <c r="O1062" s="56"/>
      <c r="P1062" s="56"/>
      <c r="Q1062" s="56"/>
      <c r="R1062" s="56"/>
      <c r="S1062" s="56"/>
      <c r="T1062" s="56"/>
      <c r="U1062" s="56"/>
      <c r="V1062" s="56"/>
      <c r="W1062" s="56"/>
      <c r="X1062" s="22"/>
      <c r="Y1062" s="22"/>
      <c r="Z1062" s="22"/>
      <c r="AA1062" s="22"/>
      <c r="AB1062" s="22"/>
      <c r="AC1062" s="22"/>
      <c r="AD1062" s="22"/>
      <c r="AE1062" s="22"/>
      <c r="AF1062" s="22"/>
    </row>
    <row r="1063" ht="13.5" hidden="1" customHeight="1">
      <c r="A1063" s="116">
        <f t="shared" si="166"/>
        <v>27</v>
      </c>
      <c r="B1063" s="118">
        <v>46249.0</v>
      </c>
      <c r="C1063" s="119"/>
      <c r="D1063" s="120" t="str">
        <f t="shared" si="167"/>
        <v>Revan</v>
      </c>
      <c r="E1063" s="121">
        <f>SUMIFS(SSOD!$C:$C,SSOD!$B:$B,Hitungan!D1063,SSOD!$A:$A,Hitungan!C1063)</f>
        <v>0</v>
      </c>
      <c r="F1063" s="122"/>
      <c r="G1063" s="124">
        <f t="shared" si="172"/>
        <v>0</v>
      </c>
      <c r="H1063" s="126" t="str">
        <f t="array" ref="H1063">INDEX('Panduan Gaji'!$Q:$Q,MATCH(D1063,'Panduan Gaji'!$C:$C,0))</f>
        <v>KG</v>
      </c>
      <c r="I1063" s="128" t="s">
        <v>138</v>
      </c>
      <c r="J1063" s="308">
        <v>0.40625</v>
      </c>
      <c r="K1063" s="308">
        <v>0.9166666666666666</v>
      </c>
      <c r="L1063" s="145"/>
      <c r="M1063" s="56"/>
      <c r="N1063" s="56"/>
      <c r="O1063" s="56"/>
      <c r="P1063" s="56"/>
      <c r="Q1063" s="56"/>
      <c r="R1063" s="56"/>
      <c r="S1063" s="56"/>
      <c r="T1063" s="56"/>
      <c r="U1063" s="56"/>
      <c r="V1063" s="56"/>
      <c r="W1063" s="56"/>
      <c r="X1063" s="22"/>
      <c r="Y1063" s="22"/>
      <c r="Z1063" s="22"/>
      <c r="AA1063" s="22"/>
      <c r="AB1063" s="22"/>
      <c r="AC1063" s="22"/>
      <c r="AD1063" s="22"/>
      <c r="AE1063" s="22"/>
      <c r="AF1063" s="22"/>
    </row>
    <row r="1064" ht="13.5" hidden="1" customHeight="1">
      <c r="A1064" s="116">
        <f t="shared" si="166"/>
        <v>27</v>
      </c>
      <c r="B1064" s="118">
        <v>46250.0</v>
      </c>
      <c r="C1064" s="119" t="s">
        <v>33</v>
      </c>
      <c r="D1064" s="120" t="str">
        <f t="shared" si="167"/>
        <v>Revan</v>
      </c>
      <c r="E1064" s="121">
        <v>35000.0</v>
      </c>
      <c r="F1064" s="122">
        <v>1.0</v>
      </c>
      <c r="G1064" s="124">
        <f t="shared" si="172"/>
        <v>35000</v>
      </c>
      <c r="H1064" s="126" t="str">
        <f t="array" ref="H1064">INDEX('Panduan Gaji'!$Q:$Q,MATCH(D1064,'Panduan Gaji'!$C:$C,0))</f>
        <v>KG</v>
      </c>
      <c r="I1064" s="128" t="s">
        <v>138</v>
      </c>
      <c r="J1064" s="308">
        <v>0.4048611111111111</v>
      </c>
      <c r="K1064" s="308">
        <v>0.9166666666666666</v>
      </c>
      <c r="L1064" s="145" t="s">
        <v>198</v>
      </c>
      <c r="M1064" s="56"/>
      <c r="N1064" s="56"/>
      <c r="O1064" s="56"/>
      <c r="P1064" s="56"/>
      <c r="Q1064" s="56"/>
      <c r="R1064" s="56"/>
      <c r="S1064" s="56"/>
      <c r="T1064" s="56"/>
      <c r="U1064" s="56"/>
      <c r="V1064" s="56"/>
      <c r="W1064" s="56"/>
      <c r="X1064" s="22"/>
      <c r="Y1064" s="22"/>
      <c r="Z1064" s="22"/>
      <c r="AA1064" s="22"/>
      <c r="AB1064" s="22"/>
      <c r="AC1064" s="22"/>
      <c r="AD1064" s="22"/>
      <c r="AE1064" s="22"/>
      <c r="AF1064" s="22"/>
    </row>
    <row r="1065" ht="13.5" hidden="1" customHeight="1">
      <c r="A1065" s="116">
        <f t="shared" si="166"/>
        <v>27</v>
      </c>
      <c r="B1065" s="118">
        <v>46251.0</v>
      </c>
      <c r="C1065" s="119"/>
      <c r="D1065" s="120" t="str">
        <f t="shared" si="167"/>
        <v>Revan</v>
      </c>
      <c r="E1065" s="121">
        <f>SUMIFS(SSOD!$C:$C,SSOD!$B:$B,Hitungan!D1065,SSOD!$A:$A,Hitungan!C1065)</f>
        <v>0</v>
      </c>
      <c r="F1065" s="122"/>
      <c r="G1065" s="124">
        <f t="shared" si="172"/>
        <v>0</v>
      </c>
      <c r="H1065" s="126" t="str">
        <f t="array" ref="H1065">INDEX('Panduan Gaji'!$Q:$Q,MATCH(D1065,'Panduan Gaji'!$C:$C,0))</f>
        <v>KG</v>
      </c>
      <c r="I1065" s="128" t="s">
        <v>138</v>
      </c>
      <c r="J1065" s="308">
        <v>0.4138888888888889</v>
      </c>
      <c r="K1065" s="308">
        <v>0.9166666666666666</v>
      </c>
      <c r="L1065" s="119"/>
      <c r="M1065" s="56"/>
      <c r="N1065" s="56"/>
      <c r="O1065" s="56"/>
      <c r="P1065" s="56"/>
      <c r="Q1065" s="56"/>
      <c r="R1065" s="56"/>
      <c r="S1065" s="56"/>
      <c r="T1065" s="56"/>
      <c r="U1065" s="56"/>
      <c r="V1065" s="56"/>
      <c r="W1065" s="56"/>
      <c r="X1065" s="22"/>
      <c r="Y1065" s="22"/>
      <c r="Z1065" s="22"/>
      <c r="AA1065" s="22"/>
      <c r="AB1065" s="22"/>
      <c r="AC1065" s="22"/>
      <c r="AD1065" s="22"/>
      <c r="AE1065" s="22"/>
      <c r="AF1065" s="22"/>
    </row>
    <row r="1066" ht="13.5" hidden="1" customHeight="1">
      <c r="A1066" s="116">
        <f t="shared" si="166"/>
        <v>27</v>
      </c>
      <c r="B1066" s="118">
        <v>46252.0</v>
      </c>
      <c r="C1066" s="119"/>
      <c r="D1066" s="120" t="str">
        <f t="shared" si="167"/>
        <v>Revan</v>
      </c>
      <c r="E1066" s="121">
        <f>SUMIFS(SSOD!$C:$C,SSOD!$B:$B,Hitungan!D1066,SSOD!$A:$A,Hitungan!C1066)</f>
        <v>0</v>
      </c>
      <c r="F1066" s="122"/>
      <c r="G1066" s="124">
        <f t="shared" si="172"/>
        <v>0</v>
      </c>
      <c r="H1066" s="126" t="str">
        <f t="array" ref="H1066">INDEX('Panduan Gaji'!$Q:$Q,MATCH(D1066,'Panduan Gaji'!$C:$C,0))</f>
        <v>KG</v>
      </c>
      <c r="I1066" s="128" t="s">
        <v>138</v>
      </c>
      <c r="J1066" s="308"/>
      <c r="K1066" s="308"/>
      <c r="L1066" s="119"/>
      <c r="M1066" s="56"/>
      <c r="N1066" s="56"/>
      <c r="O1066" s="56"/>
      <c r="P1066" s="56"/>
      <c r="Q1066" s="56"/>
      <c r="R1066" s="56"/>
      <c r="S1066" s="56"/>
      <c r="T1066" s="56"/>
      <c r="U1066" s="56"/>
      <c r="V1066" s="56"/>
      <c r="W1066" s="56"/>
      <c r="X1066" s="22"/>
      <c r="Y1066" s="22"/>
      <c r="Z1066" s="22"/>
      <c r="AA1066" s="22"/>
      <c r="AB1066" s="22"/>
      <c r="AC1066" s="22"/>
      <c r="AD1066" s="22"/>
      <c r="AE1066" s="22"/>
      <c r="AF1066" s="22"/>
    </row>
    <row r="1067" ht="13.5" hidden="1" customHeight="1">
      <c r="A1067" s="116">
        <f t="shared" si="166"/>
        <v>27</v>
      </c>
      <c r="B1067" s="118">
        <v>46253.0</v>
      </c>
      <c r="C1067" s="119"/>
      <c r="D1067" s="120" t="str">
        <f t="shared" si="167"/>
        <v>Revan</v>
      </c>
      <c r="E1067" s="121">
        <f>SUMIFS(SSOD!$C:$C,SSOD!$B:$B,Hitungan!D1067,SSOD!$A:$A,Hitungan!C1067)</f>
        <v>0</v>
      </c>
      <c r="F1067" s="122"/>
      <c r="G1067" s="124">
        <f t="shared" si="172"/>
        <v>0</v>
      </c>
      <c r="H1067" s="126" t="str">
        <f t="array" ref="H1067">INDEX('Panduan Gaji'!$Q:$Q,MATCH(D1067,'Panduan Gaji'!$C:$C,0))</f>
        <v>KG</v>
      </c>
      <c r="I1067" s="128" t="s">
        <v>138</v>
      </c>
      <c r="J1067" s="308"/>
      <c r="K1067" s="308"/>
      <c r="L1067" s="119"/>
      <c r="M1067" s="56"/>
      <c r="N1067" s="56"/>
      <c r="O1067" s="56"/>
      <c r="P1067" s="56"/>
      <c r="Q1067" s="56"/>
      <c r="R1067" s="56"/>
      <c r="S1067" s="56"/>
      <c r="T1067" s="56"/>
      <c r="U1067" s="56"/>
      <c r="V1067" s="56"/>
      <c r="W1067" s="56"/>
      <c r="X1067" s="22"/>
      <c r="Y1067" s="22"/>
      <c r="Z1067" s="22"/>
      <c r="AA1067" s="22"/>
      <c r="AB1067" s="22"/>
      <c r="AC1067" s="22"/>
      <c r="AD1067" s="22"/>
      <c r="AE1067" s="22"/>
      <c r="AF1067" s="22"/>
    </row>
    <row r="1068" ht="13.5" hidden="1" customHeight="1">
      <c r="A1068" s="116">
        <f t="shared" si="166"/>
        <v>27</v>
      </c>
      <c r="B1068" s="118">
        <v>46254.0</v>
      </c>
      <c r="C1068" s="119"/>
      <c r="D1068" s="120" t="str">
        <f t="shared" si="167"/>
        <v>Revan</v>
      </c>
      <c r="E1068" s="121">
        <f>SUMIFS(SSOD!$C:$C,SSOD!$B:$B,Hitungan!D1068,SSOD!$A:$A,Hitungan!C1068)</f>
        <v>0</v>
      </c>
      <c r="F1068" s="122"/>
      <c r="G1068" s="124">
        <f t="shared" si="172"/>
        <v>0</v>
      </c>
      <c r="H1068" s="126" t="str">
        <f t="array" ref="H1068">INDEX('Panduan Gaji'!$Q:$Q,MATCH(D1068,'Panduan Gaji'!$C:$C,0))</f>
        <v>KG</v>
      </c>
      <c r="I1068" s="128" t="s">
        <v>138</v>
      </c>
      <c r="J1068" s="308">
        <v>0.4097222222222222</v>
      </c>
      <c r="K1068" s="308">
        <v>0.9166666666666666</v>
      </c>
      <c r="L1068" s="145"/>
      <c r="M1068" s="56"/>
      <c r="N1068" s="56"/>
      <c r="O1068" s="56"/>
      <c r="P1068" s="56"/>
      <c r="Q1068" s="56"/>
      <c r="R1068" s="56"/>
      <c r="S1068" s="56"/>
      <c r="T1068" s="56"/>
      <c r="U1068" s="56"/>
      <c r="V1068" s="56"/>
      <c r="W1068" s="56"/>
      <c r="X1068" s="22"/>
      <c r="Y1068" s="22"/>
      <c r="Z1068" s="22"/>
      <c r="AA1068" s="22"/>
      <c r="AB1068" s="22"/>
      <c r="AC1068" s="22"/>
      <c r="AD1068" s="22"/>
      <c r="AE1068" s="22"/>
      <c r="AF1068" s="22"/>
    </row>
    <row r="1069" ht="13.5" hidden="1" customHeight="1">
      <c r="A1069" s="116">
        <f t="shared" si="166"/>
        <v>27</v>
      </c>
      <c r="B1069" s="118">
        <v>46255.0</v>
      </c>
      <c r="C1069" s="119"/>
      <c r="D1069" s="120" t="str">
        <f t="shared" si="167"/>
        <v>Revan</v>
      </c>
      <c r="E1069" s="121">
        <f>SUMIFS(SSOD!$C:$C,SSOD!$B:$B,Hitungan!D1069,SSOD!$A:$A,Hitungan!C1069)</f>
        <v>0</v>
      </c>
      <c r="F1069" s="122"/>
      <c r="G1069" s="124">
        <f t="shared" si="172"/>
        <v>0</v>
      </c>
      <c r="H1069" s="126" t="str">
        <f t="array" ref="H1069">INDEX('Panduan Gaji'!$Q:$Q,MATCH(D1069,'Panduan Gaji'!$C:$C,0))</f>
        <v>KG</v>
      </c>
      <c r="I1069" s="128" t="s">
        <v>138</v>
      </c>
      <c r="J1069" s="308">
        <v>0.4145833333333334</v>
      </c>
      <c r="K1069" s="308">
        <v>0.9166666666666666</v>
      </c>
      <c r="L1069" s="119"/>
      <c r="M1069" s="56"/>
      <c r="N1069" s="56"/>
      <c r="O1069" s="56"/>
      <c r="P1069" s="56"/>
      <c r="Q1069" s="56"/>
      <c r="R1069" s="56"/>
      <c r="S1069" s="56"/>
      <c r="T1069" s="56"/>
      <c r="U1069" s="56"/>
      <c r="V1069" s="56"/>
      <c r="W1069" s="56"/>
      <c r="X1069" s="22"/>
      <c r="Y1069" s="22"/>
      <c r="Z1069" s="22"/>
      <c r="AA1069" s="22"/>
      <c r="AB1069" s="22"/>
      <c r="AC1069" s="22"/>
      <c r="AD1069" s="22"/>
      <c r="AE1069" s="22"/>
      <c r="AF1069" s="22"/>
    </row>
    <row r="1070" ht="13.5" hidden="1" customHeight="1">
      <c r="A1070" s="116">
        <f t="shared" si="166"/>
        <v>27</v>
      </c>
      <c r="B1070" s="118">
        <v>46256.0</v>
      </c>
      <c r="C1070" s="119"/>
      <c r="D1070" s="120" t="str">
        <f t="shared" si="167"/>
        <v>Revan</v>
      </c>
      <c r="E1070" s="121">
        <f>SUMIFS(SSOD!$C:$C,SSOD!$B:$B,Hitungan!D1070,SSOD!$A:$A,Hitungan!C1070)</f>
        <v>0</v>
      </c>
      <c r="F1070" s="122"/>
      <c r="G1070" s="124">
        <f t="shared" si="172"/>
        <v>0</v>
      </c>
      <c r="H1070" s="126" t="str">
        <f t="array" ref="H1070">INDEX('Panduan Gaji'!$Q:$Q,MATCH(D1070,'Panduan Gaji'!$C:$C,0))</f>
        <v>KG</v>
      </c>
      <c r="I1070" s="128" t="s">
        <v>138</v>
      </c>
      <c r="J1070" s="308">
        <v>0.4125</v>
      </c>
      <c r="K1070" s="308">
        <v>0.9166666666666666</v>
      </c>
      <c r="L1070" s="119"/>
      <c r="M1070" s="56"/>
      <c r="N1070" s="56"/>
      <c r="O1070" s="56"/>
      <c r="P1070" s="56"/>
      <c r="Q1070" s="56"/>
      <c r="R1070" s="56"/>
      <c r="S1070" s="56"/>
      <c r="T1070" s="56"/>
      <c r="U1070" s="56"/>
      <c r="V1070" s="56"/>
      <c r="W1070" s="56"/>
      <c r="X1070" s="22"/>
      <c r="Y1070" s="22"/>
      <c r="Z1070" s="22"/>
      <c r="AA1070" s="22"/>
      <c r="AB1070" s="22"/>
      <c r="AC1070" s="22"/>
      <c r="AD1070" s="22"/>
      <c r="AE1070" s="22"/>
      <c r="AF1070" s="22"/>
    </row>
    <row r="1071" ht="13.5" hidden="1" customHeight="1">
      <c r="A1071" s="116">
        <f t="shared" si="166"/>
        <v>27</v>
      </c>
      <c r="B1071" s="118">
        <v>46257.0</v>
      </c>
      <c r="C1071" s="119"/>
      <c r="D1071" s="120" t="str">
        <f t="shared" si="167"/>
        <v>Revan</v>
      </c>
      <c r="E1071" s="121">
        <f>SUMIFS(SSOD!$C:$C,SSOD!$B:$B,Hitungan!D1071,SSOD!$A:$A,Hitungan!C1071)</f>
        <v>0</v>
      </c>
      <c r="F1071" s="122"/>
      <c r="G1071" s="124">
        <f t="shared" si="172"/>
        <v>0</v>
      </c>
      <c r="H1071" s="126" t="str">
        <f t="array" ref="H1071">INDEX('Panduan Gaji'!$Q:$Q,MATCH(D1071,'Panduan Gaji'!$C:$C,0))</f>
        <v>KG</v>
      </c>
      <c r="I1071" s="128" t="s">
        <v>138</v>
      </c>
      <c r="J1071" s="308">
        <v>0.4131944444444444</v>
      </c>
      <c r="K1071" s="308">
        <v>0.9166666666666666</v>
      </c>
      <c r="L1071" s="119"/>
      <c r="M1071" s="56"/>
      <c r="N1071" s="56"/>
      <c r="O1071" s="56"/>
      <c r="P1071" s="56"/>
      <c r="Q1071" s="56"/>
      <c r="R1071" s="56"/>
      <c r="S1071" s="56"/>
      <c r="T1071" s="56"/>
      <c r="U1071" s="56"/>
      <c r="V1071" s="56"/>
      <c r="W1071" s="56"/>
      <c r="X1071" s="22"/>
      <c r="Y1071" s="22"/>
      <c r="Z1071" s="22"/>
      <c r="AA1071" s="22"/>
      <c r="AB1071" s="22"/>
      <c r="AC1071" s="22"/>
      <c r="AD1071" s="22"/>
      <c r="AE1071" s="22"/>
      <c r="AF1071" s="22"/>
    </row>
    <row r="1072" ht="15.75" hidden="1" customHeight="1">
      <c r="A1072" s="116">
        <f t="shared" si="166"/>
        <v>27</v>
      </c>
      <c r="B1072" s="118">
        <v>46258.0</v>
      </c>
      <c r="C1072" s="119"/>
      <c r="D1072" s="120" t="str">
        <f t="shared" si="167"/>
        <v>Revan</v>
      </c>
      <c r="E1072" s="121">
        <f>SUMIFS(SSOD!$C:$C,SSOD!$B:$B,Hitungan!D1072,SSOD!$A:$A,Hitungan!C1072)</f>
        <v>0</v>
      </c>
      <c r="F1072" s="122"/>
      <c r="G1072" s="124">
        <f t="shared" si="172"/>
        <v>0</v>
      </c>
      <c r="H1072" s="220" t="str">
        <f t="array" ref="H1072">INDEX('Panduan Gaji'!$Q:$Q,MATCH(D1072,'Panduan Gaji'!$C:$C,0))</f>
        <v>KG</v>
      </c>
      <c r="I1072" s="128" t="s">
        <v>138</v>
      </c>
      <c r="J1072" s="308"/>
      <c r="K1072" s="308"/>
      <c r="L1072" s="119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</row>
    <row r="1073" ht="15.75" hidden="1" customHeight="1">
      <c r="A1073" s="222"/>
      <c r="B1073" s="223"/>
      <c r="C1073" s="224"/>
      <c r="D1073" s="225"/>
      <c r="E1073" s="226"/>
      <c r="F1073" s="227"/>
      <c r="G1073" s="228"/>
      <c r="H1073" s="229"/>
      <c r="I1073" s="22"/>
      <c r="J1073" s="230"/>
      <c r="K1073" s="230"/>
      <c r="L1073" s="224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</row>
    <row r="1074" ht="15.75" hidden="1" customHeight="1">
      <c r="A1074" s="26">
        <v>28.0</v>
      </c>
      <c r="B1074" s="28"/>
      <c r="C1074" s="30" t="s">
        <v>6</v>
      </c>
      <c r="D1074" s="33" t="s">
        <v>127</v>
      </c>
      <c r="E1074" s="42">
        <f>SUMIFS(SSOD!$C:$C,SSOD!$B:$B,Hitungan!D1074,SSOD!$A:$A,Hitungan!C1074)</f>
        <v>1479000</v>
      </c>
      <c r="F1074" s="44">
        <v>1.0</v>
      </c>
      <c r="G1074" s="47">
        <f>(E1074/24)*F1076</f>
        <v>677875</v>
      </c>
      <c r="H1074" s="51" t="str">
        <f t="array" ref="H1074">INDEX('Panduan Gaji'!$Q:$Q,MATCH(D1074,'Panduan Gaji'!$C:$C,0))</f>
        <v>Fatgai</v>
      </c>
      <c r="I1074" s="53"/>
      <c r="J1074" s="54"/>
      <c r="K1074" s="54"/>
      <c r="L1074" s="55"/>
      <c r="M1074" s="56"/>
      <c r="N1074" s="56"/>
      <c r="O1074" s="56"/>
      <c r="P1074" s="56"/>
      <c r="Q1074" s="56"/>
      <c r="R1074" s="56"/>
      <c r="S1074" s="56"/>
      <c r="T1074" s="56"/>
      <c r="U1074" s="56"/>
      <c r="V1074" s="56"/>
      <c r="W1074" s="56"/>
      <c r="X1074" s="22"/>
      <c r="Y1074" s="22"/>
      <c r="Z1074" s="22"/>
      <c r="AA1074" s="22"/>
      <c r="AB1074" s="22"/>
      <c r="AC1074" s="22"/>
      <c r="AD1074" s="22"/>
      <c r="AE1074" s="22"/>
      <c r="AF1074" s="22"/>
    </row>
    <row r="1075" ht="15.75" hidden="1" customHeight="1">
      <c r="A1075" s="26">
        <f t="shared" ref="A1075:A1113" si="173">A1074</f>
        <v>28</v>
      </c>
      <c r="B1075" s="28"/>
      <c r="C1075" s="30" t="s">
        <v>17</v>
      </c>
      <c r="D1075" s="33" t="str">
        <f t="shared" ref="D1075:D1113" si="174">D1074</f>
        <v>Fanny</v>
      </c>
      <c r="E1075" s="42">
        <f>SUMIFS(SSOD!$C:$C,SSOD!$B:$B,Hitungan!D1075,SSOD!$A:$A,Hitungan!C1075)</f>
        <v>0</v>
      </c>
      <c r="F1075" s="44"/>
      <c r="G1075" s="47">
        <f t="shared" ref="G1075:G1077" si="175">E1075*F1075</f>
        <v>0</v>
      </c>
      <c r="H1075" s="51" t="str">
        <f t="array" ref="H1075">INDEX('Panduan Gaji'!$Q:$Q,MATCH(D1075,'Panduan Gaji'!$C:$C,0))</f>
        <v>Fatgai</v>
      </c>
      <c r="I1075" s="53"/>
      <c r="J1075" s="54"/>
      <c r="K1075" s="54"/>
      <c r="L1075" s="55"/>
      <c r="M1075" s="56"/>
      <c r="N1075" s="56"/>
      <c r="O1075" s="56"/>
      <c r="P1075" s="56"/>
      <c r="Q1075" s="56"/>
      <c r="R1075" s="56"/>
      <c r="S1075" s="56"/>
      <c r="T1075" s="56"/>
      <c r="U1075" s="56"/>
      <c r="V1075" s="56"/>
      <c r="W1075" s="56"/>
      <c r="X1075" s="22"/>
      <c r="Y1075" s="22"/>
      <c r="Z1075" s="22"/>
      <c r="AA1075" s="22"/>
      <c r="AB1075" s="22"/>
      <c r="AC1075" s="22"/>
      <c r="AD1075" s="22"/>
      <c r="AE1075" s="22"/>
      <c r="AF1075" s="22"/>
    </row>
    <row r="1076" ht="15.75" hidden="1" customHeight="1">
      <c r="A1076" s="26">
        <f t="shared" si="173"/>
        <v>28</v>
      </c>
      <c r="B1076" s="28"/>
      <c r="C1076" s="30" t="s">
        <v>7</v>
      </c>
      <c r="D1076" s="33" t="str">
        <f t="shared" si="174"/>
        <v>Fanny</v>
      </c>
      <c r="E1076" s="42">
        <f>SUMIFS(SSOD!$C:$C,SSOD!$B:$B,Hitungan!D1076,SSOD!$A:$A,Hitungan!C1076)</f>
        <v>17850</v>
      </c>
      <c r="F1076" s="44">
        <f t="shared" ref="F1076:F1077" si="176">SUMPRODUCT(--((($J$1084:$J$1113&lt;&gt;"")+($K$1084:$K$1113&lt;&gt;""))&gt;0))</f>
        <v>11</v>
      </c>
      <c r="G1076" s="47">
        <f t="shared" si="175"/>
        <v>196350</v>
      </c>
      <c r="H1076" s="51" t="str">
        <f t="array" ref="H1076">INDEX('Panduan Gaji'!$Q:$Q,MATCH(D1076,'Panduan Gaji'!$C:$C,0))</f>
        <v>Fatgai</v>
      </c>
      <c r="I1076" s="53"/>
      <c r="J1076" s="88"/>
      <c r="K1076" s="88"/>
      <c r="L1076" s="55"/>
      <c r="M1076" s="56"/>
      <c r="N1076" s="56"/>
      <c r="O1076" s="56"/>
      <c r="P1076" s="56"/>
      <c r="Q1076" s="56"/>
      <c r="R1076" s="56"/>
      <c r="S1076" s="56"/>
      <c r="T1076" s="56"/>
      <c r="U1076" s="56"/>
      <c r="V1076" s="56"/>
      <c r="W1076" s="56"/>
      <c r="X1076" s="22"/>
      <c r="Y1076" s="22"/>
      <c r="Z1076" s="22"/>
      <c r="AA1076" s="22"/>
      <c r="AB1076" s="22"/>
      <c r="AC1076" s="22"/>
      <c r="AD1076" s="22"/>
      <c r="AE1076" s="22"/>
      <c r="AF1076" s="22"/>
    </row>
    <row r="1077" ht="15.75" hidden="1" customHeight="1">
      <c r="A1077" s="26">
        <f t="shared" si="173"/>
        <v>28</v>
      </c>
      <c r="B1077" s="28"/>
      <c r="C1077" s="30" t="s">
        <v>9</v>
      </c>
      <c r="D1077" s="33" t="str">
        <f t="shared" si="174"/>
        <v>Fanny</v>
      </c>
      <c r="E1077" s="42">
        <f>SUMIFS(SSOD!$C:$C,SSOD!$B:$B,Hitungan!D1077,SSOD!$A:$A,Hitungan!C1077)</f>
        <v>33278</v>
      </c>
      <c r="F1077" s="44">
        <f t="shared" si="176"/>
        <v>11</v>
      </c>
      <c r="G1077" s="47">
        <f t="shared" si="175"/>
        <v>366058</v>
      </c>
      <c r="H1077" s="51" t="str">
        <f t="array" ref="H1077">INDEX('Panduan Gaji'!$Q:$Q,MATCH(D1077,'Panduan Gaji'!$C:$C,0))</f>
        <v>Fatgai</v>
      </c>
      <c r="I1077" s="53"/>
      <c r="J1077" s="88"/>
      <c r="K1077" s="88"/>
      <c r="L1077" s="96"/>
      <c r="M1077" s="56"/>
      <c r="N1077" s="56"/>
      <c r="O1077" s="56"/>
      <c r="P1077" s="56"/>
      <c r="Q1077" s="56"/>
      <c r="R1077" s="56"/>
      <c r="S1077" s="56"/>
      <c r="T1077" s="56"/>
      <c r="U1077" s="56"/>
      <c r="V1077" s="56"/>
      <c r="W1077" s="56"/>
      <c r="X1077" s="22"/>
      <c r="Y1077" s="22"/>
      <c r="Z1077" s="22"/>
      <c r="AA1077" s="22"/>
      <c r="AB1077" s="22"/>
      <c r="AC1077" s="22"/>
      <c r="AD1077" s="22"/>
      <c r="AE1077" s="22"/>
      <c r="AF1077" s="22"/>
    </row>
    <row r="1078" ht="15.75" hidden="1" customHeight="1">
      <c r="A1078" s="26">
        <f t="shared" si="173"/>
        <v>28</v>
      </c>
      <c r="B1078" s="28"/>
      <c r="C1078" s="30" t="s">
        <v>39</v>
      </c>
      <c r="D1078" s="33" t="str">
        <f t="shared" si="174"/>
        <v>Fanny</v>
      </c>
      <c r="E1078" s="350">
        <v>124258.0</v>
      </c>
      <c r="F1078" s="44">
        <v>1.0</v>
      </c>
      <c r="G1078" s="47">
        <f>F1078*E1078</f>
        <v>124258</v>
      </c>
      <c r="H1078" s="51" t="str">
        <f t="array" ref="H1078">INDEX('Panduan Gaji'!$Q:$Q,MATCH(D1078,'Panduan Gaji'!$C:$C,0))</f>
        <v>Fatgai</v>
      </c>
      <c r="I1078" s="53"/>
      <c r="J1078" s="88"/>
      <c r="K1078" s="88"/>
      <c r="L1078" s="96"/>
      <c r="M1078" s="56"/>
      <c r="N1078" s="56"/>
      <c r="O1078" s="56"/>
      <c r="P1078" s="56"/>
      <c r="Q1078" s="56"/>
      <c r="R1078" s="56"/>
      <c r="S1078" s="56"/>
      <c r="T1078" s="56"/>
      <c r="U1078" s="56"/>
      <c r="V1078" s="56"/>
      <c r="W1078" s="56"/>
      <c r="X1078" s="22"/>
      <c r="Y1078" s="22"/>
      <c r="Z1078" s="22"/>
      <c r="AA1078" s="22"/>
      <c r="AB1078" s="22"/>
      <c r="AC1078" s="22"/>
      <c r="AD1078" s="22"/>
      <c r="AE1078" s="22"/>
      <c r="AF1078" s="22"/>
    </row>
    <row r="1079" ht="15.75" hidden="1" customHeight="1">
      <c r="A1079" s="26">
        <f t="shared" si="173"/>
        <v>28</v>
      </c>
      <c r="B1079" s="28"/>
      <c r="C1079" s="30" t="s">
        <v>12</v>
      </c>
      <c r="D1079" s="33" t="str">
        <f t="shared" si="174"/>
        <v>Fanny</v>
      </c>
      <c r="E1079" s="42">
        <f>SUMIFS(SSOD!$C:$C,SSOD!$B:$B,Hitungan!D1079,SSOD!$A:$A,Hitungan!C1079)</f>
        <v>11092.66667</v>
      </c>
      <c r="F1079" s="44">
        <f>SUMIF($C$1084:$C$1113,C1079,$F$1084:$F$1113)</f>
        <v>0</v>
      </c>
      <c r="G1079" s="47">
        <f t="shared" ref="G1079:G1080" si="177">E1079*F1079</f>
        <v>0</v>
      </c>
      <c r="H1079" s="51" t="str">
        <f t="array" ref="H1079">INDEX('Panduan Gaji'!$Q:$Q,MATCH(D1079,'Panduan Gaji'!$C:$C,0))</f>
        <v>Fatgai</v>
      </c>
      <c r="I1079" s="53"/>
      <c r="J1079" s="88"/>
      <c r="K1079" s="88"/>
      <c r="L1079" s="100"/>
      <c r="M1079" s="56"/>
      <c r="N1079" s="56"/>
      <c r="O1079" s="56"/>
      <c r="P1079" s="56"/>
      <c r="Q1079" s="56"/>
      <c r="R1079" s="56"/>
      <c r="S1079" s="56"/>
      <c r="T1079" s="56"/>
      <c r="U1079" s="56"/>
      <c r="V1079" s="56"/>
      <c r="W1079" s="56"/>
      <c r="X1079" s="22"/>
      <c r="Y1079" s="22"/>
      <c r="Z1079" s="22"/>
      <c r="AA1079" s="22"/>
      <c r="AB1079" s="22"/>
      <c r="AC1079" s="22"/>
      <c r="AD1079" s="22"/>
      <c r="AE1079" s="22"/>
      <c r="AF1079" s="22"/>
    </row>
    <row r="1080" ht="15.75" hidden="1" customHeight="1">
      <c r="A1080" s="26">
        <f t="shared" si="173"/>
        <v>28</v>
      </c>
      <c r="B1080" s="28"/>
      <c r="C1080" s="102" t="s">
        <v>30</v>
      </c>
      <c r="D1080" s="33" t="str">
        <f t="shared" si="174"/>
        <v>Fanny</v>
      </c>
      <c r="E1080" s="42">
        <f>SUMIFS(SSOD!$C:$C,SSOD!$B:$B,Hitungan!D1080,SSOD!$A:$A,Hitungan!C1080)</f>
        <v>11092.66667</v>
      </c>
      <c r="F1080" s="44">
        <f t="shared" ref="F1080:F1081" si="178">COUNTIF($C$1084:$C$1113,C1080)</f>
        <v>0</v>
      </c>
      <c r="G1080" s="47">
        <f t="shared" si="177"/>
        <v>0</v>
      </c>
      <c r="H1080" s="51" t="str">
        <f t="array" ref="H1080">INDEX('Panduan Gaji'!$Q:$Q,MATCH(D1080,'Panduan Gaji'!$C:$C,0))</f>
        <v>Fatgai</v>
      </c>
      <c r="I1080" s="53"/>
      <c r="J1080" s="105"/>
      <c r="K1080" s="105"/>
      <c r="L1080" s="106"/>
      <c r="M1080" s="56"/>
      <c r="N1080" s="56"/>
      <c r="O1080" s="56"/>
      <c r="P1080" s="56"/>
      <c r="Q1080" s="56"/>
      <c r="R1080" s="56"/>
      <c r="S1080" s="56"/>
      <c r="T1080" s="56"/>
      <c r="U1080" s="56"/>
      <c r="V1080" s="56"/>
      <c r="W1080" s="56"/>
      <c r="X1080" s="22"/>
      <c r="Y1080" s="22"/>
      <c r="Z1080" s="22"/>
      <c r="AA1080" s="22"/>
      <c r="AB1080" s="22"/>
      <c r="AC1080" s="22"/>
      <c r="AD1080" s="22"/>
      <c r="AE1080" s="22"/>
      <c r="AF1080" s="22"/>
    </row>
    <row r="1081" ht="15.75" hidden="1" customHeight="1">
      <c r="A1081" s="26">
        <f t="shared" si="173"/>
        <v>28</v>
      </c>
      <c r="B1081" s="28"/>
      <c r="C1081" s="30" t="s">
        <v>33</v>
      </c>
      <c r="D1081" s="33" t="str">
        <f t="shared" si="174"/>
        <v>Fanny</v>
      </c>
      <c r="E1081" s="42"/>
      <c r="F1081" s="44">
        <f t="shared" si="178"/>
        <v>0</v>
      </c>
      <c r="G1081" s="47">
        <f>SUMIF($C$1084:$C$1113,C1081,$E$1084:$E$1113)</f>
        <v>0</v>
      </c>
      <c r="H1081" s="51" t="str">
        <f t="array" ref="H1081">INDEX('Panduan Gaji'!$Q:$Q,MATCH(D1081,'Panduan Gaji'!$C:$C,0))</f>
        <v>Fatgai</v>
      </c>
      <c r="I1081" s="53"/>
      <c r="J1081" s="105"/>
      <c r="K1081" s="105"/>
      <c r="L1081" s="106"/>
      <c r="M1081" s="56"/>
      <c r="N1081" s="56"/>
      <c r="O1081" s="56"/>
      <c r="P1081" s="56"/>
      <c r="Q1081" s="56"/>
      <c r="R1081" s="56"/>
      <c r="S1081" s="56"/>
      <c r="T1081" s="56"/>
      <c r="U1081" s="56"/>
      <c r="V1081" s="56"/>
      <c r="W1081" s="56"/>
      <c r="X1081" s="22"/>
      <c r="Y1081" s="22"/>
      <c r="Z1081" s="22"/>
      <c r="AA1081" s="22"/>
      <c r="AB1081" s="22"/>
      <c r="AC1081" s="22"/>
      <c r="AD1081" s="22"/>
      <c r="AE1081" s="22"/>
      <c r="AF1081" s="22"/>
    </row>
    <row r="1082" ht="15.75" hidden="1" customHeight="1">
      <c r="A1082" s="26">
        <f t="shared" si="173"/>
        <v>28</v>
      </c>
      <c r="B1082" s="28"/>
      <c r="C1082" s="30" t="s">
        <v>83</v>
      </c>
      <c r="D1082" s="33" t="str">
        <f t="shared" si="174"/>
        <v>Fanny</v>
      </c>
      <c r="E1082" s="42"/>
      <c r="F1082" s="44"/>
      <c r="G1082" s="47"/>
      <c r="H1082" s="51" t="str">
        <f t="array" ref="H1082">INDEX('Panduan Gaji'!$Q:$Q,MATCH(D1082,'Panduan Gaji'!$C:$C,0))</f>
        <v>Fatgai</v>
      </c>
      <c r="I1082" s="53"/>
      <c r="J1082" s="105"/>
      <c r="K1082" s="105"/>
      <c r="L1082" s="106"/>
      <c r="M1082" s="56"/>
      <c r="N1082" s="56"/>
      <c r="O1082" s="56"/>
      <c r="P1082" s="56"/>
      <c r="Q1082" s="56"/>
      <c r="R1082" s="56"/>
      <c r="S1082" s="56"/>
      <c r="T1082" s="56"/>
      <c r="U1082" s="56"/>
      <c r="V1082" s="56"/>
      <c r="W1082" s="56"/>
      <c r="X1082" s="22"/>
      <c r="Y1082" s="22"/>
      <c r="Z1082" s="22"/>
      <c r="AA1082" s="22"/>
      <c r="AB1082" s="22"/>
      <c r="AC1082" s="22"/>
      <c r="AD1082" s="22"/>
      <c r="AE1082" s="22"/>
      <c r="AF1082" s="22"/>
    </row>
    <row r="1083" ht="15.75" hidden="1" customHeight="1">
      <c r="A1083" s="26">
        <f t="shared" si="173"/>
        <v>28</v>
      </c>
      <c r="B1083" s="28"/>
      <c r="C1083" s="30" t="s">
        <v>85</v>
      </c>
      <c r="D1083" s="33" t="str">
        <f t="shared" si="174"/>
        <v>Fanny</v>
      </c>
      <c r="E1083" s="42"/>
      <c r="F1083" s="44"/>
      <c r="G1083" s="47"/>
      <c r="H1083" s="51" t="str">
        <f t="array" ref="H1083">INDEX('Panduan Gaji'!$Q:$Q,MATCH(D1083,'Panduan Gaji'!$C:$C,0))</f>
        <v>Fatgai</v>
      </c>
      <c r="I1083" s="53"/>
      <c r="J1083" s="105"/>
      <c r="K1083" s="105"/>
      <c r="L1083" s="106"/>
      <c r="M1083" s="56"/>
      <c r="N1083" s="56"/>
      <c r="O1083" s="22"/>
      <c r="P1083" s="56"/>
      <c r="Q1083" s="56"/>
      <c r="R1083" s="56"/>
      <c r="S1083" s="56"/>
      <c r="T1083" s="56"/>
      <c r="U1083" s="56"/>
      <c r="V1083" s="56"/>
      <c r="W1083" s="56"/>
      <c r="X1083" s="22"/>
      <c r="Y1083" s="22"/>
      <c r="Z1083" s="22"/>
      <c r="AA1083" s="22"/>
      <c r="AB1083" s="22"/>
      <c r="AC1083" s="22"/>
      <c r="AD1083" s="22"/>
      <c r="AE1083" s="22"/>
      <c r="AF1083" s="22"/>
    </row>
    <row r="1084" ht="15.75" hidden="1" customHeight="1">
      <c r="A1084" s="116">
        <f t="shared" si="173"/>
        <v>28</v>
      </c>
      <c r="B1084" s="118">
        <v>46229.0</v>
      </c>
      <c r="C1084" s="119"/>
      <c r="D1084" s="120" t="str">
        <f t="shared" si="174"/>
        <v>Fanny</v>
      </c>
      <c r="E1084" s="121">
        <f>SUMIFS(SSOD!$C:$C,SSOD!$B:$B,Hitungan!D1084,SSOD!$A:$A,Hitungan!C1084)</f>
        <v>0</v>
      </c>
      <c r="F1084" s="122"/>
      <c r="G1084" s="124">
        <f t="shared" ref="G1084:G1113" si="179">E1084*F1084</f>
        <v>0</v>
      </c>
      <c r="H1084" s="126" t="str">
        <f t="array" ref="H1084">INDEX('Panduan Gaji'!$Q:$Q,MATCH(D1084,'Panduan Gaji'!$C:$C,0))</f>
        <v>Fatgai</v>
      </c>
      <c r="I1084" s="128" t="s">
        <v>138</v>
      </c>
      <c r="J1084" s="129"/>
      <c r="K1084" s="129"/>
      <c r="L1084" s="130"/>
      <c r="M1084" s="56"/>
      <c r="N1084" s="56"/>
      <c r="O1084" s="56"/>
      <c r="P1084" s="56"/>
      <c r="Q1084" s="56"/>
      <c r="R1084" s="56"/>
      <c r="S1084" s="56"/>
      <c r="T1084" s="56"/>
      <c r="U1084" s="56"/>
      <c r="V1084" s="56"/>
      <c r="W1084" s="56"/>
      <c r="X1084" s="22"/>
      <c r="Y1084" s="22"/>
      <c r="Z1084" s="22"/>
      <c r="AA1084" s="22"/>
      <c r="AB1084" s="22"/>
      <c r="AC1084" s="22"/>
      <c r="AD1084" s="22"/>
      <c r="AE1084" s="22"/>
      <c r="AF1084" s="22"/>
    </row>
    <row r="1085" ht="15.75" hidden="1" customHeight="1">
      <c r="A1085" s="116">
        <f t="shared" si="173"/>
        <v>28</v>
      </c>
      <c r="B1085" s="118">
        <v>46230.0</v>
      </c>
      <c r="C1085" s="119"/>
      <c r="D1085" s="120" t="str">
        <f t="shared" si="174"/>
        <v>Fanny</v>
      </c>
      <c r="E1085" s="121">
        <f>SUMIFS(SSOD!$C:$C,SSOD!$B:$B,Hitungan!D1085,SSOD!$A:$A,Hitungan!C1085)</f>
        <v>0</v>
      </c>
      <c r="F1085" s="122"/>
      <c r="G1085" s="124">
        <f t="shared" si="179"/>
        <v>0</v>
      </c>
      <c r="H1085" s="126" t="str">
        <f t="array" ref="H1085">INDEX('Panduan Gaji'!$Q:$Q,MATCH(D1085,'Panduan Gaji'!$C:$C,0))</f>
        <v>Fatgai</v>
      </c>
      <c r="I1085" s="128" t="s">
        <v>138</v>
      </c>
      <c r="J1085" s="129"/>
      <c r="K1085" s="137"/>
      <c r="L1085" s="138"/>
      <c r="M1085" s="56"/>
      <c r="N1085" s="56"/>
      <c r="O1085" s="56"/>
      <c r="P1085" s="56"/>
      <c r="Q1085" s="56"/>
      <c r="R1085" s="56"/>
      <c r="S1085" s="56"/>
      <c r="T1085" s="56"/>
      <c r="U1085" s="56"/>
      <c r="V1085" s="56"/>
      <c r="W1085" s="56"/>
      <c r="X1085" s="22"/>
      <c r="Y1085" s="22"/>
      <c r="Z1085" s="22"/>
      <c r="AA1085" s="22"/>
      <c r="AB1085" s="22"/>
      <c r="AC1085" s="22"/>
      <c r="AD1085" s="22"/>
      <c r="AE1085" s="22"/>
      <c r="AF1085" s="22"/>
    </row>
    <row r="1086" ht="15.75" hidden="1" customHeight="1">
      <c r="A1086" s="116">
        <f t="shared" si="173"/>
        <v>28</v>
      </c>
      <c r="B1086" s="118">
        <v>46231.0</v>
      </c>
      <c r="C1086" s="119"/>
      <c r="D1086" s="120" t="str">
        <f t="shared" si="174"/>
        <v>Fanny</v>
      </c>
      <c r="E1086" s="121">
        <f>SUMIFS(SSOD!$C:$C,SSOD!$B:$B,Hitungan!D1086,SSOD!$A:$A,Hitungan!C1086)</f>
        <v>0</v>
      </c>
      <c r="F1086" s="122"/>
      <c r="G1086" s="124">
        <f t="shared" si="179"/>
        <v>0</v>
      </c>
      <c r="H1086" s="126" t="str">
        <f t="array" ref="H1086">INDEX('Panduan Gaji'!$Q:$Q,MATCH(D1086,'Panduan Gaji'!$C:$C,0))</f>
        <v>Fatgai</v>
      </c>
      <c r="I1086" s="128" t="s">
        <v>138</v>
      </c>
      <c r="J1086" s="129"/>
      <c r="K1086" s="129"/>
      <c r="L1086" s="145"/>
      <c r="M1086" s="56"/>
      <c r="N1086" s="56"/>
      <c r="O1086" s="56"/>
      <c r="P1086" s="56"/>
      <c r="Q1086" s="56"/>
      <c r="R1086" s="56"/>
      <c r="S1086" s="56"/>
      <c r="T1086" s="56"/>
      <c r="U1086" s="56"/>
      <c r="V1086" s="56"/>
      <c r="W1086" s="56"/>
      <c r="X1086" s="22"/>
      <c r="Y1086" s="22"/>
      <c r="Z1086" s="22"/>
      <c r="AA1086" s="22"/>
      <c r="AB1086" s="22"/>
      <c r="AC1086" s="22"/>
      <c r="AD1086" s="22"/>
      <c r="AE1086" s="22"/>
      <c r="AF1086" s="22"/>
    </row>
    <row r="1087" ht="15.75" hidden="1" customHeight="1">
      <c r="A1087" s="116">
        <f t="shared" si="173"/>
        <v>28</v>
      </c>
      <c r="B1087" s="118">
        <v>46232.0</v>
      </c>
      <c r="C1087" s="146"/>
      <c r="D1087" s="120" t="str">
        <f t="shared" si="174"/>
        <v>Fanny</v>
      </c>
      <c r="E1087" s="147">
        <f>SUMIFS(SSOD!$C:$C,SSOD!$B:$B,Hitungan!D1087,SSOD!$A:$A,Hitungan!C1087)</f>
        <v>0</v>
      </c>
      <c r="F1087" s="148"/>
      <c r="G1087" s="124">
        <f t="shared" si="179"/>
        <v>0</v>
      </c>
      <c r="H1087" s="126" t="str">
        <f t="array" ref="H1087">INDEX('Panduan Gaji'!$Q:$Q,MATCH(D1087,'Panduan Gaji'!$C:$C,0))</f>
        <v>Fatgai</v>
      </c>
      <c r="I1087" s="128" t="s">
        <v>138</v>
      </c>
      <c r="J1087" s="129"/>
      <c r="K1087" s="129"/>
      <c r="L1087" s="153"/>
      <c r="M1087" s="166"/>
      <c r="N1087" s="56"/>
      <c r="O1087" s="56"/>
      <c r="P1087" s="56"/>
      <c r="Q1087" s="56"/>
      <c r="R1087" s="56"/>
      <c r="S1087" s="56"/>
      <c r="T1087" s="56"/>
      <c r="U1087" s="56"/>
      <c r="V1087" s="56"/>
      <c r="W1087" s="56"/>
      <c r="X1087" s="22"/>
      <c r="Y1087" s="22"/>
      <c r="Z1087" s="22"/>
      <c r="AA1087" s="22"/>
      <c r="AB1087" s="22"/>
      <c r="AC1087" s="22"/>
      <c r="AD1087" s="22"/>
      <c r="AE1087" s="22"/>
      <c r="AF1087" s="22"/>
    </row>
    <row r="1088" ht="15.75" hidden="1" customHeight="1">
      <c r="A1088" s="116">
        <f t="shared" si="173"/>
        <v>28</v>
      </c>
      <c r="B1088" s="118">
        <v>46233.0</v>
      </c>
      <c r="C1088" s="119"/>
      <c r="D1088" s="120" t="str">
        <f t="shared" si="174"/>
        <v>Fanny</v>
      </c>
      <c r="E1088" s="121">
        <f>SUMIFS(SSOD!$C:$C,SSOD!$B:$B,Hitungan!D1088,SSOD!$A:$A,Hitungan!C1088)</f>
        <v>0</v>
      </c>
      <c r="F1088" s="122"/>
      <c r="G1088" s="124">
        <f t="shared" si="179"/>
        <v>0</v>
      </c>
      <c r="H1088" s="126" t="str">
        <f t="array" ref="H1088">INDEX('Panduan Gaji'!$Q:$Q,MATCH(D1088,'Panduan Gaji'!$C:$C,0))</f>
        <v>Fatgai</v>
      </c>
      <c r="I1088" s="128" t="s">
        <v>138</v>
      </c>
      <c r="J1088" s="129"/>
      <c r="K1088" s="129"/>
      <c r="L1088" s="164"/>
      <c r="M1088" s="56"/>
      <c r="N1088" s="56"/>
      <c r="O1088" s="56"/>
      <c r="P1088" s="56"/>
      <c r="Q1088" s="56"/>
      <c r="R1088" s="56"/>
      <c r="S1088" s="56"/>
      <c r="T1088" s="56"/>
      <c r="U1088" s="56"/>
      <c r="V1088" s="56"/>
      <c r="W1088" s="56"/>
      <c r="X1088" s="22"/>
      <c r="Y1088" s="22"/>
      <c r="Z1088" s="22"/>
      <c r="AA1088" s="22"/>
      <c r="AB1088" s="22"/>
      <c r="AC1088" s="22"/>
      <c r="AD1088" s="22"/>
      <c r="AE1088" s="22"/>
      <c r="AF1088" s="22"/>
    </row>
    <row r="1089" ht="15.75" hidden="1" customHeight="1">
      <c r="A1089" s="116">
        <f t="shared" si="173"/>
        <v>28</v>
      </c>
      <c r="B1089" s="118">
        <v>46234.0</v>
      </c>
      <c r="C1089" s="119"/>
      <c r="D1089" s="120" t="str">
        <f t="shared" si="174"/>
        <v>Fanny</v>
      </c>
      <c r="E1089" s="121">
        <f>SUMIFS(SSOD!$C:$C,SSOD!$B:$B,Hitungan!D1089,SSOD!$A:$A,Hitungan!C1089)</f>
        <v>0</v>
      </c>
      <c r="F1089" s="122"/>
      <c r="G1089" s="124">
        <f t="shared" si="179"/>
        <v>0</v>
      </c>
      <c r="H1089" s="126" t="str">
        <f t="array" ref="H1089">INDEX('Panduan Gaji'!$Q:$Q,MATCH(D1089,'Panduan Gaji'!$C:$C,0))</f>
        <v>Fatgai</v>
      </c>
      <c r="I1089" s="128" t="s">
        <v>138</v>
      </c>
      <c r="J1089" s="129"/>
      <c r="K1089" s="129"/>
      <c r="L1089" s="130"/>
      <c r="M1089" s="56"/>
      <c r="N1089" s="56"/>
      <c r="O1089" s="56"/>
      <c r="P1089" s="56"/>
      <c r="Q1089" s="56"/>
      <c r="R1089" s="56"/>
      <c r="S1089" s="56"/>
      <c r="T1089" s="56"/>
      <c r="U1089" s="56"/>
      <c r="V1089" s="56"/>
      <c r="W1089" s="56"/>
      <c r="X1089" s="22"/>
      <c r="Y1089" s="22"/>
      <c r="Z1089" s="22"/>
      <c r="AA1089" s="22"/>
      <c r="AB1089" s="22"/>
      <c r="AC1089" s="22"/>
      <c r="AD1089" s="22"/>
      <c r="AE1089" s="22"/>
      <c r="AF1089" s="22"/>
    </row>
    <row r="1090" ht="15.75" hidden="1" customHeight="1">
      <c r="A1090" s="116">
        <f t="shared" si="173"/>
        <v>28</v>
      </c>
      <c r="B1090" s="118">
        <v>46235.0</v>
      </c>
      <c r="C1090" s="119"/>
      <c r="D1090" s="120" t="str">
        <f t="shared" si="174"/>
        <v>Fanny</v>
      </c>
      <c r="E1090" s="121">
        <f>SUMIFS(SSOD!$C:$C,SSOD!$B:$B,Hitungan!D1090,SSOD!$A:$A,Hitungan!C1090)</f>
        <v>0</v>
      </c>
      <c r="F1090" s="122"/>
      <c r="G1090" s="124">
        <f t="shared" si="179"/>
        <v>0</v>
      </c>
      <c r="H1090" s="126" t="str">
        <f t="array" ref="H1090">INDEX('Panduan Gaji'!$Q:$Q,MATCH(D1090,'Panduan Gaji'!$C:$C,0))</f>
        <v>Fatgai</v>
      </c>
      <c r="I1090" s="128" t="s">
        <v>138</v>
      </c>
      <c r="J1090" s="177"/>
      <c r="K1090" s="129"/>
      <c r="L1090" s="145"/>
      <c r="M1090" s="56"/>
      <c r="N1090" s="56"/>
      <c r="O1090" s="56"/>
      <c r="P1090" s="56"/>
      <c r="Q1090" s="56"/>
      <c r="R1090" s="56"/>
      <c r="S1090" s="56"/>
      <c r="T1090" s="56"/>
      <c r="U1090" s="56"/>
      <c r="V1090" s="56"/>
      <c r="W1090" s="56"/>
      <c r="X1090" s="22"/>
      <c r="Y1090" s="22"/>
      <c r="Z1090" s="22"/>
      <c r="AA1090" s="22"/>
      <c r="AB1090" s="22"/>
      <c r="AC1090" s="22"/>
      <c r="AD1090" s="22"/>
      <c r="AE1090" s="22"/>
      <c r="AF1090" s="22"/>
    </row>
    <row r="1091" ht="15.75" hidden="1" customHeight="1">
      <c r="A1091" s="116">
        <f t="shared" si="173"/>
        <v>28</v>
      </c>
      <c r="B1091" s="118">
        <v>46236.0</v>
      </c>
      <c r="C1091" s="119"/>
      <c r="D1091" s="120" t="str">
        <f t="shared" si="174"/>
        <v>Fanny</v>
      </c>
      <c r="E1091" s="121">
        <v>0.0</v>
      </c>
      <c r="F1091" s="122"/>
      <c r="G1091" s="124">
        <f t="shared" si="179"/>
        <v>0</v>
      </c>
      <c r="H1091" s="126" t="str">
        <f t="array" ref="H1091">INDEX('Panduan Gaji'!$Q:$Q,MATCH(D1091,'Panduan Gaji'!$C:$C,0))</f>
        <v>Fatgai</v>
      </c>
      <c r="I1091" s="128" t="s">
        <v>138</v>
      </c>
      <c r="J1091" s="177"/>
      <c r="K1091" s="129"/>
      <c r="L1091" s="145"/>
      <c r="M1091" s="56"/>
      <c r="N1091" s="56"/>
      <c r="O1091" s="56"/>
      <c r="P1091" s="56"/>
      <c r="Q1091" s="56"/>
      <c r="R1091" s="56"/>
      <c r="S1091" s="56"/>
      <c r="T1091" s="56"/>
      <c r="U1091" s="56"/>
      <c r="V1091" s="56"/>
      <c r="W1091" s="56"/>
      <c r="X1091" s="22"/>
      <c r="Y1091" s="22"/>
      <c r="Z1091" s="22"/>
      <c r="AA1091" s="22"/>
      <c r="AB1091" s="22"/>
      <c r="AC1091" s="22"/>
      <c r="AD1091" s="22"/>
      <c r="AE1091" s="22"/>
      <c r="AF1091" s="22"/>
    </row>
    <row r="1092" ht="15.75" hidden="1" customHeight="1">
      <c r="A1092" s="116">
        <f t="shared" si="173"/>
        <v>28</v>
      </c>
      <c r="B1092" s="118">
        <v>46237.0</v>
      </c>
      <c r="C1092" s="119"/>
      <c r="D1092" s="120" t="str">
        <f t="shared" si="174"/>
        <v>Fanny</v>
      </c>
      <c r="E1092" s="121">
        <f>SUMIFS(SSOD!$C:$C,SSOD!$B:$B,Hitungan!D1092,SSOD!$A:$A,Hitungan!C1092)</f>
        <v>0</v>
      </c>
      <c r="F1092" s="122"/>
      <c r="G1092" s="124">
        <f t="shared" si="179"/>
        <v>0</v>
      </c>
      <c r="H1092" s="126" t="str">
        <f t="array" ref="H1092">INDEX('Panduan Gaji'!$Q:$Q,MATCH(D1092,'Panduan Gaji'!$C:$C,0))</f>
        <v>Fatgai</v>
      </c>
      <c r="I1092" s="128" t="s">
        <v>138</v>
      </c>
      <c r="J1092" s="177"/>
      <c r="K1092" s="129"/>
      <c r="L1092" s="145"/>
      <c r="M1092" s="56"/>
      <c r="N1092" s="56"/>
      <c r="O1092" s="56"/>
      <c r="P1092" s="56"/>
      <c r="Q1092" s="56"/>
      <c r="R1092" s="56"/>
      <c r="S1092" s="56"/>
      <c r="T1092" s="56"/>
      <c r="U1092" s="56"/>
      <c r="V1092" s="56"/>
      <c r="W1092" s="56"/>
      <c r="X1092" s="22"/>
      <c r="Y1092" s="22"/>
      <c r="Z1092" s="22"/>
      <c r="AA1092" s="22"/>
      <c r="AB1092" s="22"/>
      <c r="AC1092" s="22"/>
      <c r="AD1092" s="22"/>
      <c r="AE1092" s="22"/>
      <c r="AF1092" s="22"/>
    </row>
    <row r="1093" ht="15.75" hidden="1" customHeight="1">
      <c r="A1093" s="116">
        <f t="shared" si="173"/>
        <v>28</v>
      </c>
      <c r="B1093" s="118">
        <v>46238.0</v>
      </c>
      <c r="C1093" s="181"/>
      <c r="D1093" s="120" t="str">
        <f t="shared" si="174"/>
        <v>Fanny</v>
      </c>
      <c r="E1093" s="121">
        <f>SUMIFS(SSOD!$C:$C,SSOD!$B:$B,Hitungan!D1093,SSOD!$A:$A,Hitungan!C1093)</f>
        <v>0</v>
      </c>
      <c r="F1093" s="182"/>
      <c r="G1093" s="52">
        <f t="shared" si="179"/>
        <v>0</v>
      </c>
      <c r="H1093" s="126" t="str">
        <f t="array" ref="H1093">INDEX('Panduan Gaji'!$Q:$Q,MATCH(D1093,'Panduan Gaji'!$C:$C,0))</f>
        <v>Fatgai</v>
      </c>
      <c r="I1093" s="128" t="s">
        <v>138</v>
      </c>
      <c r="J1093" s="177"/>
      <c r="K1093" s="129"/>
      <c r="L1093" s="119"/>
      <c r="M1093" s="56"/>
      <c r="N1093" s="56"/>
      <c r="O1093" s="56"/>
      <c r="P1093" s="56"/>
      <c r="Q1093" s="56"/>
      <c r="R1093" s="56"/>
      <c r="S1093" s="56"/>
      <c r="T1093" s="56"/>
      <c r="U1093" s="56"/>
      <c r="V1093" s="56"/>
      <c r="W1093" s="56"/>
      <c r="X1093" s="22"/>
      <c r="Y1093" s="22"/>
      <c r="Z1093" s="22"/>
      <c r="AA1093" s="22"/>
      <c r="AB1093" s="22"/>
      <c r="AC1093" s="22"/>
      <c r="AD1093" s="22"/>
      <c r="AE1093" s="22"/>
      <c r="AF1093" s="22"/>
    </row>
    <row r="1094" ht="15.75" hidden="1" customHeight="1">
      <c r="A1094" s="116">
        <f t="shared" si="173"/>
        <v>28</v>
      </c>
      <c r="B1094" s="118">
        <v>46239.0</v>
      </c>
      <c r="C1094" s="119"/>
      <c r="D1094" s="120" t="str">
        <f t="shared" si="174"/>
        <v>Fanny</v>
      </c>
      <c r="E1094" s="121">
        <f>SUMIFS(SSOD!$C:$C,SSOD!$B:$B,Hitungan!D1094,SSOD!$A:$A,Hitungan!C1094)</f>
        <v>0</v>
      </c>
      <c r="F1094" s="122"/>
      <c r="G1094" s="124">
        <f t="shared" si="179"/>
        <v>0</v>
      </c>
      <c r="H1094" s="126" t="str">
        <f t="array" ref="H1094">INDEX('Panduan Gaji'!$Q:$Q,MATCH(D1094,'Panduan Gaji'!$C:$C,0))</f>
        <v>Fatgai</v>
      </c>
      <c r="I1094" s="128" t="s">
        <v>138</v>
      </c>
      <c r="J1094" s="177"/>
      <c r="K1094" s="129"/>
      <c r="L1094" s="145"/>
      <c r="M1094" s="56"/>
      <c r="N1094" s="56"/>
      <c r="O1094" s="56"/>
      <c r="P1094" s="56"/>
      <c r="Q1094" s="56"/>
      <c r="R1094" s="56"/>
      <c r="S1094" s="56"/>
      <c r="T1094" s="56"/>
      <c r="U1094" s="56"/>
      <c r="V1094" s="56"/>
      <c r="W1094" s="56"/>
      <c r="X1094" s="22"/>
      <c r="Y1094" s="22"/>
      <c r="Z1094" s="22"/>
      <c r="AA1094" s="22"/>
      <c r="AB1094" s="22"/>
      <c r="AC1094" s="22"/>
      <c r="AD1094" s="22"/>
      <c r="AE1094" s="22"/>
      <c r="AF1094" s="22"/>
    </row>
    <row r="1095" ht="15.75" hidden="1" customHeight="1">
      <c r="A1095" s="116">
        <f t="shared" si="173"/>
        <v>28</v>
      </c>
      <c r="B1095" s="118">
        <v>46240.0</v>
      </c>
      <c r="C1095" s="119"/>
      <c r="D1095" s="120" t="str">
        <f t="shared" si="174"/>
        <v>Fanny</v>
      </c>
      <c r="E1095" s="121">
        <f>SUMIFS(SSOD!$C:$C,SSOD!$B:$B,Hitungan!D1095,SSOD!$A:$A,Hitungan!C1095)</f>
        <v>0</v>
      </c>
      <c r="F1095" s="122"/>
      <c r="G1095" s="124">
        <f t="shared" si="179"/>
        <v>0</v>
      </c>
      <c r="H1095" s="126" t="str">
        <f t="array" ref="H1095">INDEX('Panduan Gaji'!$Q:$Q,MATCH(D1095,'Panduan Gaji'!$C:$C,0))</f>
        <v>Fatgai</v>
      </c>
      <c r="I1095" s="128" t="s">
        <v>138</v>
      </c>
      <c r="J1095" s="129"/>
      <c r="K1095" s="129"/>
      <c r="L1095" s="145"/>
      <c r="M1095" s="56"/>
      <c r="N1095" s="56"/>
      <c r="O1095" s="56"/>
      <c r="P1095" s="56"/>
      <c r="Q1095" s="56"/>
      <c r="R1095" s="56"/>
      <c r="S1095" s="56"/>
      <c r="T1095" s="56"/>
      <c r="U1095" s="56"/>
      <c r="V1095" s="56"/>
      <c r="W1095" s="56"/>
      <c r="X1095" s="22"/>
      <c r="Y1095" s="22"/>
      <c r="Z1095" s="22"/>
      <c r="AA1095" s="22"/>
      <c r="AB1095" s="22"/>
      <c r="AC1095" s="22"/>
      <c r="AD1095" s="22"/>
      <c r="AE1095" s="22"/>
      <c r="AF1095" s="22"/>
    </row>
    <row r="1096" ht="15.75" hidden="1" customHeight="1">
      <c r="A1096" s="116">
        <f t="shared" si="173"/>
        <v>28</v>
      </c>
      <c r="B1096" s="118">
        <v>46241.0</v>
      </c>
      <c r="C1096" s="119"/>
      <c r="D1096" s="120" t="str">
        <f t="shared" si="174"/>
        <v>Fanny</v>
      </c>
      <c r="E1096" s="121">
        <f>SUMIFS(SSOD!$C:$C,SSOD!$B:$B,Hitungan!D1096,SSOD!$A:$A,Hitungan!C1096)</f>
        <v>0</v>
      </c>
      <c r="F1096" s="122"/>
      <c r="G1096" s="124">
        <f t="shared" si="179"/>
        <v>0</v>
      </c>
      <c r="H1096" s="126" t="str">
        <f t="array" ref="H1096">INDEX('Panduan Gaji'!$Q:$Q,MATCH(D1096,'Panduan Gaji'!$C:$C,0))</f>
        <v>Fatgai</v>
      </c>
      <c r="I1096" s="128" t="s">
        <v>138</v>
      </c>
      <c r="J1096" s="129"/>
      <c r="K1096" s="185"/>
      <c r="L1096" s="119"/>
      <c r="M1096" s="56"/>
      <c r="N1096" s="56"/>
      <c r="O1096" s="56"/>
      <c r="P1096" s="56"/>
      <c r="Q1096" s="56"/>
      <c r="R1096" s="56"/>
      <c r="S1096" s="56"/>
      <c r="T1096" s="56"/>
      <c r="U1096" s="56"/>
      <c r="V1096" s="56"/>
      <c r="W1096" s="56"/>
      <c r="X1096" s="22"/>
      <c r="Y1096" s="22"/>
      <c r="Z1096" s="22"/>
      <c r="AA1096" s="22"/>
      <c r="AB1096" s="22"/>
      <c r="AC1096" s="22"/>
      <c r="AD1096" s="22"/>
      <c r="AE1096" s="22"/>
      <c r="AF1096" s="22"/>
    </row>
    <row r="1097" ht="15.75" hidden="1" customHeight="1">
      <c r="A1097" s="116">
        <f t="shared" si="173"/>
        <v>28</v>
      </c>
      <c r="B1097" s="118">
        <v>46242.0</v>
      </c>
      <c r="C1097" s="119"/>
      <c r="D1097" s="120" t="str">
        <f t="shared" si="174"/>
        <v>Fanny</v>
      </c>
      <c r="E1097" s="121">
        <f>SUMIFS(SSOD!$C:$C,SSOD!$B:$B,Hitungan!D1097,SSOD!$A:$A,Hitungan!C1097)</f>
        <v>0</v>
      </c>
      <c r="F1097" s="122"/>
      <c r="G1097" s="124">
        <f t="shared" si="179"/>
        <v>0</v>
      </c>
      <c r="H1097" s="126" t="str">
        <f t="array" ref="H1097">INDEX('Panduan Gaji'!$Q:$Q,MATCH(D1097,'Panduan Gaji'!$C:$C,0))</f>
        <v>Fatgai</v>
      </c>
      <c r="I1097" s="128" t="s">
        <v>138</v>
      </c>
      <c r="J1097" s="177"/>
      <c r="K1097" s="177"/>
      <c r="L1097" s="187"/>
      <c r="M1097" s="56"/>
      <c r="N1097" s="56"/>
      <c r="O1097" s="56"/>
      <c r="P1097" s="56"/>
      <c r="Q1097" s="56"/>
      <c r="R1097" s="56"/>
      <c r="S1097" s="56"/>
      <c r="T1097" s="56"/>
      <c r="U1097" s="56"/>
      <c r="V1097" s="56"/>
      <c r="W1097" s="56"/>
      <c r="X1097" s="22"/>
      <c r="Y1097" s="22"/>
      <c r="Z1097" s="22"/>
      <c r="AA1097" s="22"/>
      <c r="AB1097" s="22"/>
      <c r="AC1097" s="22"/>
      <c r="AD1097" s="22"/>
      <c r="AE1097" s="22"/>
      <c r="AF1097" s="22"/>
    </row>
    <row r="1098" ht="15.75" hidden="1" customHeight="1">
      <c r="A1098" s="116">
        <f t="shared" si="173"/>
        <v>28</v>
      </c>
      <c r="B1098" s="118">
        <v>46243.0</v>
      </c>
      <c r="C1098" s="119"/>
      <c r="D1098" s="120" t="str">
        <f t="shared" si="174"/>
        <v>Fanny</v>
      </c>
      <c r="E1098" s="121">
        <f>SUMIFS(SSOD!$C:$C,SSOD!$B:$B,Hitungan!D1098,SSOD!$A:$A,Hitungan!C1098)</f>
        <v>0</v>
      </c>
      <c r="F1098" s="122"/>
      <c r="G1098" s="124">
        <f t="shared" si="179"/>
        <v>0</v>
      </c>
      <c r="H1098" s="126" t="str">
        <f t="array" ref="H1098">INDEX('Panduan Gaji'!$Q:$Q,MATCH(D1098,'Panduan Gaji'!$C:$C,0))</f>
        <v>Fatgai</v>
      </c>
      <c r="I1098" s="128" t="s">
        <v>138</v>
      </c>
      <c r="J1098" s="177"/>
      <c r="K1098" s="177"/>
      <c r="L1098" s="187"/>
      <c r="M1098" s="56"/>
      <c r="N1098" s="56"/>
      <c r="O1098" s="56"/>
      <c r="P1098" s="56"/>
      <c r="Q1098" s="56"/>
      <c r="R1098" s="56"/>
      <c r="S1098" s="56"/>
      <c r="T1098" s="56"/>
      <c r="U1098" s="56"/>
      <c r="V1098" s="56"/>
      <c r="W1098" s="56"/>
      <c r="X1098" s="22"/>
      <c r="Y1098" s="22"/>
      <c r="Z1098" s="22"/>
      <c r="AA1098" s="22"/>
      <c r="AB1098" s="22"/>
      <c r="AC1098" s="22"/>
      <c r="AD1098" s="22"/>
      <c r="AE1098" s="22"/>
      <c r="AF1098" s="22"/>
    </row>
    <row r="1099" ht="15.75" hidden="1" customHeight="1">
      <c r="A1099" s="116">
        <f t="shared" si="173"/>
        <v>28</v>
      </c>
      <c r="B1099" s="118">
        <v>46244.0</v>
      </c>
      <c r="C1099" s="119"/>
      <c r="D1099" s="120" t="str">
        <f t="shared" si="174"/>
        <v>Fanny</v>
      </c>
      <c r="E1099" s="121">
        <f>SUMIFS(SSOD!$C:$C,SSOD!$B:$B,Hitungan!D1099,SSOD!$A:$A,Hitungan!C1099)</f>
        <v>0</v>
      </c>
      <c r="F1099" s="122"/>
      <c r="G1099" s="124">
        <f t="shared" si="179"/>
        <v>0</v>
      </c>
      <c r="H1099" s="126" t="str">
        <f t="array" ref="H1099">INDEX('Panduan Gaji'!$Q:$Q,MATCH(D1099,'Panduan Gaji'!$C:$C,0))</f>
        <v>Fatgai</v>
      </c>
      <c r="I1099" s="128" t="s">
        <v>138</v>
      </c>
      <c r="J1099" s="177"/>
      <c r="K1099" s="177"/>
      <c r="L1099" s="187"/>
      <c r="M1099" s="56"/>
      <c r="N1099" s="56"/>
      <c r="O1099" s="56"/>
      <c r="P1099" s="56"/>
      <c r="Q1099" s="56"/>
      <c r="R1099" s="56"/>
      <c r="S1099" s="56"/>
      <c r="T1099" s="56"/>
      <c r="U1099" s="56"/>
      <c r="V1099" s="56"/>
      <c r="W1099" s="56"/>
      <c r="X1099" s="22"/>
      <c r="Y1099" s="22"/>
      <c r="Z1099" s="22"/>
      <c r="AA1099" s="22"/>
      <c r="AB1099" s="22"/>
      <c r="AC1099" s="22"/>
      <c r="AD1099" s="22"/>
      <c r="AE1099" s="22"/>
      <c r="AF1099" s="22"/>
    </row>
    <row r="1100" ht="15.75" hidden="1" customHeight="1">
      <c r="A1100" s="116">
        <f t="shared" si="173"/>
        <v>28</v>
      </c>
      <c r="B1100" s="118">
        <v>46245.0</v>
      </c>
      <c r="C1100" s="119"/>
      <c r="D1100" s="120" t="str">
        <f t="shared" si="174"/>
        <v>Fanny</v>
      </c>
      <c r="E1100" s="121">
        <f>SUMIFS(SSOD!$C:$C,SSOD!$B:$B,Hitungan!D1100,SSOD!$A:$A,Hitungan!C1100)</f>
        <v>0</v>
      </c>
      <c r="F1100" s="122"/>
      <c r="G1100" s="124">
        <f t="shared" si="179"/>
        <v>0</v>
      </c>
      <c r="H1100" s="126" t="str">
        <f t="array" ref="H1100">INDEX('Panduan Gaji'!$Q:$Q,MATCH(D1100,'Panduan Gaji'!$C:$C,0))</f>
        <v>Fatgai</v>
      </c>
      <c r="I1100" s="128" t="s">
        <v>138</v>
      </c>
      <c r="J1100" s="129"/>
      <c r="K1100" s="129"/>
      <c r="L1100" s="145"/>
      <c r="M1100" s="56"/>
      <c r="N1100" s="56"/>
      <c r="O1100" s="56"/>
      <c r="P1100" s="56"/>
      <c r="Q1100" s="56"/>
      <c r="R1100" s="56"/>
      <c r="S1100" s="56"/>
      <c r="T1100" s="56"/>
      <c r="U1100" s="56"/>
      <c r="V1100" s="56"/>
      <c r="W1100" s="56"/>
      <c r="X1100" s="22"/>
      <c r="Y1100" s="22"/>
      <c r="Z1100" s="22"/>
      <c r="AA1100" s="22"/>
      <c r="AB1100" s="22"/>
      <c r="AC1100" s="22"/>
      <c r="AD1100" s="22"/>
      <c r="AE1100" s="22"/>
      <c r="AF1100" s="22"/>
    </row>
    <row r="1101" ht="15.75" hidden="1" customHeight="1">
      <c r="A1101" s="116">
        <f t="shared" si="173"/>
        <v>28</v>
      </c>
      <c r="B1101" s="118">
        <v>46246.0</v>
      </c>
      <c r="C1101" s="119"/>
      <c r="D1101" s="120" t="str">
        <f t="shared" si="174"/>
        <v>Fanny</v>
      </c>
      <c r="E1101" s="121">
        <f>SUMIFS(SSOD!$C:$C,SSOD!$B:$B,Hitungan!D1101,SSOD!$A:$A,Hitungan!C1101)</f>
        <v>0</v>
      </c>
      <c r="F1101" s="122"/>
      <c r="G1101" s="124">
        <f t="shared" si="179"/>
        <v>0</v>
      </c>
      <c r="H1101" s="126" t="str">
        <f t="array" ref="H1101">INDEX('Panduan Gaji'!$Q:$Q,MATCH(D1101,'Panduan Gaji'!$C:$C,0))</f>
        <v>Fatgai</v>
      </c>
      <c r="I1101" s="128" t="s">
        <v>138</v>
      </c>
      <c r="J1101" s="129"/>
      <c r="K1101" s="129"/>
      <c r="L1101" s="145"/>
      <c r="M1101" s="56"/>
      <c r="N1101" s="56"/>
      <c r="O1101" s="56"/>
      <c r="P1101" s="56"/>
      <c r="Q1101" s="56"/>
      <c r="R1101" s="56"/>
      <c r="S1101" s="56"/>
      <c r="T1101" s="56"/>
      <c r="U1101" s="56"/>
      <c r="V1101" s="56"/>
      <c r="W1101" s="56"/>
      <c r="X1101" s="22"/>
      <c r="Y1101" s="22"/>
      <c r="Z1101" s="22"/>
      <c r="AA1101" s="22"/>
      <c r="AB1101" s="22"/>
      <c r="AC1101" s="22"/>
      <c r="AD1101" s="22"/>
      <c r="AE1101" s="22"/>
      <c r="AF1101" s="22"/>
    </row>
    <row r="1102" ht="15.75" hidden="1" customHeight="1">
      <c r="A1102" s="116">
        <f t="shared" si="173"/>
        <v>28</v>
      </c>
      <c r="B1102" s="118">
        <v>46247.0</v>
      </c>
      <c r="C1102" s="119"/>
      <c r="D1102" s="120" t="str">
        <f t="shared" si="174"/>
        <v>Fanny</v>
      </c>
      <c r="E1102" s="121">
        <f>SUMIFS(SSOD!$C:$C,SSOD!$B:$B,Hitungan!D1102,SSOD!$A:$A,Hitungan!C1102)</f>
        <v>0</v>
      </c>
      <c r="F1102" s="122"/>
      <c r="G1102" s="124">
        <f t="shared" si="179"/>
        <v>0</v>
      </c>
      <c r="H1102" s="126" t="str">
        <f t="array" ref="H1102">INDEX('Panduan Gaji'!$Q:$Q,MATCH(D1102,'Panduan Gaji'!$C:$C,0))</f>
        <v>Fatgai</v>
      </c>
      <c r="I1102" s="128" t="s">
        <v>138</v>
      </c>
      <c r="J1102" s="129">
        <v>0.4166666666666667</v>
      </c>
      <c r="K1102" s="129">
        <v>0.9166666666666666</v>
      </c>
      <c r="L1102" s="145"/>
      <c r="M1102" s="56"/>
      <c r="N1102" s="56"/>
      <c r="O1102" s="56"/>
      <c r="P1102" s="56"/>
      <c r="Q1102" s="56"/>
      <c r="R1102" s="56"/>
      <c r="S1102" s="56"/>
      <c r="T1102" s="56"/>
      <c r="U1102" s="56"/>
      <c r="V1102" s="56"/>
      <c r="W1102" s="56"/>
      <c r="X1102" s="22"/>
      <c r="Y1102" s="22"/>
      <c r="Z1102" s="22"/>
      <c r="AA1102" s="22"/>
      <c r="AB1102" s="22"/>
      <c r="AC1102" s="22"/>
      <c r="AD1102" s="22"/>
      <c r="AE1102" s="22"/>
      <c r="AF1102" s="22"/>
    </row>
    <row r="1103" ht="15.75" hidden="1" customHeight="1">
      <c r="A1103" s="116">
        <f t="shared" si="173"/>
        <v>28</v>
      </c>
      <c r="B1103" s="118">
        <v>46248.0</v>
      </c>
      <c r="C1103" s="119"/>
      <c r="D1103" s="120" t="str">
        <f t="shared" si="174"/>
        <v>Fanny</v>
      </c>
      <c r="E1103" s="121">
        <f>SUMIFS(SSOD!$C:$C,SSOD!$B:$B,Hitungan!D1103,SSOD!$A:$A,Hitungan!C1103)</f>
        <v>0</v>
      </c>
      <c r="F1103" s="122"/>
      <c r="G1103" s="124">
        <f t="shared" si="179"/>
        <v>0</v>
      </c>
      <c r="H1103" s="126" t="str">
        <f t="array" ref="H1103">INDEX('Panduan Gaji'!$Q:$Q,MATCH(D1103,'Panduan Gaji'!$C:$C,0))</f>
        <v>Fatgai</v>
      </c>
      <c r="I1103" s="128" t="s">
        <v>138</v>
      </c>
      <c r="J1103" s="129">
        <v>0.4166666666666667</v>
      </c>
      <c r="K1103" s="129">
        <v>0.9166666666666666</v>
      </c>
      <c r="L1103" s="145"/>
      <c r="M1103" s="56"/>
      <c r="N1103" s="56"/>
      <c r="O1103" s="56"/>
      <c r="P1103" s="56"/>
      <c r="Q1103" s="56"/>
      <c r="R1103" s="56"/>
      <c r="S1103" s="56"/>
      <c r="T1103" s="56"/>
      <c r="U1103" s="56"/>
      <c r="V1103" s="56"/>
      <c r="W1103" s="56"/>
      <c r="X1103" s="22"/>
      <c r="Y1103" s="22"/>
      <c r="Z1103" s="22"/>
      <c r="AA1103" s="22"/>
      <c r="AB1103" s="22"/>
      <c r="AC1103" s="22"/>
      <c r="AD1103" s="22"/>
      <c r="AE1103" s="22"/>
      <c r="AF1103" s="22"/>
    </row>
    <row r="1104" ht="15.75" hidden="1" customHeight="1">
      <c r="A1104" s="116">
        <f t="shared" si="173"/>
        <v>28</v>
      </c>
      <c r="B1104" s="118">
        <v>46249.0</v>
      </c>
      <c r="C1104" s="119"/>
      <c r="D1104" s="120" t="str">
        <f t="shared" si="174"/>
        <v>Fanny</v>
      </c>
      <c r="E1104" s="121">
        <f>SUMIFS(SSOD!$C:$C,SSOD!$B:$B,Hitungan!D1104,SSOD!$A:$A,Hitungan!C1104)</f>
        <v>0</v>
      </c>
      <c r="F1104" s="122"/>
      <c r="G1104" s="124">
        <f t="shared" si="179"/>
        <v>0</v>
      </c>
      <c r="H1104" s="126" t="str">
        <f t="array" ref="H1104">INDEX('Panduan Gaji'!$Q:$Q,MATCH(D1104,'Panduan Gaji'!$C:$C,0))</f>
        <v>Fatgai</v>
      </c>
      <c r="I1104" s="128" t="s">
        <v>138</v>
      </c>
      <c r="J1104" s="129">
        <v>0.4166666666666667</v>
      </c>
      <c r="K1104" s="129">
        <v>0.9166666666666666</v>
      </c>
      <c r="L1104" s="145"/>
      <c r="M1104" s="56"/>
      <c r="N1104" s="56"/>
      <c r="O1104" s="56"/>
      <c r="P1104" s="56"/>
      <c r="Q1104" s="56"/>
      <c r="R1104" s="56"/>
      <c r="S1104" s="56"/>
      <c r="T1104" s="56"/>
      <c r="U1104" s="56"/>
      <c r="V1104" s="56"/>
      <c r="W1104" s="56"/>
      <c r="X1104" s="22"/>
      <c r="Y1104" s="22"/>
      <c r="Z1104" s="22"/>
      <c r="AA1104" s="22"/>
      <c r="AB1104" s="22"/>
      <c r="AC1104" s="22"/>
      <c r="AD1104" s="22"/>
      <c r="AE1104" s="22"/>
      <c r="AF1104" s="22"/>
    </row>
    <row r="1105" ht="15.75" hidden="1" customHeight="1">
      <c r="A1105" s="116">
        <f t="shared" si="173"/>
        <v>28</v>
      </c>
      <c r="B1105" s="118">
        <v>46250.0</v>
      </c>
      <c r="C1105" s="119"/>
      <c r="D1105" s="120" t="str">
        <f t="shared" si="174"/>
        <v>Fanny</v>
      </c>
      <c r="E1105" s="121">
        <f>SUMIFS(SSOD!$C:$C,SSOD!$B:$B,Hitungan!D1105,SSOD!$A:$A,Hitungan!C1105)</f>
        <v>0</v>
      </c>
      <c r="F1105" s="122"/>
      <c r="G1105" s="124">
        <f t="shared" si="179"/>
        <v>0</v>
      </c>
      <c r="H1105" s="126" t="str">
        <f t="array" ref="H1105">INDEX('Panduan Gaji'!$Q:$Q,MATCH(D1105,'Panduan Gaji'!$C:$C,0))</f>
        <v>Fatgai</v>
      </c>
      <c r="I1105" s="128" t="s">
        <v>138</v>
      </c>
      <c r="J1105" s="129">
        <v>0.4166666666666667</v>
      </c>
      <c r="K1105" s="129">
        <v>0.9166666666666666</v>
      </c>
      <c r="L1105" s="145"/>
      <c r="M1105" s="56"/>
      <c r="N1105" s="56"/>
      <c r="O1105" s="56"/>
      <c r="P1105" s="56"/>
      <c r="Q1105" s="56"/>
      <c r="R1105" s="56"/>
      <c r="S1105" s="56"/>
      <c r="T1105" s="56"/>
      <c r="U1105" s="56"/>
      <c r="V1105" s="56"/>
      <c r="W1105" s="56"/>
      <c r="X1105" s="22"/>
      <c r="Y1105" s="22"/>
      <c r="Z1105" s="22"/>
      <c r="AA1105" s="22"/>
      <c r="AB1105" s="22"/>
      <c r="AC1105" s="22"/>
      <c r="AD1105" s="22"/>
      <c r="AE1105" s="22"/>
      <c r="AF1105" s="22"/>
    </row>
    <row r="1106" ht="15.75" hidden="1" customHeight="1">
      <c r="A1106" s="116">
        <f t="shared" si="173"/>
        <v>28</v>
      </c>
      <c r="B1106" s="118">
        <v>46251.0</v>
      </c>
      <c r="C1106" s="119"/>
      <c r="D1106" s="120" t="str">
        <f t="shared" si="174"/>
        <v>Fanny</v>
      </c>
      <c r="E1106" s="121">
        <f>SUMIFS(SSOD!$C:$C,SSOD!$B:$B,Hitungan!D1106,SSOD!$A:$A,Hitungan!C1106)</f>
        <v>0</v>
      </c>
      <c r="F1106" s="122"/>
      <c r="G1106" s="124">
        <f t="shared" si="179"/>
        <v>0</v>
      </c>
      <c r="H1106" s="126" t="str">
        <f t="array" ref="H1106">INDEX('Panduan Gaji'!$Q:$Q,MATCH(D1106,'Panduan Gaji'!$C:$C,0))</f>
        <v>Fatgai</v>
      </c>
      <c r="I1106" s="128" t="s">
        <v>138</v>
      </c>
      <c r="J1106" s="129"/>
      <c r="K1106" s="129"/>
      <c r="L1106" s="119"/>
      <c r="M1106" s="56"/>
      <c r="N1106" s="56"/>
      <c r="O1106" s="56"/>
      <c r="P1106" s="56"/>
      <c r="Q1106" s="56"/>
      <c r="R1106" s="56"/>
      <c r="S1106" s="56"/>
      <c r="T1106" s="56"/>
      <c r="U1106" s="56"/>
      <c r="V1106" s="56"/>
      <c r="W1106" s="56"/>
      <c r="X1106" s="22"/>
      <c r="Y1106" s="22"/>
      <c r="Z1106" s="22"/>
      <c r="AA1106" s="22"/>
      <c r="AB1106" s="22"/>
      <c r="AC1106" s="22"/>
      <c r="AD1106" s="22"/>
      <c r="AE1106" s="22"/>
      <c r="AF1106" s="22"/>
    </row>
    <row r="1107" ht="15.75" hidden="1" customHeight="1">
      <c r="A1107" s="116">
        <f t="shared" si="173"/>
        <v>28</v>
      </c>
      <c r="B1107" s="118">
        <v>46252.0</v>
      </c>
      <c r="C1107" s="119"/>
      <c r="D1107" s="120" t="str">
        <f t="shared" si="174"/>
        <v>Fanny</v>
      </c>
      <c r="E1107" s="121">
        <f>SUMIFS(SSOD!$C:$C,SSOD!$B:$B,Hitungan!D1107,SSOD!$A:$A,Hitungan!C1107)</f>
        <v>0</v>
      </c>
      <c r="F1107" s="122"/>
      <c r="G1107" s="124">
        <f t="shared" si="179"/>
        <v>0</v>
      </c>
      <c r="H1107" s="126" t="str">
        <f t="array" ref="H1107">INDEX('Panduan Gaji'!$Q:$Q,MATCH(D1107,'Panduan Gaji'!$C:$C,0))</f>
        <v>Fatgai</v>
      </c>
      <c r="I1107" s="128" t="s">
        <v>138</v>
      </c>
      <c r="J1107" s="129">
        <v>0.4166666666666667</v>
      </c>
      <c r="K1107" s="129">
        <v>0.9166666666666666</v>
      </c>
      <c r="L1107" s="119"/>
      <c r="M1107" s="56"/>
      <c r="N1107" s="56"/>
      <c r="O1107" s="56"/>
      <c r="P1107" s="56"/>
      <c r="Q1107" s="56"/>
      <c r="R1107" s="56"/>
      <c r="S1107" s="56"/>
      <c r="T1107" s="56"/>
      <c r="U1107" s="56"/>
      <c r="V1107" s="56"/>
      <c r="W1107" s="56"/>
      <c r="X1107" s="22"/>
      <c r="Y1107" s="22"/>
      <c r="Z1107" s="22"/>
      <c r="AA1107" s="22"/>
      <c r="AB1107" s="22"/>
      <c r="AC1107" s="22"/>
      <c r="AD1107" s="22"/>
      <c r="AE1107" s="22"/>
      <c r="AF1107" s="22"/>
    </row>
    <row r="1108" ht="15.75" hidden="1" customHeight="1">
      <c r="A1108" s="116">
        <f t="shared" si="173"/>
        <v>28</v>
      </c>
      <c r="B1108" s="118">
        <v>46253.0</v>
      </c>
      <c r="C1108" s="119"/>
      <c r="D1108" s="120" t="str">
        <f t="shared" si="174"/>
        <v>Fanny</v>
      </c>
      <c r="E1108" s="121">
        <f>SUMIFS(SSOD!$C:$C,SSOD!$B:$B,Hitungan!D1108,SSOD!$A:$A,Hitungan!C1108)</f>
        <v>0</v>
      </c>
      <c r="F1108" s="122"/>
      <c r="G1108" s="124">
        <f t="shared" si="179"/>
        <v>0</v>
      </c>
      <c r="H1108" s="126" t="str">
        <f t="array" ref="H1108">INDEX('Panduan Gaji'!$Q:$Q,MATCH(D1108,'Panduan Gaji'!$C:$C,0))</f>
        <v>Fatgai</v>
      </c>
      <c r="I1108" s="128" t="s">
        <v>138</v>
      </c>
      <c r="J1108" s="129">
        <v>0.4166666666666667</v>
      </c>
      <c r="K1108" s="129">
        <v>0.9166666666666666</v>
      </c>
      <c r="L1108" s="119"/>
      <c r="M1108" s="56"/>
      <c r="N1108" s="56"/>
      <c r="O1108" s="56"/>
      <c r="P1108" s="56"/>
      <c r="Q1108" s="56"/>
      <c r="R1108" s="56"/>
      <c r="S1108" s="56"/>
      <c r="T1108" s="56"/>
      <c r="U1108" s="56"/>
      <c r="V1108" s="56"/>
      <c r="W1108" s="56"/>
      <c r="X1108" s="22"/>
      <c r="Y1108" s="22"/>
      <c r="Z1108" s="22"/>
      <c r="AA1108" s="22"/>
      <c r="AB1108" s="22"/>
      <c r="AC1108" s="22"/>
      <c r="AD1108" s="22"/>
      <c r="AE1108" s="22"/>
      <c r="AF1108" s="22"/>
    </row>
    <row r="1109" ht="15.75" hidden="1" customHeight="1">
      <c r="A1109" s="116">
        <f t="shared" si="173"/>
        <v>28</v>
      </c>
      <c r="B1109" s="118">
        <v>46254.0</v>
      </c>
      <c r="C1109" s="119"/>
      <c r="D1109" s="120" t="str">
        <f t="shared" si="174"/>
        <v>Fanny</v>
      </c>
      <c r="E1109" s="121">
        <f>SUMIFS(SSOD!$C:$C,SSOD!$B:$B,Hitungan!D1109,SSOD!$A:$A,Hitungan!C1109)</f>
        <v>0</v>
      </c>
      <c r="F1109" s="122"/>
      <c r="G1109" s="124">
        <f t="shared" si="179"/>
        <v>0</v>
      </c>
      <c r="H1109" s="126" t="str">
        <f t="array" ref="H1109">INDEX('Panduan Gaji'!$Q:$Q,MATCH(D1109,'Panduan Gaji'!$C:$C,0))</f>
        <v>Fatgai</v>
      </c>
      <c r="I1109" s="128" t="s">
        <v>138</v>
      </c>
      <c r="J1109" s="129">
        <v>0.4166666666666667</v>
      </c>
      <c r="K1109" s="129">
        <v>0.9166666666666666</v>
      </c>
      <c r="L1109" s="145"/>
      <c r="M1109" s="56"/>
      <c r="N1109" s="56"/>
      <c r="O1109" s="56"/>
      <c r="P1109" s="56"/>
      <c r="Q1109" s="56"/>
      <c r="R1109" s="56"/>
      <c r="S1109" s="56"/>
      <c r="T1109" s="56"/>
      <c r="U1109" s="56"/>
      <c r="V1109" s="56"/>
      <c r="W1109" s="56"/>
      <c r="X1109" s="22"/>
      <c r="Y1109" s="22"/>
      <c r="Z1109" s="22"/>
      <c r="AA1109" s="22"/>
      <c r="AB1109" s="22"/>
      <c r="AC1109" s="22"/>
      <c r="AD1109" s="22"/>
      <c r="AE1109" s="22"/>
      <c r="AF1109" s="22"/>
    </row>
    <row r="1110" ht="15.75" hidden="1" customHeight="1">
      <c r="A1110" s="116">
        <f t="shared" si="173"/>
        <v>28</v>
      </c>
      <c r="B1110" s="118">
        <v>46255.0</v>
      </c>
      <c r="C1110" s="119"/>
      <c r="D1110" s="120" t="str">
        <f t="shared" si="174"/>
        <v>Fanny</v>
      </c>
      <c r="E1110" s="121">
        <f>SUMIFS(SSOD!$C:$C,SSOD!$B:$B,Hitungan!D1110,SSOD!$A:$A,Hitungan!C1110)</f>
        <v>0</v>
      </c>
      <c r="F1110" s="122"/>
      <c r="G1110" s="124">
        <f t="shared" si="179"/>
        <v>0</v>
      </c>
      <c r="H1110" s="126" t="str">
        <f t="array" ref="H1110">INDEX('Panduan Gaji'!$Q:$Q,MATCH(D1110,'Panduan Gaji'!$C:$C,0))</f>
        <v>Fatgai</v>
      </c>
      <c r="I1110" s="128" t="s">
        <v>138</v>
      </c>
      <c r="J1110" s="129">
        <v>0.4166666666666667</v>
      </c>
      <c r="K1110" s="129">
        <v>0.9166666666666666</v>
      </c>
      <c r="L1110" s="119"/>
      <c r="M1110" s="56"/>
      <c r="N1110" s="56"/>
      <c r="O1110" s="56"/>
      <c r="P1110" s="56"/>
      <c r="Q1110" s="56"/>
      <c r="R1110" s="56"/>
      <c r="S1110" s="56"/>
      <c r="T1110" s="56"/>
      <c r="U1110" s="56"/>
      <c r="V1110" s="56"/>
      <c r="W1110" s="56"/>
      <c r="X1110" s="22"/>
      <c r="Y1110" s="22"/>
      <c r="Z1110" s="22"/>
      <c r="AA1110" s="22"/>
      <c r="AB1110" s="22"/>
      <c r="AC1110" s="22"/>
      <c r="AD1110" s="22"/>
      <c r="AE1110" s="22"/>
      <c r="AF1110" s="22"/>
    </row>
    <row r="1111" ht="15.75" hidden="1" customHeight="1">
      <c r="A1111" s="116">
        <f t="shared" si="173"/>
        <v>28</v>
      </c>
      <c r="B1111" s="118">
        <v>46256.0</v>
      </c>
      <c r="C1111" s="119"/>
      <c r="D1111" s="120" t="str">
        <f t="shared" si="174"/>
        <v>Fanny</v>
      </c>
      <c r="E1111" s="121">
        <f>SUMIFS(SSOD!$C:$C,SSOD!$B:$B,Hitungan!D1111,SSOD!$A:$A,Hitungan!C1111)</f>
        <v>0</v>
      </c>
      <c r="F1111" s="122"/>
      <c r="G1111" s="124">
        <f t="shared" si="179"/>
        <v>0</v>
      </c>
      <c r="H1111" s="126" t="str">
        <f t="array" ref="H1111">INDEX('Panduan Gaji'!$Q:$Q,MATCH(D1111,'Panduan Gaji'!$C:$C,0))</f>
        <v>Fatgai</v>
      </c>
      <c r="I1111" s="128" t="s">
        <v>138</v>
      </c>
      <c r="J1111" s="129">
        <v>0.4166666666666667</v>
      </c>
      <c r="K1111" s="129">
        <v>0.9166666666666666</v>
      </c>
      <c r="L1111" s="119"/>
      <c r="M1111" s="56"/>
      <c r="N1111" s="56"/>
      <c r="O1111" s="56"/>
      <c r="P1111" s="56"/>
      <c r="Q1111" s="56"/>
      <c r="R1111" s="56"/>
      <c r="S1111" s="56"/>
      <c r="T1111" s="56"/>
      <c r="U1111" s="56"/>
      <c r="V1111" s="56"/>
      <c r="W1111" s="56"/>
      <c r="X1111" s="22"/>
      <c r="Y1111" s="22"/>
      <c r="Z1111" s="22"/>
      <c r="AA1111" s="22"/>
      <c r="AB1111" s="22"/>
      <c r="AC1111" s="22"/>
      <c r="AD1111" s="22"/>
      <c r="AE1111" s="22"/>
      <c r="AF1111" s="22"/>
    </row>
    <row r="1112" ht="15.75" hidden="1" customHeight="1">
      <c r="A1112" s="116">
        <f t="shared" si="173"/>
        <v>28</v>
      </c>
      <c r="B1112" s="118">
        <v>46257.0</v>
      </c>
      <c r="C1112" s="119"/>
      <c r="D1112" s="120" t="str">
        <f t="shared" si="174"/>
        <v>Fanny</v>
      </c>
      <c r="E1112" s="121">
        <f>SUMIFS(SSOD!$C:$C,SSOD!$B:$B,Hitungan!D1112,SSOD!$A:$A,Hitungan!C1112)</f>
        <v>0</v>
      </c>
      <c r="F1112" s="122"/>
      <c r="G1112" s="124">
        <f t="shared" si="179"/>
        <v>0</v>
      </c>
      <c r="H1112" s="126" t="str">
        <f t="array" ref="H1112">INDEX('Panduan Gaji'!$Q:$Q,MATCH(D1112,'Panduan Gaji'!$C:$C,0))</f>
        <v>Fatgai</v>
      </c>
      <c r="I1112" s="128" t="s">
        <v>138</v>
      </c>
      <c r="J1112" s="129">
        <v>0.4166666666666667</v>
      </c>
      <c r="K1112" s="129">
        <v>0.9166666666666666</v>
      </c>
      <c r="L1112" s="119"/>
      <c r="M1112" s="56"/>
      <c r="N1112" s="56"/>
      <c r="O1112" s="56"/>
      <c r="P1112" s="56"/>
      <c r="Q1112" s="56"/>
      <c r="R1112" s="56"/>
      <c r="S1112" s="56"/>
      <c r="T1112" s="56"/>
      <c r="U1112" s="56"/>
      <c r="V1112" s="56"/>
      <c r="W1112" s="56"/>
      <c r="X1112" s="22"/>
      <c r="Y1112" s="22"/>
      <c r="Z1112" s="22"/>
      <c r="AA1112" s="22"/>
      <c r="AB1112" s="22"/>
      <c r="AC1112" s="22"/>
      <c r="AD1112" s="22"/>
      <c r="AE1112" s="22"/>
      <c r="AF1112" s="22"/>
    </row>
    <row r="1113" ht="15.75" hidden="1" customHeight="1">
      <c r="A1113" s="116">
        <f t="shared" si="173"/>
        <v>28</v>
      </c>
      <c r="B1113" s="118">
        <v>46258.0</v>
      </c>
      <c r="C1113" s="119"/>
      <c r="D1113" s="120" t="str">
        <f t="shared" si="174"/>
        <v>Fanny</v>
      </c>
      <c r="E1113" s="121">
        <f>SUMIFS(SSOD!$C:$C,SSOD!$B:$B,Hitungan!D1113,SSOD!$A:$A,Hitungan!C1113)</f>
        <v>0</v>
      </c>
      <c r="F1113" s="122"/>
      <c r="G1113" s="124">
        <f t="shared" si="179"/>
        <v>0</v>
      </c>
      <c r="H1113" s="220" t="str">
        <f t="array" ref="H1113">INDEX('Panduan Gaji'!$Q:$Q,MATCH(D1113,'Panduan Gaji'!$C:$C,0))</f>
        <v>Fatgai</v>
      </c>
      <c r="I1113" s="128" t="s">
        <v>138</v>
      </c>
      <c r="J1113" s="129">
        <v>0.4166666666666667</v>
      </c>
      <c r="K1113" s="129">
        <v>0.9166666666666666</v>
      </c>
      <c r="L1113" s="119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</row>
    <row r="1114" ht="15.75" hidden="1" customHeight="1">
      <c r="A1114" s="222"/>
      <c r="B1114" s="223"/>
      <c r="C1114" s="224"/>
      <c r="D1114" s="225"/>
      <c r="E1114" s="226"/>
      <c r="F1114" s="227"/>
      <c r="G1114" s="228"/>
      <c r="H1114" s="229"/>
      <c r="I1114" s="22"/>
      <c r="J1114" s="230"/>
      <c r="K1114" s="230"/>
      <c r="L1114" s="224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</row>
  </sheetData>
  <autoFilter ref="$A$1:$L$1114">
    <filterColumn colId="3">
      <filters>
        <filter val="Made"/>
      </filters>
    </filterColumn>
  </autoFilter>
  <conditionalFormatting sqref="C1">
    <cfRule type="containsText" dxfId="0" priority="1" operator="containsText" text="Kasbon">
      <formula>NOT(ISERROR(SEARCH(("Kasbon"),(C1))))</formula>
    </cfRule>
  </conditionalFormatting>
  <conditionalFormatting sqref="C1">
    <cfRule type="containsText" dxfId="0" priority="2" operator="containsText" text="Keterlambatan">
      <formula>NOT(ISERROR(SEARCH(("Keterlambatan"),(C1))))</formula>
    </cfRule>
  </conditionalFormatting>
  <conditionalFormatting sqref="C1:C41 C44:C83 C86:C127 C130:C169 C172:C211 C214:C252 C255:C293 C296:C334 C337:C375 C378:C416 C419:C457 C460:C498 C501:C539 C542:C580 C583:C621 C624:C662 C665:C703 C706:C744 C746:C784 C787:C825 C828:C866 C869:C907 C910:C948 C951:C989 C992:C1030">
    <cfRule type="cellIs" dxfId="0" priority="3" operator="equal">
      <formula>"Keterlambatan"</formula>
    </cfRule>
  </conditionalFormatting>
  <conditionalFormatting sqref="C1:D41 C44:D83 C86:D127 C130:D169 C172:D211 C214:D252 C255:D293 C296:D334 C337:D375 C378:D416 C419:D457 C460:D498 C501:D539 C542:D580 C583:D621 C624:D662 C665:D703 C706:D744 C746:D784 C787:D825 C828:D866 C869:D907 C910:D948 C951:D989 C992:D1030">
    <cfRule type="cellIs" dxfId="0" priority="4" operator="equal">
      <formula>"Kasbon"</formula>
    </cfRule>
  </conditionalFormatting>
  <conditionalFormatting sqref="H1:H41 H44:H83 H86:H127 H130:H169 H172:H211 H214:H252 H255:H293 H296:H334 H337:H375 H378:H416 H419:H457 H460:H498 H501:H539 H542:H580 H583:H621 H624:H662 H665:H703 H706:H744 H746:H784 H787:H825 H828:H866 H869:H907 H910:H948 H951:H989 H992:H1030 I11:I41 I53:I83 I97:I127 I139:I169 I182:I211 I223:I252 I264:I293 I305:I334 I346:I375 I387:I416 I428:I457 I469:I498 I510:I539 I551:I580 I592:I621 I633:I662 I674:I703 I715:I744 I755:I784 I796:I825 I837:I866 I878:I907 I919:I948 I960:I989 I1001:I1030">
    <cfRule type="cellIs" dxfId="2" priority="5" operator="equal">
      <formula>"OFF"</formula>
    </cfRule>
  </conditionalFormatting>
  <conditionalFormatting sqref="I1:I2 I44 I86 I130 I172 I214 I255 I296 I337 I378 I419 I460 I501 I542 I583 I624 I665 I706 I746 I787 I828 I869 I910 I951 I992">
    <cfRule type="cellIs" dxfId="2" priority="6" operator="equal">
      <formula>"OFF"</formula>
    </cfRule>
  </conditionalFormatting>
  <conditionalFormatting sqref="J11:J486 J488:J1073">
    <cfRule type="expression" dxfId="3" priority="7">
      <formula>$J11&gt;=TIME(10,6,0)</formula>
    </cfRule>
  </conditionalFormatting>
  <printOptions horizontalCentered="1"/>
  <pageMargins bottom="0.7480314960629921" footer="0.0" header="0.0" left="0.7086614173228347" right="0.7086614173228347" top="0.7480314960629921"/>
  <pageSetup fitToHeight="0"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9.88"/>
    <col customWidth="1" min="3" max="3" width="9.63"/>
    <col customWidth="1" min="4" max="4" width="10.63"/>
    <col customWidth="1" min="5" max="5" width="9.75"/>
    <col customWidth="1" min="6" max="18" width="8.63"/>
  </cols>
  <sheetData>
    <row r="1" ht="13.5" customHeight="1">
      <c r="A1" s="6" t="s">
        <v>2</v>
      </c>
      <c r="B1" s="6" t="s">
        <v>3</v>
      </c>
      <c r="C1" s="12" t="s">
        <v>13</v>
      </c>
      <c r="D1" s="6" t="s">
        <v>21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21"/>
      <c r="T1" s="21"/>
      <c r="U1" s="21"/>
      <c r="V1" s="21"/>
      <c r="W1" s="21"/>
      <c r="X1" s="21"/>
    </row>
    <row r="2" ht="13.5" hidden="1" customHeight="1">
      <c r="A2" s="25" t="s">
        <v>6</v>
      </c>
      <c r="B2" s="35" t="s">
        <v>43</v>
      </c>
      <c r="C2" s="52">
        <f t="array" ref="C2">INDEX('Panduan Gaji'!$G:$G,MATCH(SSOD!B2,'Panduan Gaji'!$C:$C,0))</f>
        <v>1260000</v>
      </c>
      <c r="D2" s="61" t="str">
        <f t="array" ref="D2">INDEX('Panduan Gaji'!$Q:$Q,MATCH(SSOD!B2,'Panduan Gaji'!$C:$C,0))</f>
        <v>Joglo</v>
      </c>
      <c r="E2" s="22"/>
      <c r="F2" s="63"/>
      <c r="G2" s="63"/>
      <c r="H2" s="22"/>
      <c r="I2" s="63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ht="13.5" hidden="1" customHeight="1">
      <c r="A3" s="25" t="s">
        <v>17</v>
      </c>
      <c r="B3" s="35" t="str">
        <f t="shared" ref="B3:B7" si="1">B2</f>
        <v>Renaldi</v>
      </c>
      <c r="C3" s="52" t="str">
        <f t="array" ref="C3">INDEX('Panduan Gaji'!$F:$F,MATCH(SSOD!B3,'Panduan Gaji'!$C:$C,0))</f>
        <v/>
      </c>
      <c r="D3" s="61" t="str">
        <f t="array" ref="D3">INDEX('Panduan Gaji'!$Q:$Q,MATCH(SSOD!B3,'Panduan Gaji'!$C:$C,0))</f>
        <v>Joglo</v>
      </c>
      <c r="E3" s="22"/>
      <c r="F3" s="63"/>
      <c r="G3" s="63"/>
      <c r="H3" s="22"/>
      <c r="I3" s="63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ht="13.5" hidden="1" customHeight="1">
      <c r="A4" s="25" t="s">
        <v>7</v>
      </c>
      <c r="B4" s="35" t="str">
        <f t="shared" si="1"/>
        <v>Renaldi</v>
      </c>
      <c r="C4" s="52">
        <f t="array" ref="C4">INDEX('Panduan Gaji'!$H:$H,MATCH(SSOD!B4,'Panduan Gaji'!$C:$C,0))</f>
        <v>65000</v>
      </c>
      <c r="D4" s="61" t="str">
        <f t="array" ref="D4">INDEX('Panduan Gaji'!$Q:$Q,MATCH(SSOD!B4,'Panduan Gaji'!$C:$C,0))</f>
        <v>Joglo</v>
      </c>
      <c r="E4" s="22"/>
      <c r="F4" s="63"/>
      <c r="G4" s="63"/>
      <c r="H4" s="22"/>
      <c r="I4" s="63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ht="13.5" hidden="1" customHeight="1">
      <c r="A5" s="25" t="s">
        <v>9</v>
      </c>
      <c r="B5" s="35" t="str">
        <f t="shared" si="1"/>
        <v>Renaldi</v>
      </c>
      <c r="C5" s="52">
        <f t="array" ref="C5">INDEX('Panduan Gaji'!$I:$I,MATCH(SSOD!B5,'Panduan Gaji'!$C:$C,0))</f>
        <v>57500</v>
      </c>
      <c r="D5" s="61" t="str">
        <f t="array" ref="D5">INDEX('Panduan Gaji'!$Q:$Q,MATCH(SSOD!B5,'Panduan Gaji'!$C:$C,0))</f>
        <v>Joglo</v>
      </c>
      <c r="E5" s="22"/>
      <c r="F5" s="63"/>
      <c r="G5" s="63"/>
      <c r="H5" s="22"/>
      <c r="I5" s="63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ht="13.5" hidden="1" customHeight="1">
      <c r="A6" s="35" t="s">
        <v>12</v>
      </c>
      <c r="B6" s="35" t="str">
        <f t="shared" si="1"/>
        <v>Renaldi</v>
      </c>
      <c r="C6" s="52">
        <f t="array" ref="C6">INDEX('Panduan Gaji'!$L:$L,MATCH(SSOD!B6,'Panduan Gaji'!$C:$C,0))</f>
        <v>19166.66667</v>
      </c>
      <c r="D6" s="61" t="str">
        <f t="array" ref="D6">INDEX('Panduan Gaji'!$Q:$Q,MATCH(SSOD!B6,'Panduan Gaji'!$C:$C,0))</f>
        <v>Joglo</v>
      </c>
      <c r="E6" s="22"/>
      <c r="F6" s="107"/>
      <c r="G6" s="107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ht="13.5" hidden="1" customHeight="1">
      <c r="A7" s="35" t="s">
        <v>30</v>
      </c>
      <c r="B7" s="35" t="str">
        <f t="shared" si="1"/>
        <v>Renaldi</v>
      </c>
      <c r="C7" s="52">
        <f t="array" ref="C7">INDEX('Panduan Gaji'!$K:$K,MATCH(SSOD!B7,'Panduan Gaji'!$C:$C,0))</f>
        <v>19166.66667</v>
      </c>
      <c r="D7" s="61" t="str">
        <f t="array" ref="D7">INDEX('Panduan Gaji'!$Q:$Q,MATCH(SSOD!B7,'Panduan Gaji'!$C:$C,0))</f>
        <v>Joglo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ht="13.5" hidden="1" customHeight="1">
      <c r="A8" s="25"/>
      <c r="B8" s="35"/>
      <c r="C8" s="52"/>
      <c r="D8" s="6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ht="13.5" hidden="1" customHeight="1">
      <c r="A9" s="25" t="s">
        <v>6</v>
      </c>
      <c r="B9" s="35" t="s">
        <v>49</v>
      </c>
      <c r="C9" s="52">
        <f t="array" ref="C9">INDEX('Panduan Gaji'!$G:$G,MATCH(SSOD!B9,'Panduan Gaji'!$C:$C,0))</f>
        <v>1250000</v>
      </c>
      <c r="D9" s="61" t="str">
        <f t="array" ref="D9">INDEX('Panduan Gaji'!$Q:$Q,MATCH(SSOD!B9,'Panduan Gaji'!$C:$C,0))</f>
        <v>Joglo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ht="13.5" hidden="1" customHeight="1">
      <c r="A10" s="25" t="s">
        <v>17</v>
      </c>
      <c r="B10" s="35" t="str">
        <f t="shared" ref="B10:B14" si="2">B9</f>
        <v>Ano</v>
      </c>
      <c r="C10" s="52" t="str">
        <f t="array" ref="C10">INDEX('Panduan Gaji'!$F:$F,MATCH(SSOD!B10,'Panduan Gaji'!$C:$C,0))</f>
        <v/>
      </c>
      <c r="D10" s="61" t="str">
        <f t="array" ref="D10">INDEX('Panduan Gaji'!$Q:$Q,MATCH(SSOD!B10,'Panduan Gaji'!$C:$C,0))</f>
        <v>Joglo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ht="13.5" hidden="1" customHeight="1">
      <c r="A11" s="25" t="s">
        <v>7</v>
      </c>
      <c r="B11" s="35" t="str">
        <f t="shared" si="2"/>
        <v>Ano</v>
      </c>
      <c r="C11" s="52">
        <f t="array" ref="C11">INDEX('Panduan Gaji'!$H:$H,MATCH(SSOD!B11,'Panduan Gaji'!$C:$C,0))</f>
        <v>45000</v>
      </c>
      <c r="D11" s="61" t="str">
        <f t="array" ref="D11">INDEX('Panduan Gaji'!$Q:$Q,MATCH(SSOD!B11,'Panduan Gaji'!$C:$C,0))</f>
        <v>Joglo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ht="13.5" hidden="1" customHeight="1">
      <c r="A12" s="25" t="s">
        <v>9</v>
      </c>
      <c r="B12" s="35" t="str">
        <f t="shared" si="2"/>
        <v>Ano</v>
      </c>
      <c r="C12" s="52">
        <f t="array" ref="C12">INDEX('Panduan Gaji'!$I:$I,MATCH(SSOD!B12,'Panduan Gaji'!$C:$C,0))</f>
        <v>55000</v>
      </c>
      <c r="D12" s="61" t="str">
        <f t="array" ref="D12">INDEX('Panduan Gaji'!$Q:$Q,MATCH(SSOD!B12,'Panduan Gaji'!$C:$C,0))</f>
        <v>Joglo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ht="13.5" hidden="1" customHeight="1">
      <c r="A13" s="35" t="s">
        <v>12</v>
      </c>
      <c r="B13" s="35" t="str">
        <f t="shared" si="2"/>
        <v>Ano</v>
      </c>
      <c r="C13" s="52">
        <f t="array" ref="C13">INDEX('Panduan Gaji'!$L:$L,MATCH(SSOD!B13,'Panduan Gaji'!$C:$C,0))</f>
        <v>18333.33333</v>
      </c>
      <c r="D13" s="61" t="str">
        <f t="array" ref="D13">INDEX('Panduan Gaji'!$Q:$Q,MATCH(SSOD!B13,'Panduan Gaji'!$C:$C,0))</f>
        <v>Joglo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ht="13.5" hidden="1" customHeight="1">
      <c r="A14" s="35" t="s">
        <v>30</v>
      </c>
      <c r="B14" s="35" t="str">
        <f t="shared" si="2"/>
        <v>Ano</v>
      </c>
      <c r="C14" s="52">
        <f t="array" ref="C14">INDEX('Panduan Gaji'!$K:$K,MATCH(SSOD!B14,'Panduan Gaji'!$C:$C,0))</f>
        <v>18333.33333</v>
      </c>
      <c r="D14" s="61" t="str">
        <f t="array" ref="D14">INDEX('Panduan Gaji'!$Q:$Q,MATCH(SSOD!B14,'Panduan Gaji'!$C:$C,0))</f>
        <v>Joglo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ht="13.5" hidden="1" customHeight="1">
      <c r="A15" s="25"/>
      <c r="B15" s="35"/>
      <c r="C15" s="52"/>
      <c r="D15" s="6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ht="13.5" hidden="1" customHeight="1">
      <c r="A16" s="25" t="s">
        <v>6</v>
      </c>
      <c r="B16" s="35" t="s">
        <v>50</v>
      </c>
      <c r="C16" s="52">
        <f t="array" ref="C16">INDEX('Panduan Gaji'!$G:$G,MATCH(SSOD!B16,'Panduan Gaji'!$C:$C,0))</f>
        <v>1250000</v>
      </c>
      <c r="D16" s="61" t="str">
        <f t="array" ref="D16">INDEX('Panduan Gaji'!$Q:$Q,MATCH(SSOD!B16,'Panduan Gaji'!$C:$C,0))</f>
        <v>Joglo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ht="13.5" hidden="1" customHeight="1">
      <c r="A17" s="25" t="s">
        <v>17</v>
      </c>
      <c r="B17" s="35" t="str">
        <f t="shared" ref="B17:B21" si="3">B16</f>
        <v>Raihan</v>
      </c>
      <c r="C17" s="52" t="str">
        <f t="array" ref="C17">INDEX('Panduan Gaji'!$F:$F,MATCH(SSOD!B17,'Panduan Gaji'!$C:$C,0))</f>
        <v/>
      </c>
      <c r="D17" s="61" t="str">
        <f t="array" ref="D17">INDEX('Panduan Gaji'!$Q:$Q,MATCH(SSOD!B17,'Panduan Gaji'!$C:$C,0))</f>
        <v>Joglo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ht="13.5" hidden="1" customHeight="1">
      <c r="A18" s="25" t="s">
        <v>7</v>
      </c>
      <c r="B18" s="35" t="str">
        <f t="shared" si="3"/>
        <v>Raihan</v>
      </c>
      <c r="C18" s="52">
        <f t="array" ref="C18">INDEX('Panduan Gaji'!$H:$H,MATCH(SSOD!B18,'Panduan Gaji'!$C:$C,0))</f>
        <v>45000</v>
      </c>
      <c r="D18" s="61" t="str">
        <f t="array" ref="D18">INDEX('Panduan Gaji'!$Q:$Q,MATCH(SSOD!B18,'Panduan Gaji'!$C:$C,0))</f>
        <v>Joglo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ht="13.5" hidden="1" customHeight="1">
      <c r="A19" s="25" t="s">
        <v>9</v>
      </c>
      <c r="B19" s="35" t="str">
        <f t="shared" si="3"/>
        <v>Raihan</v>
      </c>
      <c r="C19" s="52">
        <f t="array" ref="C19">INDEX('Panduan Gaji'!$I:$I,MATCH(SSOD!B19,'Panduan Gaji'!$C:$C,0))</f>
        <v>55000</v>
      </c>
      <c r="D19" s="61" t="str">
        <f t="array" ref="D19">INDEX('Panduan Gaji'!$Q:$Q,MATCH(SSOD!B19,'Panduan Gaji'!$C:$C,0))</f>
        <v>Joglo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ht="13.5" hidden="1" customHeight="1">
      <c r="A20" s="35" t="s">
        <v>12</v>
      </c>
      <c r="B20" s="35" t="str">
        <f t="shared" si="3"/>
        <v>Raihan</v>
      </c>
      <c r="C20" s="52">
        <f t="array" ref="C20">INDEX('Panduan Gaji'!$L:$L,MATCH(SSOD!B20,'Panduan Gaji'!$C:$C,0))</f>
        <v>18333.33333</v>
      </c>
      <c r="D20" s="61" t="str">
        <f t="array" ref="D20">INDEX('Panduan Gaji'!$Q:$Q,MATCH(SSOD!B20,'Panduan Gaji'!$C:$C,0))</f>
        <v>Joglo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ht="13.5" hidden="1" customHeight="1">
      <c r="A21" s="35" t="s">
        <v>30</v>
      </c>
      <c r="B21" s="35" t="str">
        <f t="shared" si="3"/>
        <v>Raihan</v>
      </c>
      <c r="C21" s="52">
        <f t="array" ref="C21">INDEX('Panduan Gaji'!$K:$K,MATCH(SSOD!B21,'Panduan Gaji'!$C:$C,0))</f>
        <v>18333.33333</v>
      </c>
      <c r="D21" s="61" t="str">
        <f t="array" ref="D21">INDEX('Panduan Gaji'!$Q:$Q,MATCH(SSOD!B21,'Panduan Gaji'!$C:$C,0))</f>
        <v>Joglo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ht="13.5" hidden="1" customHeight="1">
      <c r="A22" s="35"/>
      <c r="B22" s="35"/>
      <c r="C22" s="52"/>
      <c r="D22" s="6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ht="15.75" hidden="1" customHeight="1">
      <c r="A23" s="25" t="s">
        <v>6</v>
      </c>
      <c r="B23" s="35" t="s">
        <v>51</v>
      </c>
      <c r="C23" s="52">
        <f t="array" ref="C23">INDEX('Panduan Gaji'!$G:$G,MATCH(SSOD!B23,'Panduan Gaji'!$C:$C,0))</f>
        <v>1062500</v>
      </c>
      <c r="D23" s="61" t="str">
        <f t="array" ref="D23">INDEX('Panduan Gaji'!$Q:$Q,MATCH(SSOD!B23,'Panduan Gaji'!$C:$C,0))</f>
        <v>Joglo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ht="15.75" hidden="1" customHeight="1">
      <c r="A24" s="25" t="s">
        <v>17</v>
      </c>
      <c r="B24" s="35" t="str">
        <f t="shared" ref="B24:B28" si="4">B23</f>
        <v>Teguh</v>
      </c>
      <c r="C24" s="52" t="str">
        <f t="array" ref="C24">INDEX('Panduan Gaji'!$F:$F,MATCH(SSOD!B24,'Panduan Gaji'!$C:$C,0))</f>
        <v/>
      </c>
      <c r="D24" s="61" t="str">
        <f t="array" ref="D24">INDEX('Panduan Gaji'!$Q:$Q,MATCH(SSOD!B24,'Panduan Gaji'!$C:$C,0))</f>
        <v>Joglo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ht="15.75" hidden="1" customHeight="1">
      <c r="A25" s="25" t="s">
        <v>7</v>
      </c>
      <c r="B25" s="35" t="str">
        <f t="shared" si="4"/>
        <v>Teguh</v>
      </c>
      <c r="C25" s="52">
        <f t="array" ref="C25">INDEX('Panduan Gaji'!$H:$H,MATCH(SSOD!B25,'Panduan Gaji'!$C:$C,0))</f>
        <v>38250</v>
      </c>
      <c r="D25" s="61" t="str">
        <f t="array" ref="D25">INDEX('Panduan Gaji'!$Q:$Q,MATCH(SSOD!B25,'Panduan Gaji'!$C:$C,0))</f>
        <v>Joglo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ht="15.75" hidden="1" customHeight="1">
      <c r="A26" s="25" t="s">
        <v>9</v>
      </c>
      <c r="B26" s="35" t="str">
        <f t="shared" si="4"/>
        <v>Teguh</v>
      </c>
      <c r="C26" s="52">
        <f t="array" ref="C26">INDEX('Panduan Gaji'!$I:$I,MATCH(SSOD!B26,'Panduan Gaji'!$C:$C,0))</f>
        <v>46750</v>
      </c>
      <c r="D26" s="61" t="str">
        <f t="array" ref="D26">INDEX('Panduan Gaji'!$Q:$Q,MATCH(SSOD!B26,'Panduan Gaji'!$C:$C,0))</f>
        <v>Joglo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ht="15.75" hidden="1" customHeight="1">
      <c r="A27" s="35" t="s">
        <v>12</v>
      </c>
      <c r="B27" s="35" t="str">
        <f t="shared" si="4"/>
        <v>Teguh</v>
      </c>
      <c r="C27" s="52">
        <f t="array" ref="C27">INDEX('Panduan Gaji'!$L:$L,MATCH(SSOD!B27,'Panduan Gaji'!$C:$C,0))</f>
        <v>15583.33333</v>
      </c>
      <c r="D27" s="61" t="str">
        <f t="array" ref="D27">INDEX('Panduan Gaji'!$Q:$Q,MATCH(SSOD!B27,'Panduan Gaji'!$C:$C,0))</f>
        <v>Joglo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ht="15.75" hidden="1" customHeight="1">
      <c r="A28" s="35" t="s">
        <v>30</v>
      </c>
      <c r="B28" s="35" t="str">
        <f t="shared" si="4"/>
        <v>Teguh</v>
      </c>
      <c r="C28" s="52">
        <f t="array" ref="C28">INDEX('Panduan Gaji'!$K:$K,MATCH(SSOD!B28,'Panduan Gaji'!$C:$C,0))</f>
        <v>15583.33333</v>
      </c>
      <c r="D28" s="61" t="str">
        <f t="array" ref="D28">INDEX('Panduan Gaji'!$Q:$Q,MATCH(SSOD!B28,'Panduan Gaji'!$C:$C,0))</f>
        <v>Joglo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ht="15.75" hidden="1" customHeight="1">
      <c r="A29" s="25"/>
      <c r="B29" s="35"/>
      <c r="C29" s="52"/>
      <c r="D29" s="6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ht="15.75" hidden="1" customHeight="1">
      <c r="A30" s="25" t="s">
        <v>6</v>
      </c>
      <c r="B30" s="35" t="s">
        <v>57</v>
      </c>
      <c r="C30" s="52">
        <f t="array" ref="C30">INDEX('Panduan Gaji'!$G:$G,MATCH(SSOD!B30,'Panduan Gaji'!$C:$C,0))</f>
        <v>3220000</v>
      </c>
      <c r="D30" s="61" t="str">
        <f t="array" ref="D30">INDEX('Panduan Gaji'!$Q:$Q,MATCH(SSOD!B30,'Panduan Gaji'!$C:$C,0))</f>
        <v>GS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ht="15.75" hidden="1" customHeight="1">
      <c r="A31" s="25" t="s">
        <v>17</v>
      </c>
      <c r="B31" s="35" t="str">
        <f t="shared" ref="B31:B35" si="5">B30</f>
        <v>Sekar</v>
      </c>
      <c r="C31" s="52" t="str">
        <f t="array" ref="C31">INDEX('Panduan Gaji'!$F:$F,MATCH(SSOD!B31,'Panduan Gaji'!$C:$C,0))</f>
        <v/>
      </c>
      <c r="D31" s="61" t="str">
        <f t="array" ref="D31">INDEX('Panduan Gaji'!$Q:$Q,MATCH(SSOD!B31,'Panduan Gaji'!$C:$C,0))</f>
        <v>GS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ht="15.75" hidden="1" customHeight="1">
      <c r="A32" s="25" t="s">
        <v>7</v>
      </c>
      <c r="B32" s="35" t="str">
        <f t="shared" si="5"/>
        <v>Sekar</v>
      </c>
      <c r="C32" s="52">
        <f t="array" ref="C32">INDEX('Panduan Gaji'!$H:$H,MATCH(SSOD!B32,'Panduan Gaji'!$C:$C,0))</f>
        <v>21000</v>
      </c>
      <c r="D32" s="61" t="str">
        <f t="array" ref="D32">INDEX('Panduan Gaji'!$Q:$Q,MATCH(SSOD!B32,'Panduan Gaji'!$C:$C,0))</f>
        <v>GS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ht="15.75" hidden="1" customHeight="1">
      <c r="A33" s="25" t="s">
        <v>9</v>
      </c>
      <c r="B33" s="35" t="str">
        <f t="shared" si="5"/>
        <v>Sekar</v>
      </c>
      <c r="C33" s="52">
        <f t="array" ref="C33">INDEX('Panduan Gaji'!$I:$I,MATCH(SSOD!B33,'Panduan Gaji'!$C:$C,0))</f>
        <v>52000</v>
      </c>
      <c r="D33" s="61" t="str">
        <f t="array" ref="D33">INDEX('Panduan Gaji'!$Q:$Q,MATCH(SSOD!B33,'Panduan Gaji'!$C:$C,0))</f>
        <v>GS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ht="15.75" hidden="1" customHeight="1">
      <c r="A34" s="35" t="s">
        <v>12</v>
      </c>
      <c r="B34" s="35" t="str">
        <f t="shared" si="5"/>
        <v>Sekar</v>
      </c>
      <c r="C34" s="52">
        <f t="array" ref="C34">INDEX('Panduan Gaji'!$L:$L,MATCH(SSOD!B34,'Panduan Gaji'!$C:$C,0))</f>
        <v>17333.33333</v>
      </c>
      <c r="D34" s="61" t="str">
        <f t="array" ref="D34">INDEX('Panduan Gaji'!$Q:$Q,MATCH(SSOD!B34,'Panduan Gaji'!$C:$C,0))</f>
        <v>GS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ht="15.75" hidden="1" customHeight="1">
      <c r="A35" s="35" t="s">
        <v>30</v>
      </c>
      <c r="B35" s="35" t="str">
        <f t="shared" si="5"/>
        <v>Sekar</v>
      </c>
      <c r="C35" s="52">
        <f t="array" ref="C35">INDEX('Panduan Gaji'!$K:$K,MATCH(SSOD!B35,'Panduan Gaji'!$C:$C,0))</f>
        <v>17333.33333</v>
      </c>
      <c r="D35" s="61" t="str">
        <f t="array" ref="D35">INDEX('Panduan Gaji'!$Q:$Q,MATCH(SSOD!B35,'Panduan Gaji'!$C:$C,0))</f>
        <v>GS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ht="15.75" hidden="1" customHeight="1">
      <c r="A36" s="35"/>
      <c r="B36" s="35"/>
      <c r="C36" s="52"/>
      <c r="D36" s="6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ht="15.75" hidden="1" customHeight="1">
      <c r="A37" s="25" t="s">
        <v>6</v>
      </c>
      <c r="B37" s="35" t="s">
        <v>66</v>
      </c>
      <c r="C37" s="52">
        <f t="array" ref="C37">INDEX('Panduan Gaji'!$G:$G,MATCH(SSOD!B37,'Panduan Gaji'!$C:$C,0))</f>
        <v>2250000</v>
      </c>
      <c r="D37" s="61" t="str">
        <f t="array" ref="D37">INDEX('Panduan Gaji'!$Q:$Q,MATCH(SSOD!B37,'Panduan Gaji'!$C:$C,0))</f>
        <v>GS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ht="15.75" hidden="1" customHeight="1">
      <c r="A38" s="25" t="s">
        <v>17</v>
      </c>
      <c r="B38" s="35" t="str">
        <f t="shared" ref="B38:B42" si="6">B37</f>
        <v>Ahmad</v>
      </c>
      <c r="C38" s="52" t="str">
        <f t="array" ref="C38">INDEX('Panduan Gaji'!$F:$F,MATCH(SSOD!B38,'Panduan Gaji'!$C:$C,0))</f>
        <v/>
      </c>
      <c r="D38" s="61" t="str">
        <f t="array" ref="D38">INDEX('Panduan Gaji'!$Q:$Q,MATCH(SSOD!B38,'Panduan Gaji'!$C:$C,0))</f>
        <v>GS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ht="15.75" hidden="1" customHeight="1">
      <c r="A39" s="25" t="s">
        <v>7</v>
      </c>
      <c r="B39" s="35" t="str">
        <f t="shared" si="6"/>
        <v>Ahmad</v>
      </c>
      <c r="C39" s="52">
        <f t="array" ref="C39">INDEX('Panduan Gaji'!$H:$H,MATCH(SSOD!B39,'Panduan Gaji'!$C:$C,0))</f>
        <v>21000</v>
      </c>
      <c r="D39" s="61" t="str">
        <f t="array" ref="D39">INDEX('Panduan Gaji'!$Q:$Q,MATCH(SSOD!B39,'Panduan Gaji'!$C:$C,0))</f>
        <v>GS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ht="15.75" hidden="1" customHeight="1">
      <c r="A40" s="25" t="s">
        <v>9</v>
      </c>
      <c r="B40" s="35" t="str">
        <f t="shared" si="6"/>
        <v>Ahmad</v>
      </c>
      <c r="C40" s="52">
        <f t="array" ref="C40">INDEX('Panduan Gaji'!$I:$I,MATCH(SSOD!B40,'Panduan Gaji'!$C:$C,0))</f>
        <v>45000</v>
      </c>
      <c r="D40" s="61" t="str">
        <f t="array" ref="D40">INDEX('Panduan Gaji'!$Q:$Q,MATCH(SSOD!B40,'Panduan Gaji'!$C:$C,0))</f>
        <v>GS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ht="15.75" hidden="1" customHeight="1">
      <c r="A41" s="35" t="s">
        <v>12</v>
      </c>
      <c r="B41" s="35" t="str">
        <f t="shared" si="6"/>
        <v>Ahmad</v>
      </c>
      <c r="C41" s="52">
        <f t="array" ref="C41">INDEX('Panduan Gaji'!$L:$L,MATCH(SSOD!B41,'Panduan Gaji'!$C:$C,0))</f>
        <v>15000</v>
      </c>
      <c r="D41" s="61" t="str">
        <f t="array" ref="D41">INDEX('Panduan Gaji'!$Q:$Q,MATCH(SSOD!B41,'Panduan Gaji'!$C:$C,0))</f>
        <v>GS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ht="15.75" hidden="1" customHeight="1">
      <c r="A42" s="35" t="s">
        <v>30</v>
      </c>
      <c r="B42" s="35" t="str">
        <f t="shared" si="6"/>
        <v>Ahmad</v>
      </c>
      <c r="C42" s="52">
        <f t="array" ref="C42">INDEX('Panduan Gaji'!$K:$K,MATCH(SSOD!B42,'Panduan Gaji'!$C:$C,0))</f>
        <v>15000</v>
      </c>
      <c r="D42" s="61" t="str">
        <f t="array" ref="D42">INDEX('Panduan Gaji'!$Q:$Q,MATCH(SSOD!B42,'Panduan Gaji'!$C:$C,0))</f>
        <v>GS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ht="15.75" hidden="1" customHeight="1">
      <c r="A43" s="25"/>
      <c r="B43" s="35"/>
      <c r="C43" s="52"/>
      <c r="D43" s="61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ht="15.75" hidden="1" customHeight="1">
      <c r="A44" s="25" t="s">
        <v>6</v>
      </c>
      <c r="B44" s="35" t="s">
        <v>69</v>
      </c>
      <c r="C44" s="52">
        <f t="array" ref="C44">INDEX('Panduan Gaji'!$G:$G,MATCH(SSOD!B44,'Panduan Gaji'!$C:$C,0))</f>
        <v>2250000</v>
      </c>
      <c r="D44" s="61" t="str">
        <f t="array" ref="D44">INDEX('Panduan Gaji'!$Q:$Q,MATCH(SSOD!B44,'Panduan Gaji'!$C:$C,0))</f>
        <v>GS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ht="15.75" hidden="1" customHeight="1">
      <c r="A45" s="25" t="s">
        <v>17</v>
      </c>
      <c r="B45" s="35" t="str">
        <f t="shared" ref="B45:B49" si="7">B44</f>
        <v>Valen</v>
      </c>
      <c r="C45" s="52" t="str">
        <f t="array" ref="C45">INDEX('Panduan Gaji'!$F:$F,MATCH(SSOD!B45,'Panduan Gaji'!$C:$C,0))</f>
        <v/>
      </c>
      <c r="D45" s="61" t="str">
        <f t="array" ref="D45">INDEX('Panduan Gaji'!$Q:$Q,MATCH(SSOD!B45,'Panduan Gaji'!$C:$C,0))</f>
        <v>GS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ht="15.75" hidden="1" customHeight="1">
      <c r="A46" s="25" t="s">
        <v>7</v>
      </c>
      <c r="B46" s="35" t="str">
        <f t="shared" si="7"/>
        <v>Valen</v>
      </c>
      <c r="C46" s="52">
        <f t="array" ref="C46">INDEX('Panduan Gaji'!$H:$H,MATCH(SSOD!B46,'Panduan Gaji'!$C:$C,0))</f>
        <v>21000</v>
      </c>
      <c r="D46" s="61" t="str">
        <f t="array" ref="D46">INDEX('Panduan Gaji'!$Q:$Q,MATCH(SSOD!B46,'Panduan Gaji'!$C:$C,0))</f>
        <v>GS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ht="15.75" hidden="1" customHeight="1">
      <c r="A47" s="25" t="s">
        <v>9</v>
      </c>
      <c r="B47" s="35" t="str">
        <f t="shared" si="7"/>
        <v>Valen</v>
      </c>
      <c r="C47" s="52">
        <f t="array" ref="C47">INDEX('Panduan Gaji'!$I:$I,MATCH(SSOD!B47,'Panduan Gaji'!$C:$C,0))</f>
        <v>40000</v>
      </c>
      <c r="D47" s="61" t="str">
        <f t="array" ref="D47">INDEX('Panduan Gaji'!$Q:$Q,MATCH(SSOD!B47,'Panduan Gaji'!$C:$C,0))</f>
        <v>GS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ht="15.75" hidden="1" customHeight="1">
      <c r="A48" s="35" t="s">
        <v>12</v>
      </c>
      <c r="B48" s="35" t="str">
        <f t="shared" si="7"/>
        <v>Valen</v>
      </c>
      <c r="C48" s="52">
        <f t="array" ref="C48">INDEX('Panduan Gaji'!$L:$L,MATCH(SSOD!B48,'Panduan Gaji'!$C:$C,0))</f>
        <v>13333.33333</v>
      </c>
      <c r="D48" s="61" t="str">
        <f t="array" ref="D48">INDEX('Panduan Gaji'!$Q:$Q,MATCH(SSOD!B48,'Panduan Gaji'!$C:$C,0))</f>
        <v>GS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ht="15.75" hidden="1" customHeight="1">
      <c r="A49" s="35" t="s">
        <v>30</v>
      </c>
      <c r="B49" s="35" t="str">
        <f t="shared" si="7"/>
        <v>Valen</v>
      </c>
      <c r="C49" s="52">
        <f t="array" ref="C49">INDEX('Panduan Gaji'!$K:$K,MATCH(SSOD!B49,'Panduan Gaji'!$C:$C,0))</f>
        <v>13333.33333</v>
      </c>
      <c r="D49" s="61" t="str">
        <f t="array" ref="D49">INDEX('Panduan Gaji'!$Q:$Q,MATCH(SSOD!B49,'Panduan Gaji'!$C:$C,0))</f>
        <v>GS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ht="15.75" hidden="1" customHeight="1">
      <c r="A50" s="25"/>
      <c r="B50" s="35"/>
      <c r="C50" s="52"/>
      <c r="D50" s="61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ht="15.75" hidden="1" customHeight="1">
      <c r="A51" s="25" t="s">
        <v>6</v>
      </c>
      <c r="B51" s="35" t="s">
        <v>52</v>
      </c>
      <c r="C51" s="52">
        <f t="array" ref="C51">INDEX('Panduan Gaji'!$G:$G,MATCH(SSOD!B51,'Panduan Gaji'!$C:$C,0))</f>
        <v>3190000</v>
      </c>
      <c r="D51" s="61" t="str">
        <f t="array" ref="D51">INDEX('Panduan Gaji'!$Q:$Q,MATCH(SSOD!B51,'Panduan Gaji'!$C:$C,0))</f>
        <v>GS</v>
      </c>
      <c r="E51" s="25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ht="15.75" hidden="1" customHeight="1">
      <c r="A52" s="25" t="s">
        <v>17</v>
      </c>
      <c r="B52" s="35" t="str">
        <f t="shared" ref="B52:B56" si="8">B51</f>
        <v>Titus</v>
      </c>
      <c r="C52" s="52" t="str">
        <f t="array" ref="C52">INDEX('Panduan Gaji'!$F:$F,MATCH(SSOD!B52,'Panduan Gaji'!$C:$C,0))</f>
        <v/>
      </c>
      <c r="D52" s="61" t="str">
        <f t="array" ref="D52">INDEX('Panduan Gaji'!$Q:$Q,MATCH(SSOD!B52,'Panduan Gaji'!$C:$C,0))</f>
        <v>GS</v>
      </c>
      <c r="E52" s="25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ht="15.75" hidden="1" customHeight="1">
      <c r="A53" s="25" t="s">
        <v>7</v>
      </c>
      <c r="B53" s="35" t="str">
        <f t="shared" si="8"/>
        <v>Titus</v>
      </c>
      <c r="C53" s="52">
        <f t="array" ref="C53">INDEX('Panduan Gaji'!$H:$H,MATCH(SSOD!B53,'Panduan Gaji'!$C:$C,0))</f>
        <v>21000</v>
      </c>
      <c r="D53" s="61" t="str">
        <f t="array" ref="D53">INDEX('Panduan Gaji'!$Q:$Q,MATCH(SSOD!B53,'Panduan Gaji'!$C:$C,0))</f>
        <v>GS</v>
      </c>
      <c r="E53" s="25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ht="15.75" hidden="1" customHeight="1">
      <c r="A54" s="25" t="s">
        <v>9</v>
      </c>
      <c r="B54" s="35" t="str">
        <f t="shared" si="8"/>
        <v>Titus</v>
      </c>
      <c r="C54" s="52">
        <f t="array" ref="C54">INDEX('Panduan Gaji'!$I:$I,MATCH(SSOD!B54,'Panduan Gaji'!$C:$C,0))</f>
        <v>54000</v>
      </c>
      <c r="D54" s="61" t="str">
        <f t="array" ref="D54">INDEX('Panduan Gaji'!$Q:$Q,MATCH(SSOD!B54,'Panduan Gaji'!$C:$C,0))</f>
        <v>GS</v>
      </c>
      <c r="E54" s="25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ht="15.75" hidden="1" customHeight="1">
      <c r="A55" s="35" t="s">
        <v>12</v>
      </c>
      <c r="B55" s="35" t="str">
        <f t="shared" si="8"/>
        <v>Titus</v>
      </c>
      <c r="C55" s="52">
        <f t="array" ref="C55">INDEX('Panduan Gaji'!$L:$L,MATCH(SSOD!B55,'Panduan Gaji'!$C:$C,0))</f>
        <v>18000</v>
      </c>
      <c r="D55" s="61" t="str">
        <f t="array" ref="D55">INDEX('Panduan Gaji'!$Q:$Q,MATCH(SSOD!B55,'Panduan Gaji'!$C:$C,0))</f>
        <v>GS</v>
      </c>
      <c r="E55" s="25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ht="15.75" hidden="1" customHeight="1">
      <c r="A56" s="35" t="s">
        <v>30</v>
      </c>
      <c r="B56" s="35" t="str">
        <f t="shared" si="8"/>
        <v>Titus</v>
      </c>
      <c r="C56" s="52">
        <f t="array" ref="C56">INDEX('Panduan Gaji'!$K:$K,MATCH(SSOD!B56,'Panduan Gaji'!$C:$C,0))</f>
        <v>18000</v>
      </c>
      <c r="D56" s="61" t="str">
        <f t="array" ref="D56">INDEX('Panduan Gaji'!$Q:$Q,MATCH(SSOD!B56,'Panduan Gaji'!$C:$C,0))</f>
        <v>GS</v>
      </c>
      <c r="E56" s="25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ht="15.75" hidden="1" customHeight="1">
      <c r="A57" s="35"/>
      <c r="B57" s="35"/>
      <c r="C57" s="52"/>
      <c r="D57" s="61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ht="15.75" hidden="1" customHeight="1">
      <c r="A58" s="25" t="s">
        <v>6</v>
      </c>
      <c r="B58" s="35" t="s">
        <v>74</v>
      </c>
      <c r="C58" s="52">
        <f t="array" ref="C58">INDEX('Panduan Gaji'!$G:$G,MATCH(SSOD!B58,'Panduan Gaji'!$C:$C,0))</f>
        <v>1740000</v>
      </c>
      <c r="D58" s="61" t="str">
        <f t="array" ref="D58">INDEX('Panduan Gaji'!$Q:$Q,MATCH(SSOD!B58,'Panduan Gaji'!$C:$C,0))</f>
        <v>GS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ht="15.75" hidden="1" customHeight="1">
      <c r="A59" s="25" t="s">
        <v>17</v>
      </c>
      <c r="B59" s="35" t="str">
        <f t="shared" ref="B59:B63" si="9">B58</f>
        <v>Audy</v>
      </c>
      <c r="C59" s="52" t="str">
        <f t="array" ref="C59">INDEX('Panduan Gaji'!$F:$F,MATCH(SSOD!B59,'Panduan Gaji'!$C:$C,0))</f>
        <v/>
      </c>
      <c r="D59" s="61" t="str">
        <f t="array" ref="D59">INDEX('Panduan Gaji'!$Q:$Q,MATCH(SSOD!B59,'Panduan Gaji'!$C:$C,0))</f>
        <v>GS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ht="15.75" hidden="1" customHeight="1">
      <c r="A60" s="25" t="s">
        <v>7</v>
      </c>
      <c r="B60" s="35" t="str">
        <f t="shared" si="9"/>
        <v>Audy</v>
      </c>
      <c r="C60" s="52">
        <f t="array" ref="C60">INDEX('Panduan Gaji'!$H:$H,MATCH(SSOD!B60,'Panduan Gaji'!$C:$C,0))</f>
        <v>21000</v>
      </c>
      <c r="D60" s="61" t="str">
        <f t="array" ref="D60">INDEX('Panduan Gaji'!$Q:$Q,MATCH(SSOD!B60,'Panduan Gaji'!$C:$C,0))</f>
        <v>GS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ht="15.75" hidden="1" customHeight="1">
      <c r="A61" s="25" t="s">
        <v>9</v>
      </c>
      <c r="B61" s="35" t="str">
        <f t="shared" si="9"/>
        <v>Audy</v>
      </c>
      <c r="C61" s="52">
        <f t="array" ref="C61">INDEX('Panduan Gaji'!$I:$I,MATCH(SSOD!B61,'Panduan Gaji'!$C:$C,0))</f>
        <v>39150</v>
      </c>
      <c r="D61" s="61" t="str">
        <f t="array" ref="D61">INDEX('Panduan Gaji'!$Q:$Q,MATCH(SSOD!B61,'Panduan Gaji'!$C:$C,0))</f>
        <v>GS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ht="15.75" hidden="1" customHeight="1">
      <c r="A62" s="35" t="s">
        <v>12</v>
      </c>
      <c r="B62" s="35" t="str">
        <f t="shared" si="9"/>
        <v>Audy</v>
      </c>
      <c r="C62" s="52">
        <f t="array" ref="C62">INDEX('Panduan Gaji'!$L:$L,MATCH(SSOD!B62,'Panduan Gaji'!$C:$C,0))</f>
        <v>13050</v>
      </c>
      <c r="D62" s="61" t="str">
        <f t="array" ref="D62">INDEX('Panduan Gaji'!$Q:$Q,MATCH(SSOD!B62,'Panduan Gaji'!$C:$C,0))</f>
        <v>GS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ht="15.75" hidden="1" customHeight="1">
      <c r="A63" s="35" t="s">
        <v>30</v>
      </c>
      <c r="B63" s="35" t="str">
        <f t="shared" si="9"/>
        <v>Audy</v>
      </c>
      <c r="C63" s="52">
        <f t="array" ref="C63">INDEX('Panduan Gaji'!$K:$K,MATCH(SSOD!B63,'Panduan Gaji'!$C:$C,0))</f>
        <v>13050</v>
      </c>
      <c r="D63" s="61" t="str">
        <f t="array" ref="D63">INDEX('Panduan Gaji'!$Q:$Q,MATCH(SSOD!B63,'Panduan Gaji'!$C:$C,0))</f>
        <v>GS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ht="15.75" hidden="1" customHeight="1">
      <c r="A64" s="25"/>
      <c r="B64" s="35"/>
      <c r="C64" s="52"/>
      <c r="D64" s="61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ht="15.75" hidden="1" customHeight="1">
      <c r="A65" s="25" t="s">
        <v>6</v>
      </c>
      <c r="B65" s="35" t="s">
        <v>76</v>
      </c>
      <c r="C65" s="52" t="str">
        <f t="array" ref="C65">INDEX('Panduan Gaji'!$G:$G,MATCH(SSOD!B65,'Panduan Gaji'!$C:$C,0))</f>
        <v/>
      </c>
      <c r="D65" s="61" t="str">
        <f t="array" ref="D65">INDEX('Panduan Gaji'!$Q:$Q,MATCH(SSOD!B65,'Panduan Gaji'!$C:$C,0))</f>
        <v>GS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ht="15.75" hidden="1" customHeight="1">
      <c r="A66" s="25" t="s">
        <v>17</v>
      </c>
      <c r="B66" s="35" t="str">
        <f t="shared" ref="B66:B70" si="10">B65</f>
        <v>Wise</v>
      </c>
      <c r="C66" s="52">
        <f t="array" ref="C66">INDEX('Panduan Gaji'!$F:$F,MATCH(SSOD!B66,'Panduan Gaji'!$C:$C,0))</f>
        <v>150000</v>
      </c>
      <c r="D66" s="61" t="str">
        <f t="array" ref="D66">INDEX('Panduan Gaji'!$Q:$Q,MATCH(SSOD!B66,'Panduan Gaji'!$C:$C,0))</f>
        <v>GS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ht="15.75" hidden="1" customHeight="1">
      <c r="A67" s="25" t="s">
        <v>7</v>
      </c>
      <c r="B67" s="35" t="str">
        <f t="shared" si="10"/>
        <v>Wise</v>
      </c>
      <c r="C67" s="52" t="str">
        <f t="array" ref="C67">INDEX('Panduan Gaji'!$H:$H,MATCH(SSOD!B67,'Panduan Gaji'!$C:$C,0))</f>
        <v/>
      </c>
      <c r="D67" s="61" t="str">
        <f t="array" ref="D67">INDEX('Panduan Gaji'!$Q:$Q,MATCH(SSOD!B67,'Panduan Gaji'!$C:$C,0))</f>
        <v>GS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ht="15.75" hidden="1" customHeight="1">
      <c r="A68" s="25" t="s">
        <v>9</v>
      </c>
      <c r="B68" s="35" t="str">
        <f t="shared" si="10"/>
        <v>Wise</v>
      </c>
      <c r="C68" s="52" t="str">
        <f t="array" ref="C68">INDEX('Panduan Gaji'!$I:$I,MATCH(SSOD!B68,'Panduan Gaji'!$C:$C,0))</f>
        <v/>
      </c>
      <c r="D68" s="61" t="str">
        <f t="array" ref="D68">INDEX('Panduan Gaji'!$Q:$Q,MATCH(SSOD!B68,'Panduan Gaji'!$C:$C,0))</f>
        <v>GS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ht="15.75" hidden="1" customHeight="1">
      <c r="A69" s="35" t="s">
        <v>12</v>
      </c>
      <c r="B69" s="35" t="str">
        <f t="shared" si="10"/>
        <v>Wise</v>
      </c>
      <c r="C69" s="52">
        <f t="array" ref="C69">INDEX('Panduan Gaji'!$L:$L,MATCH(SSOD!B69,'Panduan Gaji'!$C:$C,0))</f>
        <v>15000</v>
      </c>
      <c r="D69" s="61" t="str">
        <f t="array" ref="D69">INDEX('Panduan Gaji'!$Q:$Q,MATCH(SSOD!B69,'Panduan Gaji'!$C:$C,0))</f>
        <v>GS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ht="15.75" hidden="1" customHeight="1">
      <c r="A70" s="35" t="s">
        <v>30</v>
      </c>
      <c r="B70" s="35" t="str">
        <f t="shared" si="10"/>
        <v>Wise</v>
      </c>
      <c r="C70" s="52">
        <f t="array" ref="C70">INDEX('Panduan Gaji'!$K:$K,MATCH(SSOD!B70,'Panduan Gaji'!$C:$C,0))</f>
        <v>12500</v>
      </c>
      <c r="D70" s="61" t="str">
        <f t="array" ref="D70">INDEX('Panduan Gaji'!$Q:$Q,MATCH(SSOD!B70,'Panduan Gaji'!$C:$C,0))</f>
        <v>GS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ht="15.75" hidden="1" customHeight="1">
      <c r="A71" s="25"/>
      <c r="B71" s="35"/>
      <c r="C71" s="52"/>
      <c r="D71" s="61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ht="15.75" hidden="1" customHeight="1">
      <c r="A72" s="25"/>
      <c r="B72" s="35"/>
      <c r="C72" s="52"/>
      <c r="D72" s="61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ht="15.75" hidden="1" customHeight="1">
      <c r="A73" s="25"/>
      <c r="B73" s="35"/>
      <c r="C73" s="52"/>
      <c r="D73" s="61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ht="15.75" hidden="1" customHeight="1">
      <c r="A74" s="25"/>
      <c r="B74" s="35"/>
      <c r="C74" s="52"/>
      <c r="D74" s="61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ht="15.75" hidden="1" customHeight="1">
      <c r="A75" s="25"/>
      <c r="B75" s="35"/>
      <c r="C75" s="52"/>
      <c r="D75" s="61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ht="15.75" hidden="1" customHeight="1">
      <c r="A76" s="35"/>
      <c r="B76" s="35"/>
      <c r="C76" s="52"/>
      <c r="D76" s="61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ht="15.75" hidden="1" customHeight="1">
      <c r="A77" s="35"/>
      <c r="B77" s="35"/>
      <c r="C77" s="52"/>
      <c r="D77" s="61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ht="15.75" hidden="1" customHeight="1">
      <c r="A78" s="25"/>
      <c r="B78" s="35"/>
      <c r="C78" s="52"/>
      <c r="D78" s="61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ht="15.75" hidden="1" customHeight="1">
      <c r="A79" s="25" t="s">
        <v>6</v>
      </c>
      <c r="B79" s="35" t="s">
        <v>79</v>
      </c>
      <c r="C79" s="52" t="str">
        <f t="array" ref="C79">INDEX('Panduan Gaji'!$G:$G,MATCH(SSOD!B79,'Panduan Gaji'!$C:$C,0))</f>
        <v/>
      </c>
      <c r="D79" s="61" t="str">
        <f t="array" ref="D79">INDEX('Panduan Gaji'!$Q:$Q,MATCH(SSOD!B79,'Panduan Gaji'!$C:$C,0))</f>
        <v>GS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ht="15.75" hidden="1" customHeight="1">
      <c r="A80" s="25" t="s">
        <v>17</v>
      </c>
      <c r="B80" s="35" t="str">
        <f t="shared" ref="B80:B84" si="11">B79</f>
        <v>Nur Andika</v>
      </c>
      <c r="C80" s="52">
        <f t="array" ref="C80">INDEX('Panduan Gaji'!$F:$F,MATCH(SSOD!B80,'Panduan Gaji'!$C:$C,0))</f>
        <v>150000</v>
      </c>
      <c r="D80" s="61" t="str">
        <f t="array" ref="D80">INDEX('Panduan Gaji'!$Q:$Q,MATCH(SSOD!B80,'Panduan Gaji'!$C:$C,0))</f>
        <v>GS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ht="15.75" hidden="1" customHeight="1">
      <c r="A81" s="25" t="s">
        <v>7</v>
      </c>
      <c r="B81" s="35" t="str">
        <f t="shared" si="11"/>
        <v>Nur Andika</v>
      </c>
      <c r="C81" s="52" t="str">
        <f t="array" ref="C81">INDEX('Panduan Gaji'!$H:$H,MATCH(SSOD!B81,'Panduan Gaji'!$C:$C,0))</f>
        <v/>
      </c>
      <c r="D81" s="61" t="str">
        <f t="array" ref="D81">INDEX('Panduan Gaji'!$Q:$Q,MATCH(SSOD!B81,'Panduan Gaji'!$C:$C,0))</f>
        <v>GS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ht="15.75" hidden="1" customHeight="1">
      <c r="A82" s="25" t="s">
        <v>9</v>
      </c>
      <c r="B82" s="35" t="str">
        <f t="shared" si="11"/>
        <v>Nur Andika</v>
      </c>
      <c r="C82" s="52" t="str">
        <f t="array" ref="C82">INDEX('Panduan Gaji'!$I:$I,MATCH(SSOD!B82,'Panduan Gaji'!$C:$C,0))</f>
        <v/>
      </c>
      <c r="D82" s="61" t="str">
        <f t="array" ref="D82">INDEX('Panduan Gaji'!$Q:$Q,MATCH(SSOD!B82,'Panduan Gaji'!$C:$C,0))</f>
        <v>GS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ht="15.75" hidden="1" customHeight="1">
      <c r="A83" s="35" t="s">
        <v>12</v>
      </c>
      <c r="B83" s="35" t="str">
        <f t="shared" si="11"/>
        <v>Nur Andika</v>
      </c>
      <c r="C83" s="52">
        <f t="array" ref="C83">INDEX('Panduan Gaji'!$L:$L,MATCH(SSOD!B83,'Panduan Gaji'!$C:$C,0))</f>
        <v>15000</v>
      </c>
      <c r="D83" s="61" t="str">
        <f t="array" ref="D83">INDEX('Panduan Gaji'!$Q:$Q,MATCH(SSOD!B83,'Panduan Gaji'!$C:$C,0))</f>
        <v>GS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ht="15.75" hidden="1" customHeight="1">
      <c r="A84" s="35" t="s">
        <v>30</v>
      </c>
      <c r="B84" s="35" t="str">
        <f t="shared" si="11"/>
        <v>Nur Andika</v>
      </c>
      <c r="C84" s="52">
        <f t="array" ref="C84">INDEX('Panduan Gaji'!$K:$K,MATCH(SSOD!B84,'Panduan Gaji'!$C:$C,0))</f>
        <v>12500</v>
      </c>
      <c r="D84" s="61" t="str">
        <f t="array" ref="D84">INDEX('Panduan Gaji'!$Q:$Q,MATCH(SSOD!B84,'Panduan Gaji'!$C:$C,0))</f>
        <v>GS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ht="15.75" hidden="1" customHeight="1">
      <c r="A85" s="25"/>
      <c r="B85" s="35"/>
      <c r="C85" s="52"/>
      <c r="D85" s="61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ht="15.75" hidden="1" customHeight="1">
      <c r="A86" s="25" t="s">
        <v>6</v>
      </c>
      <c r="B86" s="35" t="s">
        <v>73</v>
      </c>
      <c r="C86" s="52">
        <f t="array" ref="C86">INDEX('Panduan Gaji'!$G:$G,MATCH(SSOD!B86,'Panduan Gaji'!$C:$C,0))</f>
        <v>1740000</v>
      </c>
      <c r="D86" s="61" t="str">
        <f t="array" ref="D86">INDEX('Panduan Gaji'!$Q:$Q,MATCH(SSOD!B86,'Panduan Gaji'!$C:$C,0))</f>
        <v>GS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ht="15.75" hidden="1" customHeight="1">
      <c r="A87" s="25" t="s">
        <v>17</v>
      </c>
      <c r="B87" s="35" t="str">
        <f t="shared" ref="B87:B91" si="12">B86</f>
        <v>Rifai</v>
      </c>
      <c r="C87" s="52" t="str">
        <f t="array" ref="C87">INDEX('Panduan Gaji'!$F:$F,MATCH(SSOD!B87,'Panduan Gaji'!$C:$C,0))</f>
        <v/>
      </c>
      <c r="D87" s="61" t="str">
        <f t="array" ref="D87">INDEX('Panduan Gaji'!$Q:$Q,MATCH(SSOD!B87,'Panduan Gaji'!$C:$C,0))</f>
        <v>GS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ht="15.75" hidden="1" customHeight="1">
      <c r="A88" s="25" t="s">
        <v>7</v>
      </c>
      <c r="B88" s="35" t="str">
        <f t="shared" si="12"/>
        <v>Rifai</v>
      </c>
      <c r="C88" s="52">
        <f t="array" ref="C88">INDEX('Panduan Gaji'!$H:$H,MATCH(SSOD!B88,'Panduan Gaji'!$C:$C,0))</f>
        <v>21000</v>
      </c>
      <c r="D88" s="61" t="str">
        <f t="array" ref="D88">INDEX('Panduan Gaji'!$Q:$Q,MATCH(SSOD!B88,'Panduan Gaji'!$C:$C,0))</f>
        <v>GS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ht="15.75" hidden="1" customHeight="1">
      <c r="A89" s="25" t="s">
        <v>9</v>
      </c>
      <c r="B89" s="35" t="str">
        <f t="shared" si="12"/>
        <v>Rifai</v>
      </c>
      <c r="C89" s="52">
        <f t="array" ref="C89">INDEX('Panduan Gaji'!$I:$I,MATCH(SSOD!B89,'Panduan Gaji'!$C:$C,0))</f>
        <v>39150</v>
      </c>
      <c r="D89" s="61" t="str">
        <f t="array" ref="D89">INDEX('Panduan Gaji'!$Q:$Q,MATCH(SSOD!B89,'Panduan Gaji'!$C:$C,0))</f>
        <v>GS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ht="15.75" hidden="1" customHeight="1">
      <c r="A90" s="35" t="s">
        <v>12</v>
      </c>
      <c r="B90" s="35" t="str">
        <f t="shared" si="12"/>
        <v>Rifai</v>
      </c>
      <c r="C90" s="52">
        <f t="array" ref="C90">INDEX('Panduan Gaji'!$L:$L,MATCH(SSOD!B90,'Panduan Gaji'!$C:$C,0))</f>
        <v>13050</v>
      </c>
      <c r="D90" s="61" t="str">
        <f t="array" ref="D90">INDEX('Panduan Gaji'!$Q:$Q,MATCH(SSOD!B90,'Panduan Gaji'!$C:$C,0))</f>
        <v>GS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ht="15.75" hidden="1" customHeight="1">
      <c r="A91" s="35" t="s">
        <v>30</v>
      </c>
      <c r="B91" s="35" t="str">
        <f t="shared" si="12"/>
        <v>Rifai</v>
      </c>
      <c r="C91" s="52">
        <f t="array" ref="C91">INDEX('Panduan Gaji'!$K:$K,MATCH(SSOD!B91,'Panduan Gaji'!$C:$C,0))</f>
        <v>13050</v>
      </c>
      <c r="D91" s="61" t="str">
        <f t="array" ref="D91">INDEX('Panduan Gaji'!$Q:$Q,MATCH(SSOD!B91,'Panduan Gaji'!$C:$C,0))</f>
        <v>GS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ht="15.75" hidden="1" customHeight="1">
      <c r="A92" s="35"/>
      <c r="B92" s="35"/>
      <c r="C92" s="52"/>
      <c r="D92" s="61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ht="15.75" hidden="1" customHeight="1">
      <c r="A93" s="25" t="s">
        <v>6</v>
      </c>
      <c r="B93" s="35" t="s">
        <v>87</v>
      </c>
      <c r="C93" s="52">
        <f t="array" ref="C93">INDEX('Panduan Gaji'!$G:$G,MATCH(SSOD!B93,'Panduan Gaji'!$C:$C,0))</f>
        <v>3190000</v>
      </c>
      <c r="D93" s="61" t="str">
        <f t="array" ref="D93">INDEX('Panduan Gaji'!$Q:$Q,MATCH(SSOD!B93,'Panduan Gaji'!$C:$C,0))</f>
        <v>KG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ht="15.75" hidden="1" customHeight="1">
      <c r="A94" s="25" t="s">
        <v>17</v>
      </c>
      <c r="B94" s="35" t="str">
        <f t="shared" ref="B94:B98" si="13">B93</f>
        <v>Irvan</v>
      </c>
      <c r="C94" s="52" t="str">
        <f t="array" ref="C94">INDEX('Panduan Gaji'!$F:$F,MATCH(SSOD!B94,'Panduan Gaji'!$C:$C,0))</f>
        <v/>
      </c>
      <c r="D94" s="61" t="str">
        <f t="array" ref="D94">INDEX('Panduan Gaji'!$Q:$Q,MATCH(SSOD!B94,'Panduan Gaji'!$C:$C,0))</f>
        <v>KG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ht="15.75" hidden="1" customHeight="1">
      <c r="A95" s="25" t="s">
        <v>7</v>
      </c>
      <c r="B95" s="35" t="str">
        <f t="shared" si="13"/>
        <v>Irvan</v>
      </c>
      <c r="C95" s="52">
        <f t="array" ref="C95">INDEX('Panduan Gaji'!$H:$H,MATCH(SSOD!B95,'Panduan Gaji'!$C:$C,0))</f>
        <v>21000</v>
      </c>
      <c r="D95" s="61" t="str">
        <f t="array" ref="D95">INDEX('Panduan Gaji'!$Q:$Q,MATCH(SSOD!B95,'Panduan Gaji'!$C:$C,0))</f>
        <v>KG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ht="15.75" hidden="1" customHeight="1">
      <c r="A96" s="25" t="s">
        <v>9</v>
      </c>
      <c r="B96" s="35" t="str">
        <f t="shared" si="13"/>
        <v>Irvan</v>
      </c>
      <c r="C96" s="52">
        <f t="array" ref="C96">INDEX('Panduan Gaji'!$I:$I,MATCH(SSOD!B96,'Panduan Gaji'!$C:$C,0))</f>
        <v>54000</v>
      </c>
      <c r="D96" s="61" t="str">
        <f t="array" ref="D96">INDEX('Panduan Gaji'!$Q:$Q,MATCH(SSOD!B96,'Panduan Gaji'!$C:$C,0))</f>
        <v>KG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ht="15.75" hidden="1" customHeight="1">
      <c r="A97" s="35" t="s">
        <v>12</v>
      </c>
      <c r="B97" s="35" t="str">
        <f t="shared" si="13"/>
        <v>Irvan</v>
      </c>
      <c r="C97" s="52">
        <f t="array" ref="C97">INDEX('Panduan Gaji'!$L:$L,MATCH(SSOD!B97,'Panduan Gaji'!$C:$C,0))</f>
        <v>18000</v>
      </c>
      <c r="D97" s="61" t="str">
        <f t="array" ref="D97">INDEX('Panduan Gaji'!$Q:$Q,MATCH(SSOD!B97,'Panduan Gaji'!$C:$C,0))</f>
        <v>KG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ht="15.75" hidden="1" customHeight="1">
      <c r="A98" s="35" t="s">
        <v>30</v>
      </c>
      <c r="B98" s="35" t="str">
        <f t="shared" si="13"/>
        <v>Irvan</v>
      </c>
      <c r="C98" s="52">
        <f t="array" ref="C98">INDEX('Panduan Gaji'!$K:$K,MATCH(SSOD!B98,'Panduan Gaji'!$C:$C,0))</f>
        <v>18000</v>
      </c>
      <c r="D98" s="61" t="str">
        <f t="array" ref="D98">INDEX('Panduan Gaji'!$Q:$Q,MATCH(SSOD!B98,'Panduan Gaji'!$C:$C,0))</f>
        <v>KG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ht="15.75" hidden="1" customHeight="1">
      <c r="A99" s="25"/>
      <c r="B99" s="35"/>
      <c r="C99" s="52"/>
      <c r="D99" s="61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ht="15.75" hidden="1" customHeight="1">
      <c r="A100" s="25" t="s">
        <v>6</v>
      </c>
      <c r="B100" s="35" t="s">
        <v>91</v>
      </c>
      <c r="C100" s="52">
        <f t="array" ref="C100">INDEX('Panduan Gaji'!$G:$G,MATCH(SSOD!B100,'Panduan Gaji'!$C:$C,0))</f>
        <v>1800000</v>
      </c>
      <c r="D100" s="61" t="str">
        <f t="array" ref="D100">INDEX('Panduan Gaji'!$Q:$Q,MATCH(SSOD!B100,'Panduan Gaji'!$C:$C,0))</f>
        <v>KG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ht="15.75" hidden="1" customHeight="1">
      <c r="A101" s="25" t="s">
        <v>17</v>
      </c>
      <c r="B101" s="35" t="str">
        <f t="shared" ref="B101:B105" si="14">B100</f>
        <v>Rizky</v>
      </c>
      <c r="C101" s="52" t="str">
        <f t="array" ref="C101">INDEX('Panduan Gaji'!$F:$F,MATCH(SSOD!B101,'Panduan Gaji'!$C:$C,0))</f>
        <v/>
      </c>
      <c r="D101" s="61" t="str">
        <f t="array" ref="D101">INDEX('Panduan Gaji'!$Q:$Q,MATCH(SSOD!B101,'Panduan Gaji'!$C:$C,0))</f>
        <v>KG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ht="15.75" hidden="1" customHeight="1">
      <c r="A102" s="25" t="s">
        <v>7</v>
      </c>
      <c r="B102" s="35" t="str">
        <f t="shared" si="14"/>
        <v>Rizky</v>
      </c>
      <c r="C102" s="52">
        <f t="array" ref="C102">INDEX('Panduan Gaji'!$H:$H,MATCH(SSOD!B102,'Panduan Gaji'!$C:$C,0))</f>
        <v>21000</v>
      </c>
      <c r="D102" s="61" t="str">
        <f t="array" ref="D102">INDEX('Panduan Gaji'!$Q:$Q,MATCH(SSOD!B102,'Panduan Gaji'!$C:$C,0))</f>
        <v>KG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ht="15.75" hidden="1" customHeight="1">
      <c r="A103" s="25" t="s">
        <v>9</v>
      </c>
      <c r="B103" s="35" t="str">
        <f t="shared" si="14"/>
        <v>Rizky</v>
      </c>
      <c r="C103" s="52">
        <f t="array" ref="C103">INDEX('Panduan Gaji'!$I:$I,MATCH(SSOD!B103,'Panduan Gaji'!$C:$C,0))</f>
        <v>46000</v>
      </c>
      <c r="D103" s="61" t="str">
        <f t="array" ref="D103">INDEX('Panduan Gaji'!$Q:$Q,MATCH(SSOD!B103,'Panduan Gaji'!$C:$C,0))</f>
        <v>KG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ht="15.75" hidden="1" customHeight="1">
      <c r="A104" s="35" t="s">
        <v>12</v>
      </c>
      <c r="B104" s="35" t="str">
        <f t="shared" si="14"/>
        <v>Rizky</v>
      </c>
      <c r="C104" s="52">
        <f t="array" ref="C104">INDEX('Panduan Gaji'!$L:$L,MATCH(SSOD!B104,'Panduan Gaji'!$C:$C,0))</f>
        <v>15333.33333</v>
      </c>
      <c r="D104" s="61" t="str">
        <f t="array" ref="D104">INDEX('Panduan Gaji'!$Q:$Q,MATCH(SSOD!B104,'Panduan Gaji'!$C:$C,0))</f>
        <v>KG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ht="15.75" hidden="1" customHeight="1">
      <c r="A105" s="35" t="s">
        <v>30</v>
      </c>
      <c r="B105" s="35" t="str">
        <f t="shared" si="14"/>
        <v>Rizky</v>
      </c>
      <c r="C105" s="52">
        <f t="array" ref="C105">INDEX('Panduan Gaji'!$K:$K,MATCH(SSOD!B105,'Panduan Gaji'!$C:$C,0))</f>
        <v>15333.33333</v>
      </c>
      <c r="D105" s="61" t="str">
        <f t="array" ref="D105">INDEX('Panduan Gaji'!$Q:$Q,MATCH(SSOD!B105,'Panduan Gaji'!$C:$C,0))</f>
        <v>KG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ht="15.75" hidden="1" customHeight="1">
      <c r="A106" s="35"/>
      <c r="B106" s="35"/>
      <c r="C106" s="52"/>
      <c r="D106" s="61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ht="15.75" hidden="1" customHeight="1">
      <c r="A107" s="25" t="s">
        <v>6</v>
      </c>
      <c r="B107" s="35" t="s">
        <v>116</v>
      </c>
      <c r="C107" s="52">
        <f t="array" ref="C107">INDEX('Panduan Gaji'!$G:$G,MATCH(SSOD!B107,'Panduan Gaji'!$C:$C,0))</f>
        <v>1740000</v>
      </c>
      <c r="D107" s="61" t="str">
        <f t="array" ref="D107">INDEX('Panduan Gaji'!$Q:$Q,MATCH(SSOD!B107,'Panduan Gaji'!$C:$C,0))</f>
        <v>KG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ht="15.75" hidden="1" customHeight="1">
      <c r="A108" s="25" t="s">
        <v>17</v>
      </c>
      <c r="B108" s="35" t="str">
        <f t="shared" ref="B108:B112" si="15">B107</f>
        <v>Rifki</v>
      </c>
      <c r="C108" s="52" t="str">
        <f t="array" ref="C108">INDEX('Panduan Gaji'!$F:$F,MATCH(SSOD!B108,'Panduan Gaji'!$C:$C,0))</f>
        <v/>
      </c>
      <c r="D108" s="61" t="str">
        <f t="array" ref="D108">INDEX('Panduan Gaji'!$Q:$Q,MATCH(SSOD!B108,'Panduan Gaji'!$C:$C,0))</f>
        <v>KG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ht="15.75" hidden="1" customHeight="1">
      <c r="A109" s="25" t="s">
        <v>7</v>
      </c>
      <c r="B109" s="35" t="str">
        <f t="shared" si="15"/>
        <v>Rifki</v>
      </c>
      <c r="C109" s="52">
        <f t="array" ref="C109">INDEX('Panduan Gaji'!$H:$H,MATCH(SSOD!B109,'Panduan Gaji'!$C:$C,0))</f>
        <v>21000</v>
      </c>
      <c r="D109" s="61" t="str">
        <f t="array" ref="D109">INDEX('Panduan Gaji'!$Q:$Q,MATCH(SSOD!B109,'Panduan Gaji'!$C:$C,0))</f>
        <v>KG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ht="15.75" hidden="1" customHeight="1">
      <c r="A110" s="25" t="s">
        <v>9</v>
      </c>
      <c r="B110" s="35" t="str">
        <f t="shared" si="15"/>
        <v>Rifki</v>
      </c>
      <c r="C110" s="52">
        <f t="array" ref="C110">INDEX('Panduan Gaji'!$I:$I,MATCH(SSOD!B110,'Panduan Gaji'!$C:$C,0))</f>
        <v>39150</v>
      </c>
      <c r="D110" s="61" t="str">
        <f t="array" ref="D110">INDEX('Panduan Gaji'!$Q:$Q,MATCH(SSOD!B110,'Panduan Gaji'!$C:$C,0))</f>
        <v>KG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ht="15.75" hidden="1" customHeight="1">
      <c r="A111" s="35" t="s">
        <v>12</v>
      </c>
      <c r="B111" s="35" t="str">
        <f t="shared" si="15"/>
        <v>Rifki</v>
      </c>
      <c r="C111" s="52">
        <f t="array" ref="C111">INDEX('Panduan Gaji'!$L:$L,MATCH(SSOD!B111,'Panduan Gaji'!$C:$C,0))</f>
        <v>13050</v>
      </c>
      <c r="D111" s="61" t="str">
        <f t="array" ref="D111">INDEX('Panduan Gaji'!$Q:$Q,MATCH(SSOD!B111,'Panduan Gaji'!$C:$C,0))</f>
        <v>KG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ht="15.75" hidden="1" customHeight="1">
      <c r="A112" s="35" t="s">
        <v>30</v>
      </c>
      <c r="B112" s="35" t="str">
        <f t="shared" si="15"/>
        <v>Rifki</v>
      </c>
      <c r="C112" s="52">
        <f t="array" ref="C112">INDEX('Panduan Gaji'!$K:$K,MATCH(SSOD!B112,'Panduan Gaji'!$C:$C,0))</f>
        <v>13050</v>
      </c>
      <c r="D112" s="61" t="str">
        <f t="array" ref="D112">INDEX('Panduan Gaji'!$Q:$Q,MATCH(SSOD!B112,'Panduan Gaji'!$C:$C,0))</f>
        <v>KG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ht="15.75" hidden="1" customHeight="1">
      <c r="A113" s="25"/>
      <c r="B113" s="35"/>
      <c r="C113" s="52"/>
      <c r="D113" s="61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ht="15.75" hidden="1" customHeight="1">
      <c r="A114" s="25" t="s">
        <v>6</v>
      </c>
      <c r="B114" s="35" t="s">
        <v>113</v>
      </c>
      <c r="C114" s="52" t="str">
        <f t="array" ref="C114">INDEX('Panduan Gaji'!$G:$G,MATCH(SSOD!B114,'Panduan Gaji'!$C:$C,0))</f>
        <v/>
      </c>
      <c r="D114" s="61" t="str">
        <f t="array" ref="D114">INDEX('Panduan Gaji'!$Q:$Q,MATCH(SSOD!B114,'Panduan Gaji'!$C:$C,0))</f>
        <v>KG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ht="15.75" hidden="1" customHeight="1">
      <c r="A115" s="25" t="s">
        <v>17</v>
      </c>
      <c r="B115" s="35" t="str">
        <f t="shared" ref="B115:B119" si="16">B114</f>
        <v>Ridho</v>
      </c>
      <c r="C115" s="52">
        <f t="array" ref="C115">INDEX('Panduan Gaji'!$F:$F,MATCH(SSOD!B115,'Panduan Gaji'!$C:$C,0))</f>
        <v>150000</v>
      </c>
      <c r="D115" s="61" t="str">
        <f t="array" ref="D115">INDEX('Panduan Gaji'!$Q:$Q,MATCH(SSOD!B115,'Panduan Gaji'!$C:$C,0))</f>
        <v>KG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ht="15.75" hidden="1" customHeight="1">
      <c r="A116" s="25" t="s">
        <v>7</v>
      </c>
      <c r="B116" s="35" t="str">
        <f t="shared" si="16"/>
        <v>Ridho</v>
      </c>
      <c r="C116" s="52" t="str">
        <f t="array" ref="C116">INDEX('Panduan Gaji'!$H:$H,MATCH(SSOD!B116,'Panduan Gaji'!$C:$C,0))</f>
        <v/>
      </c>
      <c r="D116" s="61" t="str">
        <f t="array" ref="D116">INDEX('Panduan Gaji'!$Q:$Q,MATCH(SSOD!B116,'Panduan Gaji'!$C:$C,0))</f>
        <v>KG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ht="15.75" hidden="1" customHeight="1">
      <c r="A117" s="25" t="s">
        <v>9</v>
      </c>
      <c r="B117" s="35" t="str">
        <f t="shared" si="16"/>
        <v>Ridho</v>
      </c>
      <c r="C117" s="52" t="str">
        <f t="array" ref="C117">INDEX('Panduan Gaji'!$I:$I,MATCH(SSOD!B117,'Panduan Gaji'!$C:$C,0))</f>
        <v/>
      </c>
      <c r="D117" s="61" t="str">
        <f t="array" ref="D117">INDEX('Panduan Gaji'!$Q:$Q,MATCH(SSOD!B117,'Panduan Gaji'!$C:$C,0))</f>
        <v>KG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ht="15.75" hidden="1" customHeight="1">
      <c r="A118" s="35" t="s">
        <v>12</v>
      </c>
      <c r="B118" s="35" t="str">
        <f t="shared" si="16"/>
        <v>Ridho</v>
      </c>
      <c r="C118" s="52">
        <f t="array" ref="C118">INDEX('Panduan Gaji'!$L:$L,MATCH(SSOD!B118,'Panduan Gaji'!$C:$C,0))</f>
        <v>15000</v>
      </c>
      <c r="D118" s="61" t="str">
        <f t="array" ref="D118">INDEX('Panduan Gaji'!$Q:$Q,MATCH(SSOD!B118,'Panduan Gaji'!$C:$C,0))</f>
        <v>KG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ht="15.75" hidden="1" customHeight="1">
      <c r="A119" s="35" t="s">
        <v>30</v>
      </c>
      <c r="B119" s="35" t="str">
        <f t="shared" si="16"/>
        <v>Ridho</v>
      </c>
      <c r="C119" s="52">
        <f t="array" ref="C119">INDEX('Panduan Gaji'!$K:$K,MATCH(SSOD!B119,'Panduan Gaji'!$C:$C,0))</f>
        <v>12500</v>
      </c>
      <c r="D119" s="61" t="str">
        <f t="array" ref="D119">INDEX('Panduan Gaji'!$Q:$Q,MATCH(SSOD!B119,'Panduan Gaji'!$C:$C,0))</f>
        <v>KG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ht="15.75" hidden="1" customHeight="1">
      <c r="A120" s="25"/>
      <c r="B120" s="35"/>
      <c r="C120" s="52"/>
      <c r="D120" s="61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ht="15.75" customHeight="1">
      <c r="A121" s="25" t="s">
        <v>6</v>
      </c>
      <c r="B121" s="35" t="s">
        <v>106</v>
      </c>
      <c r="C121" s="52">
        <f t="array" ref="C121">INDEX('Panduan Gaji'!$G:$G,MATCH(SSOD!B121,'Panduan Gaji'!$C:$C,0))</f>
        <v>3190000</v>
      </c>
      <c r="D121" s="61" t="str">
        <f t="array" ref="D121">INDEX('Panduan Gaji'!$Q:$Q,MATCH(SSOD!B121,'Panduan Gaji'!$C:$C,0))</f>
        <v>KG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ht="15.75" customHeight="1">
      <c r="A122" s="25" t="s">
        <v>17</v>
      </c>
      <c r="B122" s="35" t="str">
        <f t="shared" ref="B122:B126" si="17">B121</f>
        <v>Ferdy</v>
      </c>
      <c r="C122" s="52" t="str">
        <f t="array" ref="C122">INDEX('Panduan Gaji'!$F:$F,MATCH(SSOD!B122,'Panduan Gaji'!$C:$C,0))</f>
        <v/>
      </c>
      <c r="D122" s="61" t="str">
        <f t="array" ref="D122">INDEX('Panduan Gaji'!$Q:$Q,MATCH(SSOD!B122,'Panduan Gaji'!$C:$C,0))</f>
        <v>KG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ht="15.75" customHeight="1">
      <c r="A123" s="25" t="s">
        <v>7</v>
      </c>
      <c r="B123" s="35" t="str">
        <f t="shared" si="17"/>
        <v>Ferdy</v>
      </c>
      <c r="C123" s="52">
        <f t="array" ref="C123">INDEX('Panduan Gaji'!$H:$H,MATCH(SSOD!B123,'Panduan Gaji'!$C:$C,0))</f>
        <v>21000</v>
      </c>
      <c r="D123" s="61" t="str">
        <f t="array" ref="D123">INDEX('Panduan Gaji'!$Q:$Q,MATCH(SSOD!B123,'Panduan Gaji'!$C:$C,0))</f>
        <v>KG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ht="15.75" customHeight="1">
      <c r="A124" s="25" t="s">
        <v>9</v>
      </c>
      <c r="B124" s="35" t="str">
        <f t="shared" si="17"/>
        <v>Ferdy</v>
      </c>
      <c r="C124" s="52">
        <f t="array" ref="C124">INDEX('Panduan Gaji'!$I:$I,MATCH(SSOD!B124,'Panduan Gaji'!$C:$C,0))</f>
        <v>54000</v>
      </c>
      <c r="D124" s="61" t="str">
        <f t="array" ref="D124">INDEX('Panduan Gaji'!$Q:$Q,MATCH(SSOD!B124,'Panduan Gaji'!$C:$C,0))</f>
        <v>KG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ht="15.75" customHeight="1">
      <c r="A125" s="35" t="s">
        <v>12</v>
      </c>
      <c r="B125" s="35" t="str">
        <f t="shared" si="17"/>
        <v>Ferdy</v>
      </c>
      <c r="C125" s="52">
        <f t="array" ref="C125">INDEX('Panduan Gaji'!$L:$L,MATCH(SSOD!B125,'Panduan Gaji'!$C:$C,0))</f>
        <v>18000</v>
      </c>
      <c r="D125" s="61" t="str">
        <f t="array" ref="D125">INDEX('Panduan Gaji'!$Q:$Q,MATCH(SSOD!B125,'Panduan Gaji'!$C:$C,0))</f>
        <v>KG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ht="15.75" customHeight="1">
      <c r="A126" s="35" t="s">
        <v>30</v>
      </c>
      <c r="B126" s="35" t="str">
        <f t="shared" si="17"/>
        <v>Ferdy</v>
      </c>
      <c r="C126" s="52">
        <f t="array" ref="C126">INDEX('Panduan Gaji'!$K:$K,MATCH(SSOD!B126,'Panduan Gaji'!$C:$C,0))</f>
        <v>18000</v>
      </c>
      <c r="D126" s="61" t="str">
        <f t="array" ref="D126">INDEX('Panduan Gaji'!$Q:$Q,MATCH(SSOD!B126,'Panduan Gaji'!$C:$C,0))</f>
        <v>KG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ht="15.75" hidden="1" customHeight="1">
      <c r="A127" s="35"/>
      <c r="B127" s="35"/>
      <c r="C127" s="52"/>
      <c r="D127" s="61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ht="15.75" hidden="1" customHeight="1">
      <c r="A128" s="25" t="s">
        <v>6</v>
      </c>
      <c r="B128" s="35" t="s">
        <v>103</v>
      </c>
      <c r="C128" s="52">
        <f t="array" ref="C128">INDEX('Panduan Gaji'!$G:$G,MATCH(SSOD!B128,'Panduan Gaji'!$C:$C,0))</f>
        <v>2250000</v>
      </c>
      <c r="D128" s="61" t="str">
        <f t="array" ref="D128">INDEX('Panduan Gaji'!$Q:$Q,MATCH(SSOD!B128,'Panduan Gaji'!$C:$C,0))</f>
        <v>KG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ht="15.75" hidden="1" customHeight="1">
      <c r="A129" s="25" t="s">
        <v>17</v>
      </c>
      <c r="B129" s="35" t="str">
        <f t="shared" ref="B129:B133" si="18">B128</f>
        <v>Rovi</v>
      </c>
      <c r="C129" s="52" t="str">
        <f t="array" ref="C129">INDEX('Panduan Gaji'!$F:$F,MATCH(SSOD!B129,'Panduan Gaji'!$C:$C,0))</f>
        <v/>
      </c>
      <c r="D129" s="61" t="str">
        <f t="array" ref="D129">INDEX('Panduan Gaji'!$Q:$Q,MATCH(SSOD!B129,'Panduan Gaji'!$C:$C,0))</f>
        <v>KG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ht="15.75" hidden="1" customHeight="1">
      <c r="A130" s="25" t="s">
        <v>7</v>
      </c>
      <c r="B130" s="35" t="str">
        <f t="shared" si="18"/>
        <v>Rovi</v>
      </c>
      <c r="C130" s="52">
        <f t="array" ref="C130">INDEX('Panduan Gaji'!$H:$H,MATCH(SSOD!B130,'Panduan Gaji'!$C:$C,0))</f>
        <v>21000</v>
      </c>
      <c r="D130" s="61" t="str">
        <f t="array" ref="D130">INDEX('Panduan Gaji'!$Q:$Q,MATCH(SSOD!B130,'Panduan Gaji'!$C:$C,0))</f>
        <v>KG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ht="15.75" hidden="1" customHeight="1">
      <c r="A131" s="25" t="s">
        <v>9</v>
      </c>
      <c r="B131" s="35" t="str">
        <f t="shared" si="18"/>
        <v>Rovi</v>
      </c>
      <c r="C131" s="52">
        <f t="array" ref="C131">INDEX('Panduan Gaji'!$I:$I,MATCH(SSOD!B131,'Panduan Gaji'!$C:$C,0))</f>
        <v>40000</v>
      </c>
      <c r="D131" s="61" t="str">
        <f t="array" ref="D131">INDEX('Panduan Gaji'!$Q:$Q,MATCH(SSOD!B131,'Panduan Gaji'!$C:$C,0))</f>
        <v>KG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ht="15.75" hidden="1" customHeight="1">
      <c r="A132" s="35" t="s">
        <v>12</v>
      </c>
      <c r="B132" s="35" t="str">
        <f t="shared" si="18"/>
        <v>Rovi</v>
      </c>
      <c r="C132" s="52">
        <f t="array" ref="C132">INDEX('Panduan Gaji'!$L:$L,MATCH(SSOD!B132,'Panduan Gaji'!$C:$C,0))</f>
        <v>13333.33333</v>
      </c>
      <c r="D132" s="61" t="str">
        <f t="array" ref="D132">INDEX('Panduan Gaji'!$Q:$Q,MATCH(SSOD!B132,'Panduan Gaji'!$C:$C,0))</f>
        <v>KG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ht="15.75" hidden="1" customHeight="1">
      <c r="A133" s="35" t="s">
        <v>30</v>
      </c>
      <c r="B133" s="35" t="str">
        <f t="shared" si="18"/>
        <v>Rovi</v>
      </c>
      <c r="C133" s="52">
        <f t="array" ref="C133">INDEX('Panduan Gaji'!$K:$K,MATCH(SSOD!B133,'Panduan Gaji'!$C:$C,0))</f>
        <v>13333.33333</v>
      </c>
      <c r="D133" s="61" t="str">
        <f t="array" ref="D133">INDEX('Panduan Gaji'!$Q:$Q,MATCH(SSOD!B133,'Panduan Gaji'!$C:$C,0))</f>
        <v>KG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ht="15.75" hidden="1" customHeight="1">
      <c r="A134" s="25"/>
      <c r="B134" s="35"/>
      <c r="C134" s="52"/>
      <c r="D134" s="61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ht="15.75" hidden="1" customHeight="1">
      <c r="A135" s="25" t="s">
        <v>6</v>
      </c>
      <c r="B135" s="35" t="s">
        <v>94</v>
      </c>
      <c r="C135" s="52">
        <f t="array" ref="C135">INDEX('Panduan Gaji'!$G:$G,MATCH(SSOD!B135,'Panduan Gaji'!$C:$C,0))</f>
        <v>1800000</v>
      </c>
      <c r="D135" s="61" t="str">
        <f t="array" ref="D135">INDEX('Panduan Gaji'!$Q:$Q,MATCH(SSOD!B135,'Panduan Gaji'!$C:$C,0))</f>
        <v>KG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ht="15.75" hidden="1" customHeight="1">
      <c r="A136" s="25" t="s">
        <v>17</v>
      </c>
      <c r="B136" s="35" t="str">
        <f t="shared" ref="B136:B140" si="19">B135</f>
        <v>Sabrina</v>
      </c>
      <c r="C136" s="52" t="str">
        <f t="array" ref="C136">INDEX('Panduan Gaji'!$F:$F,MATCH(SSOD!B136,'Panduan Gaji'!$C:$C,0))</f>
        <v/>
      </c>
      <c r="D136" s="61" t="str">
        <f t="array" ref="D136">INDEX('Panduan Gaji'!$Q:$Q,MATCH(SSOD!B136,'Panduan Gaji'!$C:$C,0))</f>
        <v>KG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ht="15.75" hidden="1" customHeight="1">
      <c r="A137" s="25" t="s">
        <v>7</v>
      </c>
      <c r="B137" s="35" t="str">
        <f t="shared" si="19"/>
        <v>Sabrina</v>
      </c>
      <c r="C137" s="52">
        <f t="array" ref="C137">INDEX('Panduan Gaji'!$H:$H,MATCH(SSOD!B137,'Panduan Gaji'!$C:$C,0))</f>
        <v>21000</v>
      </c>
      <c r="D137" s="61" t="str">
        <f t="array" ref="D137">INDEX('Panduan Gaji'!$Q:$Q,MATCH(SSOD!B137,'Panduan Gaji'!$C:$C,0))</f>
        <v>KG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ht="15.75" hidden="1" customHeight="1">
      <c r="A138" s="25" t="s">
        <v>9</v>
      </c>
      <c r="B138" s="35" t="str">
        <f t="shared" si="19"/>
        <v>Sabrina</v>
      </c>
      <c r="C138" s="52">
        <f t="array" ref="C138">INDEX('Panduan Gaji'!$I:$I,MATCH(SSOD!B138,'Panduan Gaji'!$C:$C,0))</f>
        <v>46000</v>
      </c>
      <c r="D138" s="61" t="str">
        <f t="array" ref="D138">INDEX('Panduan Gaji'!$Q:$Q,MATCH(SSOD!B138,'Panduan Gaji'!$C:$C,0))</f>
        <v>KG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ht="15.75" hidden="1" customHeight="1">
      <c r="A139" s="35" t="s">
        <v>12</v>
      </c>
      <c r="B139" s="35" t="str">
        <f t="shared" si="19"/>
        <v>Sabrina</v>
      </c>
      <c r="C139" s="52">
        <f t="array" ref="C139">INDEX('Panduan Gaji'!$L:$L,MATCH(SSOD!B139,'Panduan Gaji'!$C:$C,0))</f>
        <v>15333.33333</v>
      </c>
      <c r="D139" s="61" t="str">
        <f t="array" ref="D139">INDEX('Panduan Gaji'!$Q:$Q,MATCH(SSOD!B139,'Panduan Gaji'!$C:$C,0))</f>
        <v>KG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ht="15.75" hidden="1" customHeight="1">
      <c r="A140" s="35" t="s">
        <v>30</v>
      </c>
      <c r="B140" s="35" t="str">
        <f t="shared" si="19"/>
        <v>Sabrina</v>
      </c>
      <c r="C140" s="52">
        <f t="array" ref="C140">INDEX('Panduan Gaji'!$K:$K,MATCH(SSOD!B140,'Panduan Gaji'!$C:$C,0))</f>
        <v>15333.33333</v>
      </c>
      <c r="D140" s="61" t="str">
        <f t="array" ref="D140">INDEX('Panduan Gaji'!$Q:$Q,MATCH(SSOD!B140,'Panduan Gaji'!$C:$C,0))</f>
        <v>KG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ht="15.75" hidden="1" customHeight="1">
      <c r="A141" s="22"/>
      <c r="B141" s="22"/>
      <c r="C141" s="311"/>
      <c r="D141" s="166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ht="15.75" hidden="1" customHeight="1">
      <c r="A142" s="25" t="s">
        <v>6</v>
      </c>
      <c r="B142" s="35" t="s">
        <v>110</v>
      </c>
      <c r="C142" s="52">
        <f t="array" ref="C142">INDEX('Panduan Gaji'!$G:$G,MATCH(SSOD!B142,'Panduan Gaji'!$C:$C,0))</f>
        <v>1450000</v>
      </c>
      <c r="D142" s="61" t="str">
        <f t="array" ref="D142">INDEX('Panduan Gaji'!$Q:$Q,MATCH(SSOD!B142,'Panduan Gaji'!$C:$C,0))</f>
        <v>KG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ht="15.75" hidden="1" customHeight="1">
      <c r="A143" s="25" t="s">
        <v>17</v>
      </c>
      <c r="B143" s="35" t="str">
        <f t="shared" ref="B143:B147" si="20">B142</f>
        <v>Danilo</v>
      </c>
      <c r="C143" s="52" t="str">
        <f t="array" ref="C143">INDEX('Panduan Gaji'!$F:$F,MATCH(SSOD!B143,'Panduan Gaji'!$C:$C,0))</f>
        <v/>
      </c>
      <c r="D143" s="61" t="str">
        <f t="array" ref="D143">INDEX('Panduan Gaji'!$Q:$Q,MATCH(SSOD!B143,'Panduan Gaji'!$C:$C,0))</f>
        <v>KG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ht="15.75" hidden="1" customHeight="1">
      <c r="A144" s="25" t="s">
        <v>7</v>
      </c>
      <c r="B144" s="35" t="str">
        <f t="shared" si="20"/>
        <v>Danilo</v>
      </c>
      <c r="C144" s="52">
        <f t="array" ref="C144">INDEX('Panduan Gaji'!$H:$H,MATCH(SSOD!B144,'Panduan Gaji'!$C:$C,0))</f>
        <v>21000</v>
      </c>
      <c r="D144" s="61" t="str">
        <f t="array" ref="D144">INDEX('Panduan Gaji'!$Q:$Q,MATCH(SSOD!B144,'Panduan Gaji'!$C:$C,0))</f>
        <v>KG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ht="15.75" hidden="1" customHeight="1">
      <c r="A145" s="25" t="s">
        <v>9</v>
      </c>
      <c r="B145" s="35" t="str">
        <f t="shared" si="20"/>
        <v>Danilo</v>
      </c>
      <c r="C145" s="52">
        <f t="array" ref="C145">INDEX('Panduan Gaji'!$I:$I,MATCH(SSOD!B145,'Panduan Gaji'!$C:$C,0))</f>
        <v>35100</v>
      </c>
      <c r="D145" s="61" t="str">
        <f t="array" ref="D145">INDEX('Panduan Gaji'!$Q:$Q,MATCH(SSOD!B145,'Panduan Gaji'!$C:$C,0))</f>
        <v>KG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ht="15.75" hidden="1" customHeight="1">
      <c r="A146" s="35" t="s">
        <v>12</v>
      </c>
      <c r="B146" s="35" t="str">
        <f t="shared" si="20"/>
        <v>Danilo</v>
      </c>
      <c r="C146" s="52">
        <f t="array" ref="C146">INDEX('Panduan Gaji'!$L:$L,MATCH(SSOD!B146,'Panduan Gaji'!$C:$C,0))</f>
        <v>11700</v>
      </c>
      <c r="D146" s="61" t="str">
        <f t="array" ref="D146">INDEX('Panduan Gaji'!$Q:$Q,MATCH(SSOD!B146,'Panduan Gaji'!$C:$C,0))</f>
        <v>KG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ht="15.75" hidden="1" customHeight="1">
      <c r="A147" s="35" t="s">
        <v>30</v>
      </c>
      <c r="B147" s="35" t="str">
        <f t="shared" si="20"/>
        <v>Danilo</v>
      </c>
      <c r="C147" s="52">
        <f t="array" ref="C147">INDEX('Panduan Gaji'!$K:$K,MATCH(SSOD!B147,'Panduan Gaji'!$C:$C,0))</f>
        <v>11700</v>
      </c>
      <c r="D147" s="61" t="str">
        <f t="array" ref="D147">INDEX('Panduan Gaji'!$Q:$Q,MATCH(SSOD!B147,'Panduan Gaji'!$C:$C,0))</f>
        <v>KG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ht="15.75" hidden="1" customHeight="1">
      <c r="A148" s="22"/>
      <c r="B148" s="22"/>
      <c r="C148" s="311"/>
      <c r="D148" s="166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ht="15.75" hidden="1" customHeight="1">
      <c r="A149" s="25" t="s">
        <v>6</v>
      </c>
      <c r="B149" s="35" t="s">
        <v>124</v>
      </c>
      <c r="C149" s="52">
        <f t="array" ref="C149">INDEX('Panduan Gaji'!$G:$G,MATCH(SSOD!B149,'Panduan Gaji'!$C:$C,0))</f>
        <v>2250000</v>
      </c>
      <c r="D149" s="61" t="str">
        <f t="array" ref="D149">INDEX('Panduan Gaji'!$Q:$Q,MATCH(SSOD!B149,'Panduan Gaji'!$C:$C,0))</f>
        <v>Fatgai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ht="15.75" hidden="1" customHeight="1">
      <c r="A150" s="25" t="s">
        <v>17</v>
      </c>
      <c r="B150" s="35" t="str">
        <f t="shared" ref="B150:B154" si="21">B149</f>
        <v>Bulan</v>
      </c>
      <c r="C150" s="52" t="str">
        <f t="array" ref="C150">INDEX('Panduan Gaji'!$F:$F,MATCH(SSOD!B150,'Panduan Gaji'!$C:$C,0))</f>
        <v/>
      </c>
      <c r="D150" s="61" t="str">
        <f t="array" ref="D150">INDEX('Panduan Gaji'!$Q:$Q,MATCH(SSOD!B150,'Panduan Gaji'!$C:$C,0))</f>
        <v>Fatgai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ht="15.75" hidden="1" customHeight="1">
      <c r="A151" s="25" t="s">
        <v>7</v>
      </c>
      <c r="B151" s="35" t="str">
        <f t="shared" si="21"/>
        <v>Bulan</v>
      </c>
      <c r="C151" s="52">
        <f t="array" ref="C151">INDEX('Panduan Gaji'!$H:$H,MATCH(SSOD!B151,'Panduan Gaji'!$C:$C,0))</f>
        <v>31500</v>
      </c>
      <c r="D151" s="61" t="str">
        <f t="array" ref="D151">INDEX('Panduan Gaji'!$Q:$Q,MATCH(SSOD!B151,'Panduan Gaji'!$C:$C,0))</f>
        <v>Fatgai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ht="15.75" hidden="1" customHeight="1">
      <c r="A152" s="25" t="s">
        <v>9</v>
      </c>
      <c r="B152" s="35" t="str">
        <f t="shared" si="21"/>
        <v>Bulan</v>
      </c>
      <c r="C152" s="52">
        <f t="array" ref="C152">INDEX('Panduan Gaji'!$I:$I,MATCH(SSOD!B152,'Panduan Gaji'!$C:$C,0))</f>
        <v>57000</v>
      </c>
      <c r="D152" s="61" t="str">
        <f t="array" ref="D152">INDEX('Panduan Gaji'!$Q:$Q,MATCH(SSOD!B152,'Panduan Gaji'!$C:$C,0))</f>
        <v>Fatgai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ht="15.75" hidden="1" customHeight="1">
      <c r="A153" s="35" t="s">
        <v>12</v>
      </c>
      <c r="B153" s="35" t="str">
        <f t="shared" si="21"/>
        <v>Bulan</v>
      </c>
      <c r="C153" s="52">
        <f t="array" ref="C153">INDEX('Panduan Gaji'!$L:$L,MATCH(SSOD!B153,'Panduan Gaji'!$C:$C,0))</f>
        <v>19000</v>
      </c>
      <c r="D153" s="61" t="str">
        <f t="array" ref="D153">INDEX('Panduan Gaji'!$Q:$Q,MATCH(SSOD!B153,'Panduan Gaji'!$C:$C,0))</f>
        <v>Fatgai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ht="15.75" hidden="1" customHeight="1">
      <c r="A154" s="35" t="s">
        <v>30</v>
      </c>
      <c r="B154" s="35" t="str">
        <f t="shared" si="21"/>
        <v>Bulan</v>
      </c>
      <c r="C154" s="52">
        <f t="array" ref="C154">INDEX('Panduan Gaji'!$K:$K,MATCH(SSOD!B154,'Panduan Gaji'!$C:$C,0))</f>
        <v>19000</v>
      </c>
      <c r="D154" s="61" t="str">
        <f t="array" ref="D154">INDEX('Panduan Gaji'!$Q:$Q,MATCH(SSOD!B154,'Panduan Gaji'!$C:$C,0))</f>
        <v>Fatgai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ht="15.75" hidden="1" customHeight="1">
      <c r="A155" s="22"/>
      <c r="B155" s="22"/>
      <c r="C155" s="311"/>
      <c r="D155" s="166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ht="15.75" hidden="1" customHeight="1">
      <c r="A156" s="25" t="s">
        <v>6</v>
      </c>
      <c r="B156" s="35" t="s">
        <v>126</v>
      </c>
      <c r="C156" s="52">
        <f t="array" ref="C156">INDEX('Panduan Gaji'!$G:$G,MATCH(SSOD!B156,'Panduan Gaji'!$C:$C,0))</f>
        <v>1740000</v>
      </c>
      <c r="D156" s="61" t="str">
        <f t="array" ref="D156">INDEX('Panduan Gaji'!$Q:$Q,MATCH(SSOD!B156,'Panduan Gaji'!$C:$C,0))</f>
        <v>Fatgai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ht="15.75" hidden="1" customHeight="1">
      <c r="A157" s="25" t="s">
        <v>17</v>
      </c>
      <c r="B157" s="35" t="str">
        <f t="shared" ref="B157:B161" si="22">B156</f>
        <v>Sanusi</v>
      </c>
      <c r="C157" s="52" t="str">
        <f t="array" ref="C157">INDEX('Panduan Gaji'!$F:$F,MATCH(SSOD!B157,'Panduan Gaji'!$C:$C,0))</f>
        <v/>
      </c>
      <c r="D157" s="61" t="str">
        <f t="array" ref="D157">INDEX('Panduan Gaji'!$Q:$Q,MATCH(SSOD!B157,'Panduan Gaji'!$C:$C,0))</f>
        <v>Fatgai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ht="15.75" hidden="1" customHeight="1">
      <c r="A158" s="25" t="s">
        <v>7</v>
      </c>
      <c r="B158" s="35" t="str">
        <f t="shared" si="22"/>
        <v>Sanusi</v>
      </c>
      <c r="C158" s="52">
        <f t="array" ref="C158">INDEX('Panduan Gaji'!$H:$H,MATCH(SSOD!B158,'Panduan Gaji'!$C:$C,0))</f>
        <v>21000</v>
      </c>
      <c r="D158" s="61" t="str">
        <f t="array" ref="D158">INDEX('Panduan Gaji'!$Q:$Q,MATCH(SSOD!B158,'Panduan Gaji'!$C:$C,0))</f>
        <v>Fatgai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ht="15.75" hidden="1" customHeight="1">
      <c r="A159" s="25" t="s">
        <v>9</v>
      </c>
      <c r="B159" s="35" t="str">
        <f t="shared" si="22"/>
        <v>Sanusi</v>
      </c>
      <c r="C159" s="52">
        <f t="array" ref="C159">INDEX('Panduan Gaji'!$I:$I,MATCH(SSOD!B159,'Panduan Gaji'!$C:$C,0))</f>
        <v>39150</v>
      </c>
      <c r="D159" s="61" t="str">
        <f t="array" ref="D159">INDEX('Panduan Gaji'!$Q:$Q,MATCH(SSOD!B159,'Panduan Gaji'!$C:$C,0))</f>
        <v>Fatgai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ht="15.75" hidden="1" customHeight="1">
      <c r="A160" s="35" t="s">
        <v>12</v>
      </c>
      <c r="B160" s="35" t="str">
        <f t="shared" si="22"/>
        <v>Sanusi</v>
      </c>
      <c r="C160" s="52">
        <f t="array" ref="C160">INDEX('Panduan Gaji'!$L:$L,MATCH(SSOD!B160,'Panduan Gaji'!$C:$C,0))</f>
        <v>13050</v>
      </c>
      <c r="D160" s="61" t="str">
        <f t="array" ref="D160">INDEX('Panduan Gaji'!$Q:$Q,MATCH(SSOD!B160,'Panduan Gaji'!$C:$C,0))</f>
        <v>Fatgai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ht="15.75" hidden="1" customHeight="1">
      <c r="A161" s="35" t="s">
        <v>30</v>
      </c>
      <c r="B161" s="35" t="str">
        <f t="shared" si="22"/>
        <v>Sanusi</v>
      </c>
      <c r="C161" s="52">
        <f t="array" ref="C161">INDEX('Panduan Gaji'!$K:$K,MATCH(SSOD!B161,'Panduan Gaji'!$C:$C,0))</f>
        <v>13050</v>
      </c>
      <c r="D161" s="61" t="str">
        <f t="array" ref="D161">INDEX('Panduan Gaji'!$Q:$Q,MATCH(SSOD!B161,'Panduan Gaji'!$C:$C,0))</f>
        <v>Fatgai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ht="15.75" hidden="1" customHeight="1">
      <c r="A162" s="22"/>
      <c r="B162" s="22"/>
      <c r="C162" s="311"/>
      <c r="D162" s="166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ht="15.75" hidden="1" customHeight="1">
      <c r="A163" s="25" t="s">
        <v>6</v>
      </c>
      <c r="B163" s="35" t="s">
        <v>82</v>
      </c>
      <c r="C163" s="52" t="str">
        <f t="array" ref="C163">INDEX('Panduan Gaji'!$G:$G,MATCH(SSOD!B163,'Panduan Gaji'!$C:$C,0))</f>
        <v/>
      </c>
      <c r="D163" s="61" t="str">
        <f t="array" ref="D163">INDEX('Panduan Gaji'!$Q:$Q,MATCH(SSOD!B163,'Panduan Gaji'!$C:$C,0))</f>
        <v>GS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ht="15.75" hidden="1" customHeight="1">
      <c r="A164" s="25" t="s">
        <v>17</v>
      </c>
      <c r="B164" s="35" t="str">
        <f t="shared" ref="B164:B168" si="23">B163</f>
        <v>Jerrel</v>
      </c>
      <c r="C164" s="52">
        <f t="array" ref="C164">INDEX('Panduan Gaji'!$F:$F,MATCH(SSOD!B164,'Panduan Gaji'!$C:$C,0))</f>
        <v>150000</v>
      </c>
      <c r="D164" s="61" t="str">
        <f t="array" ref="D164">INDEX('Panduan Gaji'!$Q:$Q,MATCH(SSOD!B164,'Panduan Gaji'!$C:$C,0))</f>
        <v>GS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ht="15.75" hidden="1" customHeight="1">
      <c r="A165" s="25" t="s">
        <v>7</v>
      </c>
      <c r="B165" s="35" t="str">
        <f t="shared" si="23"/>
        <v>Jerrel</v>
      </c>
      <c r="C165" s="52" t="str">
        <f t="array" ref="C165">INDEX('Panduan Gaji'!$H:$H,MATCH(SSOD!B165,'Panduan Gaji'!$C:$C,0))</f>
        <v/>
      </c>
      <c r="D165" s="61" t="str">
        <f t="array" ref="D165">INDEX('Panduan Gaji'!$Q:$Q,MATCH(SSOD!B165,'Panduan Gaji'!$C:$C,0))</f>
        <v>GS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ht="15.75" hidden="1" customHeight="1">
      <c r="A166" s="25" t="s">
        <v>9</v>
      </c>
      <c r="B166" s="35" t="str">
        <f t="shared" si="23"/>
        <v>Jerrel</v>
      </c>
      <c r="C166" s="52" t="str">
        <f t="array" ref="C166">INDEX('Panduan Gaji'!$I:$I,MATCH(SSOD!B166,'Panduan Gaji'!$C:$C,0))</f>
        <v/>
      </c>
      <c r="D166" s="61" t="str">
        <f t="array" ref="D166">INDEX('Panduan Gaji'!$Q:$Q,MATCH(SSOD!B166,'Panduan Gaji'!$C:$C,0))</f>
        <v>GS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ht="15.75" hidden="1" customHeight="1">
      <c r="A167" s="35" t="s">
        <v>12</v>
      </c>
      <c r="B167" s="35" t="str">
        <f t="shared" si="23"/>
        <v>Jerrel</v>
      </c>
      <c r="C167" s="52">
        <f t="array" ref="C167">INDEX('Panduan Gaji'!$L:$L,MATCH(SSOD!B167,'Panduan Gaji'!$C:$C,0))</f>
        <v>15000</v>
      </c>
      <c r="D167" s="61" t="str">
        <f t="array" ref="D167">INDEX('Panduan Gaji'!$Q:$Q,MATCH(SSOD!B167,'Panduan Gaji'!$C:$C,0))</f>
        <v>GS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ht="15.75" hidden="1" customHeight="1">
      <c r="A168" s="35" t="s">
        <v>30</v>
      </c>
      <c r="B168" s="35" t="str">
        <f t="shared" si="23"/>
        <v>Jerrel</v>
      </c>
      <c r="C168" s="52">
        <f t="array" ref="C168">INDEX('Panduan Gaji'!$K:$K,MATCH(SSOD!B168,'Panduan Gaji'!$C:$C,0))</f>
        <v>12500</v>
      </c>
      <c r="D168" s="61" t="str">
        <f t="array" ref="D168">INDEX('Panduan Gaji'!$Q:$Q,MATCH(SSOD!B168,'Panduan Gaji'!$C:$C,0))</f>
        <v>GS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ht="15.75" hidden="1" customHeight="1">
      <c r="A169" s="22"/>
      <c r="B169" s="22"/>
      <c r="C169" s="311"/>
      <c r="D169" s="166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ht="15.75" hidden="1" customHeight="1">
      <c r="A170" s="25" t="s">
        <v>6</v>
      </c>
      <c r="B170" s="35" t="s">
        <v>84</v>
      </c>
      <c r="C170" s="52">
        <f t="array" ref="C170">INDEX('Panduan Gaji'!$G:$G,MATCH(SSOD!B170,'Panduan Gaji'!$C:$C,0))</f>
        <v>1740000</v>
      </c>
      <c r="D170" s="61" t="str">
        <f t="array" ref="D170">INDEX('Panduan Gaji'!$Q:$Q,MATCH(SSOD!B170,'Panduan Gaji'!$C:$C,0))</f>
        <v>GS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ht="15.75" hidden="1" customHeight="1">
      <c r="A171" s="25" t="s">
        <v>17</v>
      </c>
      <c r="B171" s="35" t="str">
        <f t="shared" ref="B171:B175" si="24">B170</f>
        <v>Made</v>
      </c>
      <c r="C171" s="52" t="str">
        <f t="array" ref="C171">INDEX('Panduan Gaji'!$F:$F,MATCH(SSOD!B171,'Panduan Gaji'!$C:$C,0))</f>
        <v/>
      </c>
      <c r="D171" s="61" t="str">
        <f t="array" ref="D171">INDEX('Panduan Gaji'!$Q:$Q,MATCH(SSOD!B171,'Panduan Gaji'!$C:$C,0))</f>
        <v>GS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ht="15.75" hidden="1" customHeight="1">
      <c r="A172" s="25" t="s">
        <v>7</v>
      </c>
      <c r="B172" s="35" t="str">
        <f t="shared" si="24"/>
        <v>Made</v>
      </c>
      <c r="C172" s="52">
        <f t="array" ref="C172">INDEX('Panduan Gaji'!$H:$H,MATCH(SSOD!B172,'Panduan Gaji'!$C:$C,0))</f>
        <v>21000</v>
      </c>
      <c r="D172" s="61" t="str">
        <f t="array" ref="D172">INDEX('Panduan Gaji'!$Q:$Q,MATCH(SSOD!B172,'Panduan Gaji'!$C:$C,0))</f>
        <v>GS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ht="15.75" hidden="1" customHeight="1">
      <c r="A173" s="25" t="s">
        <v>9</v>
      </c>
      <c r="B173" s="35" t="str">
        <f t="shared" si="24"/>
        <v>Made</v>
      </c>
      <c r="C173" s="52">
        <f t="array" ref="C173">INDEX('Panduan Gaji'!$I:$I,MATCH(SSOD!B173,'Panduan Gaji'!$C:$C,0))</f>
        <v>39150</v>
      </c>
      <c r="D173" s="61" t="str">
        <f t="array" ref="D173">INDEX('Panduan Gaji'!$Q:$Q,MATCH(SSOD!B173,'Panduan Gaji'!$C:$C,0))</f>
        <v>GS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ht="15.75" hidden="1" customHeight="1">
      <c r="A174" s="35" t="s">
        <v>12</v>
      </c>
      <c r="B174" s="35" t="str">
        <f t="shared" si="24"/>
        <v>Made</v>
      </c>
      <c r="C174" s="52">
        <f t="array" ref="C174">INDEX('Panduan Gaji'!$L:$L,MATCH(SSOD!B174,'Panduan Gaji'!$C:$C,0))</f>
        <v>13050</v>
      </c>
      <c r="D174" s="61" t="str">
        <f t="array" ref="D174">INDEX('Panduan Gaji'!$Q:$Q,MATCH(SSOD!B174,'Panduan Gaji'!$C:$C,0))</f>
        <v>GS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ht="15.75" hidden="1" customHeight="1">
      <c r="A175" s="35" t="s">
        <v>30</v>
      </c>
      <c r="B175" s="35" t="str">
        <f t="shared" si="24"/>
        <v>Made</v>
      </c>
      <c r="C175" s="52">
        <f t="array" ref="C175">INDEX('Panduan Gaji'!$K:$K,MATCH(SSOD!B175,'Panduan Gaji'!$C:$C,0))</f>
        <v>13050</v>
      </c>
      <c r="D175" s="61" t="str">
        <f t="array" ref="D175">INDEX('Panduan Gaji'!$Q:$Q,MATCH(SSOD!B175,'Panduan Gaji'!$C:$C,0))</f>
        <v>GS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ht="15.75" hidden="1" customHeight="1">
      <c r="A176" s="22"/>
      <c r="B176" s="22"/>
      <c r="C176" s="311"/>
      <c r="D176" s="166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ht="15.75" hidden="1" customHeight="1">
      <c r="A177" s="25" t="s">
        <v>6</v>
      </c>
      <c r="B177" s="35" t="s">
        <v>98</v>
      </c>
      <c r="C177" s="52">
        <f t="array" ref="C177">INDEX('Panduan Gaji'!$G:$G,MATCH(SSOD!B177,'Panduan Gaji'!$C:$C,0))</f>
        <v>1700000</v>
      </c>
      <c r="D177" s="61" t="str">
        <f t="array" ref="D177">INDEX('Panduan Gaji'!$Q:$Q,MATCH(SSOD!B177,'Panduan Gaji'!$C:$C,0))</f>
        <v>KG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ht="15.75" hidden="1" customHeight="1">
      <c r="A178" s="25" t="s">
        <v>17</v>
      </c>
      <c r="B178" s="35" t="str">
        <f t="shared" ref="B178:B182" si="25">B177</f>
        <v>Nurwahid</v>
      </c>
      <c r="C178" s="52" t="str">
        <f t="array" ref="C178">INDEX('Panduan Gaji'!$F:$F,MATCH(SSOD!B178,'Panduan Gaji'!$C:$C,0))</f>
        <v/>
      </c>
      <c r="D178" s="61" t="str">
        <f t="array" ref="D178">INDEX('Panduan Gaji'!$Q:$Q,MATCH(SSOD!B178,'Panduan Gaji'!$C:$C,0))</f>
        <v>KG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ht="15.75" hidden="1" customHeight="1">
      <c r="A179" s="25" t="s">
        <v>7</v>
      </c>
      <c r="B179" s="35" t="str">
        <f t="shared" si="25"/>
        <v>Nurwahid</v>
      </c>
      <c r="C179" s="52">
        <f t="array" ref="C179">INDEX('Panduan Gaji'!$H:$H,MATCH(SSOD!B179,'Panduan Gaji'!$C:$C,0))</f>
        <v>21000</v>
      </c>
      <c r="D179" s="61" t="str">
        <f t="array" ref="D179">INDEX('Panduan Gaji'!$Q:$Q,MATCH(SSOD!B179,'Panduan Gaji'!$C:$C,0))</f>
        <v>KG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ht="15.75" hidden="1" customHeight="1">
      <c r="A180" s="25" t="s">
        <v>9</v>
      </c>
      <c r="B180" s="35" t="str">
        <f t="shared" si="25"/>
        <v>Nurwahid</v>
      </c>
      <c r="C180" s="52">
        <f t="array" ref="C180">INDEX('Panduan Gaji'!$I:$I,MATCH(SSOD!B180,'Panduan Gaji'!$C:$C,0))</f>
        <v>29000</v>
      </c>
      <c r="D180" s="61" t="str">
        <f t="array" ref="D180">INDEX('Panduan Gaji'!$Q:$Q,MATCH(SSOD!B180,'Panduan Gaji'!$C:$C,0))</f>
        <v>KG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ht="15.75" hidden="1" customHeight="1">
      <c r="A181" s="35" t="s">
        <v>12</v>
      </c>
      <c r="B181" s="35" t="str">
        <f t="shared" si="25"/>
        <v>Nurwahid</v>
      </c>
      <c r="C181" s="52">
        <f t="array" ref="C181">INDEX('Panduan Gaji'!$L:$L,MATCH(SSOD!B181,'Panduan Gaji'!$C:$C,0))</f>
        <v>9666.666667</v>
      </c>
      <c r="D181" s="61" t="str">
        <f t="array" ref="D181">INDEX('Panduan Gaji'!$Q:$Q,MATCH(SSOD!B181,'Panduan Gaji'!$C:$C,0))</f>
        <v>KG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ht="15.75" hidden="1" customHeight="1">
      <c r="A182" s="35" t="s">
        <v>30</v>
      </c>
      <c r="B182" s="35" t="str">
        <f t="shared" si="25"/>
        <v>Nurwahid</v>
      </c>
      <c r="C182" s="52">
        <f t="array" ref="C182">INDEX('Panduan Gaji'!$K:$K,MATCH(SSOD!B182,'Panduan Gaji'!$C:$C,0))</f>
        <v>9666.666667</v>
      </c>
      <c r="D182" s="61" t="str">
        <f t="array" ref="D182">INDEX('Panduan Gaji'!$Q:$Q,MATCH(SSOD!B182,'Panduan Gaji'!$C:$C,0))</f>
        <v>KG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ht="15.75" hidden="1" customHeight="1">
      <c r="A183" s="22"/>
      <c r="B183" s="22"/>
      <c r="C183" s="311"/>
      <c r="D183" s="166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ht="15.75" hidden="1" customHeight="1">
      <c r="A184" s="25" t="s">
        <v>6</v>
      </c>
      <c r="B184" s="35" t="s">
        <v>118</v>
      </c>
      <c r="C184" s="52">
        <f t="array" ref="C184">INDEX('Panduan Gaji'!$G:$G,MATCH(SSOD!B184,'Panduan Gaji'!$C:$C,0))</f>
        <v>1740000</v>
      </c>
      <c r="D184" s="61" t="str">
        <f t="array" ref="D184">INDEX('Panduan Gaji'!$Q:$Q,MATCH(SSOD!B184,'Panduan Gaji'!$C:$C,0))</f>
        <v>KG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ht="15.75" hidden="1" customHeight="1">
      <c r="A185" s="25" t="s">
        <v>17</v>
      </c>
      <c r="B185" s="35" t="str">
        <f t="shared" ref="B185:B189" si="26">B184</f>
        <v>Revan</v>
      </c>
      <c r="C185" s="52" t="str">
        <f t="array" ref="C185">INDEX('Panduan Gaji'!$F:$F,MATCH(SSOD!B185,'Panduan Gaji'!$C:$C,0))</f>
        <v/>
      </c>
      <c r="D185" s="61" t="str">
        <f t="array" ref="D185">INDEX('Panduan Gaji'!$Q:$Q,MATCH(SSOD!B185,'Panduan Gaji'!$C:$C,0))</f>
        <v>KG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ht="15.75" hidden="1" customHeight="1">
      <c r="A186" s="25" t="s">
        <v>7</v>
      </c>
      <c r="B186" s="35" t="str">
        <f t="shared" si="26"/>
        <v>Revan</v>
      </c>
      <c r="C186" s="52">
        <f t="array" ref="C186">INDEX('Panduan Gaji'!$H:$H,MATCH(SSOD!B186,'Panduan Gaji'!$C:$C,0))</f>
        <v>21000</v>
      </c>
      <c r="D186" s="61" t="str">
        <f t="array" ref="D186">INDEX('Panduan Gaji'!$Q:$Q,MATCH(SSOD!B186,'Panduan Gaji'!$C:$C,0))</f>
        <v>KG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ht="15.75" hidden="1" customHeight="1">
      <c r="A187" s="25" t="s">
        <v>9</v>
      </c>
      <c r="B187" s="35" t="str">
        <f t="shared" si="26"/>
        <v>Revan</v>
      </c>
      <c r="C187" s="52">
        <f t="array" ref="C187">INDEX('Panduan Gaji'!$I:$I,MATCH(SSOD!B187,'Panduan Gaji'!$C:$C,0))</f>
        <v>39150</v>
      </c>
      <c r="D187" s="61" t="str">
        <f t="array" ref="D187">INDEX('Panduan Gaji'!$Q:$Q,MATCH(SSOD!B187,'Panduan Gaji'!$C:$C,0))</f>
        <v>KG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ht="15.75" hidden="1" customHeight="1">
      <c r="A188" s="35" t="s">
        <v>12</v>
      </c>
      <c r="B188" s="35" t="str">
        <f t="shared" si="26"/>
        <v>Revan</v>
      </c>
      <c r="C188" s="52">
        <f t="array" ref="C188">INDEX('Panduan Gaji'!$L:$L,MATCH(SSOD!B188,'Panduan Gaji'!$C:$C,0))</f>
        <v>13050</v>
      </c>
      <c r="D188" s="61" t="str">
        <f t="array" ref="D188">INDEX('Panduan Gaji'!$Q:$Q,MATCH(SSOD!B188,'Panduan Gaji'!$C:$C,0))</f>
        <v>KG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ht="15.75" hidden="1" customHeight="1">
      <c r="A189" s="35" t="s">
        <v>30</v>
      </c>
      <c r="B189" s="35" t="str">
        <f t="shared" si="26"/>
        <v>Revan</v>
      </c>
      <c r="C189" s="52">
        <f t="array" ref="C189">INDEX('Panduan Gaji'!$K:$K,MATCH(SSOD!B189,'Panduan Gaji'!$C:$C,0))</f>
        <v>13050</v>
      </c>
      <c r="D189" s="61" t="str">
        <f t="array" ref="D189">INDEX('Panduan Gaji'!$Q:$Q,MATCH(SSOD!B189,'Panduan Gaji'!$C:$C,0))</f>
        <v>KG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ht="15.75" hidden="1" customHeight="1">
      <c r="A190" s="22"/>
      <c r="B190" s="22"/>
      <c r="C190" s="311"/>
      <c r="D190" s="166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ht="15.75" hidden="1" customHeight="1">
      <c r="A191" s="25" t="s">
        <v>6</v>
      </c>
      <c r="B191" s="35" t="s">
        <v>127</v>
      </c>
      <c r="C191" s="52">
        <f t="array" ref="C191">INDEX('Panduan Gaji'!$G:$G,MATCH(SSOD!B191,'Panduan Gaji'!$C:$C,0))</f>
        <v>1479000</v>
      </c>
      <c r="D191" s="61" t="str">
        <f t="array" ref="D191">INDEX('Panduan Gaji'!$Q:$Q,MATCH(SSOD!B191,'Panduan Gaji'!$C:$C,0))</f>
        <v>Fatgai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ht="15.75" hidden="1" customHeight="1">
      <c r="A192" s="25" t="s">
        <v>17</v>
      </c>
      <c r="B192" s="35" t="str">
        <f t="shared" ref="B192:B196" si="27">B191</f>
        <v>Fanny</v>
      </c>
      <c r="C192" s="52" t="str">
        <f t="array" ref="C192">INDEX('Panduan Gaji'!$F:$F,MATCH(SSOD!B192,'Panduan Gaji'!$C:$C,0))</f>
        <v/>
      </c>
      <c r="D192" s="61" t="str">
        <f t="array" ref="D192">INDEX('Panduan Gaji'!$Q:$Q,MATCH(SSOD!B192,'Panduan Gaji'!$C:$C,0))</f>
        <v>Fatgai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ht="15.75" hidden="1" customHeight="1">
      <c r="A193" s="25" t="s">
        <v>7</v>
      </c>
      <c r="B193" s="35" t="str">
        <f t="shared" si="27"/>
        <v>Fanny</v>
      </c>
      <c r="C193" s="52">
        <f t="array" ref="C193">INDEX('Panduan Gaji'!$H:$H,MATCH(SSOD!B193,'Panduan Gaji'!$C:$C,0))</f>
        <v>17850</v>
      </c>
      <c r="D193" s="61" t="str">
        <f t="array" ref="D193">INDEX('Panduan Gaji'!$Q:$Q,MATCH(SSOD!B193,'Panduan Gaji'!$C:$C,0))</f>
        <v>Fatgai</v>
      </c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ht="15.75" hidden="1" customHeight="1">
      <c r="A194" s="25" t="s">
        <v>9</v>
      </c>
      <c r="B194" s="35" t="str">
        <f t="shared" si="27"/>
        <v>Fanny</v>
      </c>
      <c r="C194" s="52">
        <f t="array" ref="C194">INDEX('Panduan Gaji'!$I:$I,MATCH(SSOD!B194,'Panduan Gaji'!$C:$C,0))</f>
        <v>33278</v>
      </c>
      <c r="D194" s="61" t="str">
        <f t="array" ref="D194">INDEX('Panduan Gaji'!$Q:$Q,MATCH(SSOD!B194,'Panduan Gaji'!$C:$C,0))</f>
        <v>Fatgai</v>
      </c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ht="15.75" hidden="1" customHeight="1">
      <c r="A195" s="35" t="s">
        <v>12</v>
      </c>
      <c r="B195" s="35" t="str">
        <f t="shared" si="27"/>
        <v>Fanny</v>
      </c>
      <c r="C195" s="52">
        <f t="array" ref="C195">INDEX('Panduan Gaji'!$L:$L,MATCH(SSOD!B195,'Panduan Gaji'!$C:$C,0))</f>
        <v>11092.66667</v>
      </c>
      <c r="D195" s="61" t="str">
        <f t="array" ref="D195">INDEX('Panduan Gaji'!$Q:$Q,MATCH(SSOD!B195,'Panduan Gaji'!$C:$C,0))</f>
        <v>Fatgai</v>
      </c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ht="15.75" hidden="1" customHeight="1">
      <c r="A196" s="35" t="s">
        <v>30</v>
      </c>
      <c r="B196" s="35" t="str">
        <f t="shared" si="27"/>
        <v>Fanny</v>
      </c>
      <c r="C196" s="52">
        <f t="array" ref="C196">INDEX('Panduan Gaji'!$K:$K,MATCH(SSOD!B196,'Panduan Gaji'!$C:$C,0))</f>
        <v>11092.66667</v>
      </c>
      <c r="D196" s="61" t="str">
        <f t="array" ref="D196">INDEX('Panduan Gaji'!$Q:$Q,MATCH(SSOD!B196,'Panduan Gaji'!$C:$C,0))</f>
        <v>Fatgai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ht="15.75" hidden="1" customHeight="1">
      <c r="A197" s="22"/>
      <c r="B197" s="22"/>
      <c r="C197" s="311"/>
      <c r="D197" s="166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ht="15.75" hidden="1" customHeight="1">
      <c r="A198" s="22"/>
      <c r="B198" s="22"/>
      <c r="C198" s="311"/>
      <c r="D198" s="166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ht="15.75" hidden="1" customHeight="1">
      <c r="A199" s="22"/>
      <c r="B199" s="22"/>
      <c r="C199" s="311"/>
      <c r="D199" s="166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ht="15.75" hidden="1" customHeight="1">
      <c r="A200" s="22"/>
      <c r="B200" s="22"/>
      <c r="C200" s="311"/>
      <c r="D200" s="166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ht="15.75" hidden="1" customHeight="1">
      <c r="A201" s="22"/>
      <c r="B201" s="22"/>
      <c r="C201" s="311"/>
      <c r="D201" s="166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ht="15.75" hidden="1" customHeight="1">
      <c r="A202" s="22"/>
      <c r="B202" s="22"/>
      <c r="C202" s="311"/>
      <c r="D202" s="166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ht="15.75" hidden="1" customHeight="1">
      <c r="A203" s="22"/>
      <c r="B203" s="22"/>
      <c r="C203" s="311"/>
      <c r="D203" s="166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ht="15.75" hidden="1" customHeight="1">
      <c r="A204" s="22"/>
      <c r="B204" s="22"/>
      <c r="C204" s="311"/>
      <c r="D204" s="166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ht="15.75" hidden="1" customHeight="1">
      <c r="A205" s="22"/>
      <c r="B205" s="22"/>
      <c r="C205" s="311"/>
      <c r="D205" s="166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ht="15.75" hidden="1" customHeight="1">
      <c r="A206" s="22"/>
      <c r="B206" s="22"/>
      <c r="C206" s="311"/>
      <c r="D206" s="166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ht="15.75" hidden="1" customHeight="1">
      <c r="A207" s="22"/>
      <c r="B207" s="22"/>
      <c r="C207" s="311"/>
      <c r="D207" s="166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ht="15.75" hidden="1" customHeight="1">
      <c r="A208" s="22"/>
      <c r="B208" s="22"/>
      <c r="C208" s="311"/>
      <c r="D208" s="166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ht="15.75" hidden="1" customHeight="1">
      <c r="A209" s="22"/>
      <c r="B209" s="22"/>
      <c r="C209" s="311"/>
      <c r="D209" s="166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ht="15.75" hidden="1" customHeight="1">
      <c r="A210" s="22"/>
      <c r="B210" s="22"/>
      <c r="C210" s="311"/>
      <c r="D210" s="166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ht="15.75" hidden="1" customHeight="1">
      <c r="A211" s="22"/>
      <c r="B211" s="22"/>
      <c r="C211" s="311"/>
      <c r="D211" s="166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ht="15.75" hidden="1" customHeight="1">
      <c r="A212" s="22"/>
      <c r="B212" s="22"/>
      <c r="C212" s="311"/>
      <c r="D212" s="166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ht="15.75" hidden="1" customHeight="1">
      <c r="A213" s="22"/>
      <c r="B213" s="22"/>
      <c r="C213" s="311"/>
      <c r="D213" s="166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ht="15.75" hidden="1" customHeight="1">
      <c r="A214" s="22"/>
      <c r="B214" s="22"/>
      <c r="C214" s="311"/>
      <c r="D214" s="166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ht="15.75" hidden="1" customHeight="1">
      <c r="A215" s="22"/>
      <c r="B215" s="22"/>
      <c r="C215" s="311"/>
      <c r="D215" s="166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ht="15.75" hidden="1" customHeight="1">
      <c r="A216" s="22"/>
      <c r="B216" s="22"/>
      <c r="C216" s="311"/>
      <c r="D216" s="166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ht="15.75" hidden="1" customHeight="1">
      <c r="A217" s="22"/>
      <c r="B217" s="22"/>
      <c r="C217" s="311"/>
      <c r="D217" s="166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ht="15.75" hidden="1" customHeight="1">
      <c r="A218" s="22"/>
      <c r="B218" s="22"/>
      <c r="C218" s="311"/>
      <c r="D218" s="166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ht="15.75" hidden="1" customHeight="1">
      <c r="A219" s="22"/>
      <c r="B219" s="22"/>
      <c r="C219" s="311"/>
      <c r="D219" s="166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ht="15.75" hidden="1" customHeight="1">
      <c r="A220" s="22"/>
      <c r="B220" s="22"/>
      <c r="C220" s="311"/>
      <c r="D220" s="166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ht="15.75" hidden="1" customHeight="1">
      <c r="A221" s="22"/>
      <c r="B221" s="22"/>
      <c r="C221" s="311"/>
      <c r="D221" s="166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ht="15.75" hidden="1" customHeight="1">
      <c r="A222" s="22"/>
      <c r="B222" s="22"/>
      <c r="C222" s="311"/>
      <c r="D222" s="166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ht="15.75" hidden="1" customHeight="1">
      <c r="A223" s="22"/>
      <c r="B223" s="22"/>
      <c r="C223" s="311"/>
      <c r="D223" s="166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ht="15.75" hidden="1" customHeight="1">
      <c r="A224" s="22"/>
      <c r="B224" s="22"/>
      <c r="C224" s="311"/>
      <c r="D224" s="166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ht="15.75" hidden="1" customHeight="1">
      <c r="A225" s="22"/>
      <c r="B225" s="22"/>
      <c r="C225" s="311"/>
      <c r="D225" s="166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ht="15.75" hidden="1" customHeight="1">
      <c r="A226" s="22"/>
      <c r="B226" s="22"/>
      <c r="C226" s="311"/>
      <c r="D226" s="166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ht="15.75" hidden="1" customHeight="1">
      <c r="A227" s="22"/>
      <c r="B227" s="22"/>
      <c r="C227" s="311"/>
      <c r="D227" s="166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ht="15.75" hidden="1" customHeight="1">
      <c r="A228" s="22"/>
      <c r="B228" s="22"/>
      <c r="C228" s="311"/>
      <c r="D228" s="166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ht="15.75" hidden="1" customHeight="1">
      <c r="A229" s="22"/>
      <c r="B229" s="22"/>
      <c r="C229" s="311"/>
      <c r="D229" s="166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ht="15.75" hidden="1" customHeight="1">
      <c r="A230" s="22"/>
      <c r="B230" s="22"/>
      <c r="C230" s="311"/>
      <c r="D230" s="166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ht="15.75" hidden="1" customHeight="1">
      <c r="A231" s="22"/>
      <c r="B231" s="22"/>
      <c r="C231" s="311"/>
      <c r="D231" s="166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ht="15.75" hidden="1" customHeight="1">
      <c r="A232" s="22"/>
      <c r="B232" s="22"/>
      <c r="C232" s="311"/>
      <c r="D232" s="166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ht="15.75" hidden="1" customHeight="1">
      <c r="A233" s="22"/>
      <c r="B233" s="22"/>
      <c r="C233" s="311"/>
      <c r="D233" s="166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ht="15.75" hidden="1" customHeight="1">
      <c r="A234" s="22"/>
      <c r="B234" s="22"/>
      <c r="C234" s="311"/>
      <c r="D234" s="166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ht="15.75" hidden="1" customHeight="1">
      <c r="A235" s="22"/>
      <c r="B235" s="22"/>
      <c r="C235" s="311"/>
      <c r="D235" s="166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ht="15.75" hidden="1" customHeight="1">
      <c r="A236" s="22"/>
      <c r="B236" s="22"/>
      <c r="C236" s="311"/>
      <c r="D236" s="166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ht="15.75" hidden="1" customHeight="1">
      <c r="A237" s="22"/>
      <c r="B237" s="22"/>
      <c r="C237" s="311"/>
      <c r="D237" s="166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ht="15.75" hidden="1" customHeight="1">
      <c r="A238" s="22"/>
      <c r="B238" s="22"/>
      <c r="C238" s="311"/>
      <c r="D238" s="166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 ht="15.75" hidden="1" customHeight="1">
      <c r="A239" s="22"/>
      <c r="B239" s="22"/>
      <c r="C239" s="311"/>
      <c r="D239" s="166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 ht="15.75" hidden="1" customHeight="1">
      <c r="A240" s="22"/>
      <c r="B240" s="22"/>
      <c r="C240" s="311"/>
      <c r="D240" s="166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 ht="15.75" hidden="1" customHeight="1">
      <c r="A241" s="22"/>
      <c r="B241" s="22"/>
      <c r="C241" s="311"/>
      <c r="D241" s="166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 ht="15.75" hidden="1" customHeight="1">
      <c r="A242" s="22"/>
      <c r="B242" s="22"/>
      <c r="C242" s="311"/>
      <c r="D242" s="166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 ht="15.75" hidden="1" customHeight="1">
      <c r="A243" s="22"/>
      <c r="B243" s="22"/>
      <c r="C243" s="311"/>
      <c r="D243" s="166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ht="15.75" hidden="1" customHeight="1">
      <c r="A244" s="22"/>
      <c r="B244" s="22"/>
      <c r="C244" s="311"/>
      <c r="D244" s="166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 ht="15.75" hidden="1" customHeight="1">
      <c r="A245" s="22"/>
      <c r="B245" s="22"/>
      <c r="C245" s="311"/>
      <c r="D245" s="166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 ht="15.75" hidden="1" customHeight="1">
      <c r="A246" s="22"/>
      <c r="B246" s="22"/>
      <c r="C246" s="311"/>
      <c r="D246" s="166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ht="15.75" hidden="1" customHeight="1">
      <c r="A247" s="22"/>
      <c r="B247" s="22"/>
      <c r="C247" s="311"/>
      <c r="D247" s="166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 ht="15.75" hidden="1" customHeight="1">
      <c r="A248" s="22"/>
      <c r="B248" s="22"/>
      <c r="C248" s="311"/>
      <c r="D248" s="166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 ht="15.75" hidden="1" customHeight="1">
      <c r="A249" s="22"/>
      <c r="B249" s="22"/>
      <c r="C249" s="311"/>
      <c r="D249" s="166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 ht="15.75" hidden="1" customHeight="1">
      <c r="A250" s="22"/>
      <c r="B250" s="22"/>
      <c r="C250" s="311"/>
      <c r="D250" s="166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 ht="15.75" hidden="1" customHeight="1">
      <c r="A251" s="22"/>
      <c r="B251" s="22"/>
      <c r="C251" s="311"/>
      <c r="D251" s="166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 ht="15.75" hidden="1" customHeight="1">
      <c r="A252" s="22"/>
      <c r="B252" s="22"/>
      <c r="C252" s="311"/>
      <c r="D252" s="166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 ht="15.75" hidden="1" customHeight="1">
      <c r="A253" s="22"/>
      <c r="B253" s="22"/>
      <c r="C253" s="311"/>
      <c r="D253" s="166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 ht="15.75" hidden="1" customHeight="1">
      <c r="A254" s="22"/>
      <c r="B254" s="22"/>
      <c r="C254" s="311"/>
      <c r="D254" s="166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 ht="15.75" hidden="1" customHeight="1">
      <c r="A255" s="22"/>
      <c r="B255" s="22"/>
      <c r="C255" s="311"/>
      <c r="D255" s="166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 ht="15.75" hidden="1" customHeight="1">
      <c r="A256" s="22"/>
      <c r="B256" s="22"/>
      <c r="C256" s="311"/>
      <c r="D256" s="166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 ht="15.75" hidden="1" customHeight="1">
      <c r="A257" s="22"/>
      <c r="B257" s="22"/>
      <c r="C257" s="311"/>
      <c r="D257" s="166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 ht="15.75" hidden="1" customHeight="1">
      <c r="A258" s="22"/>
      <c r="B258" s="22"/>
      <c r="C258" s="311"/>
      <c r="D258" s="166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 ht="15.75" hidden="1" customHeight="1">
      <c r="A259" s="22"/>
      <c r="B259" s="22"/>
      <c r="C259" s="311"/>
      <c r="D259" s="166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 ht="15.75" hidden="1" customHeight="1">
      <c r="A260" s="22"/>
      <c r="B260" s="22"/>
      <c r="C260" s="311"/>
      <c r="D260" s="166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ht="15.75" hidden="1" customHeight="1">
      <c r="A261" s="22"/>
      <c r="B261" s="22"/>
      <c r="C261" s="311"/>
      <c r="D261" s="166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 ht="15.75" hidden="1" customHeight="1">
      <c r="A262" s="22"/>
      <c r="B262" s="22"/>
      <c r="C262" s="311"/>
      <c r="D262" s="166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 ht="15.75" hidden="1" customHeight="1">
      <c r="A263" s="22"/>
      <c r="B263" s="22"/>
      <c r="C263" s="311"/>
      <c r="D263" s="166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 ht="15.75" hidden="1" customHeight="1">
      <c r="A264" s="22"/>
      <c r="B264" s="22"/>
      <c r="C264" s="311"/>
      <c r="D264" s="166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 ht="15.75" hidden="1" customHeight="1">
      <c r="A265" s="22"/>
      <c r="B265" s="22"/>
      <c r="C265" s="311"/>
      <c r="D265" s="166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 ht="15.75" hidden="1" customHeight="1">
      <c r="A266" s="22"/>
      <c r="B266" s="22"/>
      <c r="C266" s="311"/>
      <c r="D266" s="166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 ht="15.75" hidden="1" customHeight="1">
      <c r="A267" s="22"/>
      <c r="B267" s="22"/>
      <c r="C267" s="311"/>
      <c r="D267" s="166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 ht="15.75" hidden="1" customHeight="1">
      <c r="A268" s="22"/>
      <c r="B268" s="22"/>
      <c r="C268" s="311"/>
      <c r="D268" s="166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 ht="15.75" hidden="1" customHeight="1">
      <c r="A269" s="22"/>
      <c r="B269" s="22"/>
      <c r="C269" s="311"/>
      <c r="D269" s="166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 ht="15.75" hidden="1" customHeight="1">
      <c r="A270" s="22"/>
      <c r="B270" s="22"/>
      <c r="C270" s="311"/>
      <c r="D270" s="166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 ht="15.75" hidden="1" customHeight="1">
      <c r="A271" s="22"/>
      <c r="B271" s="22"/>
      <c r="C271" s="311"/>
      <c r="D271" s="166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 ht="15.75" hidden="1" customHeight="1">
      <c r="A272" s="22"/>
      <c r="B272" s="22"/>
      <c r="C272" s="311"/>
      <c r="D272" s="166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 ht="15.75" hidden="1" customHeight="1">
      <c r="A273" s="22"/>
      <c r="B273" s="22"/>
      <c r="C273" s="311"/>
      <c r="D273" s="166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 ht="15.75" hidden="1" customHeight="1">
      <c r="A274" s="22"/>
      <c r="B274" s="22"/>
      <c r="C274" s="311"/>
      <c r="D274" s="166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 ht="15.75" hidden="1" customHeight="1">
      <c r="A275" s="22"/>
      <c r="B275" s="22"/>
      <c r="C275" s="311"/>
      <c r="D275" s="166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ht="15.75" hidden="1" customHeight="1">
      <c r="A276" s="22"/>
      <c r="B276" s="22"/>
      <c r="C276" s="311"/>
      <c r="D276" s="166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 ht="15.75" hidden="1" customHeight="1">
      <c r="A277" s="22"/>
      <c r="B277" s="22"/>
      <c r="C277" s="311"/>
      <c r="D277" s="166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 ht="15.75" hidden="1" customHeight="1">
      <c r="A278" s="22"/>
      <c r="B278" s="22"/>
      <c r="C278" s="311"/>
      <c r="D278" s="166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 ht="15.75" hidden="1" customHeight="1">
      <c r="A279" s="22"/>
      <c r="B279" s="22"/>
      <c r="C279" s="311"/>
      <c r="D279" s="166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 ht="15.75" hidden="1" customHeight="1">
      <c r="A280" s="22"/>
      <c r="B280" s="22"/>
      <c r="C280" s="311"/>
      <c r="D280" s="166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 ht="15.75" hidden="1" customHeight="1">
      <c r="A281" s="22"/>
      <c r="B281" s="22"/>
      <c r="C281" s="311"/>
      <c r="D281" s="166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 ht="15.75" hidden="1" customHeight="1">
      <c r="A282" s="22"/>
      <c r="B282" s="22"/>
      <c r="C282" s="311"/>
      <c r="D282" s="166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 ht="15.75" hidden="1" customHeight="1">
      <c r="A283" s="22"/>
      <c r="B283" s="22"/>
      <c r="C283" s="311"/>
      <c r="D283" s="166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 ht="15.75" hidden="1" customHeight="1">
      <c r="A284" s="22"/>
      <c r="B284" s="22"/>
      <c r="C284" s="311"/>
      <c r="D284" s="166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 ht="15.75" hidden="1" customHeight="1">
      <c r="A285" s="22"/>
      <c r="B285" s="22"/>
      <c r="C285" s="311"/>
      <c r="D285" s="166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ht="15.75" hidden="1" customHeight="1">
      <c r="A286" s="22"/>
      <c r="B286" s="22"/>
      <c r="C286" s="311"/>
      <c r="D286" s="166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 ht="15.75" hidden="1" customHeight="1">
      <c r="A287" s="22"/>
      <c r="B287" s="22"/>
      <c r="C287" s="311"/>
      <c r="D287" s="166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 ht="15.75" hidden="1" customHeight="1">
      <c r="A288" s="22"/>
      <c r="B288" s="22"/>
      <c r="C288" s="311"/>
      <c r="D288" s="166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 ht="15.75" hidden="1" customHeight="1">
      <c r="A289" s="22"/>
      <c r="B289" s="22"/>
      <c r="C289" s="311"/>
      <c r="D289" s="166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 ht="15.75" hidden="1" customHeight="1">
      <c r="A290" s="22"/>
      <c r="B290" s="22"/>
      <c r="C290" s="311"/>
      <c r="D290" s="166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 ht="15.75" hidden="1" customHeight="1">
      <c r="A291" s="22"/>
      <c r="B291" s="22"/>
      <c r="C291" s="311"/>
      <c r="D291" s="166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 ht="15.75" hidden="1" customHeight="1">
      <c r="A292" s="22"/>
      <c r="B292" s="22"/>
      <c r="C292" s="311"/>
      <c r="D292" s="166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 ht="15.75" hidden="1" customHeight="1">
      <c r="A293" s="22"/>
      <c r="B293" s="22"/>
      <c r="C293" s="311"/>
      <c r="D293" s="166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 ht="15.75" hidden="1" customHeight="1">
      <c r="A294" s="22"/>
      <c r="B294" s="22"/>
      <c r="C294" s="311"/>
      <c r="D294" s="166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 ht="15.75" hidden="1" customHeight="1">
      <c r="A295" s="22"/>
      <c r="B295" s="22"/>
      <c r="C295" s="311"/>
      <c r="D295" s="166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 ht="15.75" hidden="1" customHeight="1">
      <c r="A296" s="22"/>
      <c r="B296" s="22"/>
      <c r="C296" s="311"/>
      <c r="D296" s="166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 ht="15.75" hidden="1" customHeight="1">
      <c r="A297" s="22"/>
      <c r="B297" s="22"/>
      <c r="C297" s="311"/>
      <c r="D297" s="166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 ht="15.75" hidden="1" customHeight="1">
      <c r="A298" s="22"/>
      <c r="B298" s="22"/>
      <c r="C298" s="311"/>
      <c r="D298" s="166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 ht="15.75" hidden="1" customHeight="1">
      <c r="A299" s="22"/>
      <c r="B299" s="22"/>
      <c r="C299" s="311"/>
      <c r="D299" s="166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 ht="15.75" hidden="1" customHeight="1">
      <c r="A300" s="22"/>
      <c r="B300" s="22"/>
      <c r="C300" s="311"/>
      <c r="D300" s="166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 ht="15.75" hidden="1" customHeight="1">
      <c r="A301" s="22"/>
      <c r="B301" s="22"/>
      <c r="C301" s="311"/>
      <c r="D301" s="166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 ht="15.75" hidden="1" customHeight="1">
      <c r="A302" s="22"/>
      <c r="B302" s="22"/>
      <c r="C302" s="311"/>
      <c r="D302" s="166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 ht="15.75" hidden="1" customHeight="1">
      <c r="A303" s="22"/>
      <c r="B303" s="22"/>
      <c r="C303" s="311"/>
      <c r="D303" s="166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 ht="15.75" hidden="1" customHeight="1">
      <c r="A304" s="22"/>
      <c r="B304" s="22"/>
      <c r="C304" s="311"/>
      <c r="D304" s="166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 ht="15.75" hidden="1" customHeight="1">
      <c r="A305" s="22"/>
      <c r="B305" s="22"/>
      <c r="C305" s="311"/>
      <c r="D305" s="166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 ht="15.75" hidden="1" customHeight="1">
      <c r="A306" s="22"/>
      <c r="B306" s="22"/>
      <c r="C306" s="311"/>
      <c r="D306" s="166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 ht="15.75" hidden="1" customHeight="1">
      <c r="A307" s="22"/>
      <c r="B307" s="22"/>
      <c r="C307" s="311"/>
      <c r="D307" s="166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 ht="15.75" hidden="1" customHeight="1">
      <c r="A308" s="22"/>
      <c r="B308" s="22"/>
      <c r="C308" s="311"/>
      <c r="D308" s="166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 ht="15.75" hidden="1" customHeight="1">
      <c r="A309" s="22"/>
      <c r="B309" s="22"/>
      <c r="C309" s="311"/>
      <c r="D309" s="166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 ht="15.75" hidden="1" customHeight="1">
      <c r="A310" s="22"/>
      <c r="B310" s="22"/>
      <c r="C310" s="311"/>
      <c r="D310" s="166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 ht="15.75" hidden="1" customHeight="1">
      <c r="A311" s="22"/>
      <c r="B311" s="22"/>
      <c r="C311" s="311"/>
      <c r="D311" s="166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 ht="15.75" hidden="1" customHeight="1">
      <c r="A312" s="22"/>
      <c r="B312" s="22"/>
      <c r="C312" s="311"/>
      <c r="D312" s="166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 ht="15.75" hidden="1" customHeight="1">
      <c r="A313" s="22"/>
      <c r="B313" s="22"/>
      <c r="C313" s="311"/>
      <c r="D313" s="166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 ht="15.75" hidden="1" customHeight="1">
      <c r="A314" s="22"/>
      <c r="B314" s="22"/>
      <c r="C314" s="311"/>
      <c r="D314" s="166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 ht="15.75" hidden="1" customHeight="1">
      <c r="A315" s="22"/>
      <c r="B315" s="22"/>
      <c r="C315" s="311"/>
      <c r="D315" s="166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 ht="15.75" hidden="1" customHeight="1">
      <c r="A316" s="22"/>
      <c r="B316" s="22"/>
      <c r="C316" s="311"/>
      <c r="D316" s="166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 ht="15.75" hidden="1" customHeight="1">
      <c r="A317" s="22"/>
      <c r="B317" s="22"/>
      <c r="C317" s="311"/>
      <c r="D317" s="166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 ht="15.75" hidden="1" customHeight="1">
      <c r="A318" s="22"/>
      <c r="B318" s="22"/>
      <c r="C318" s="311"/>
      <c r="D318" s="166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 ht="15.75" hidden="1" customHeight="1">
      <c r="A319" s="22"/>
      <c r="B319" s="22"/>
      <c r="C319" s="311"/>
      <c r="D319" s="166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 ht="15.75" hidden="1" customHeight="1">
      <c r="A320" s="22"/>
      <c r="B320" s="22"/>
      <c r="C320" s="311"/>
      <c r="D320" s="166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 ht="15.75" hidden="1" customHeight="1">
      <c r="A321" s="22"/>
      <c r="B321" s="22"/>
      <c r="C321" s="311"/>
      <c r="D321" s="166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 ht="15.75" hidden="1" customHeight="1">
      <c r="A322" s="22"/>
      <c r="B322" s="22"/>
      <c r="C322" s="311"/>
      <c r="D322" s="166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 ht="15.75" hidden="1" customHeight="1">
      <c r="A323" s="22"/>
      <c r="B323" s="22"/>
      <c r="C323" s="311"/>
      <c r="D323" s="166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 ht="15.75" hidden="1" customHeight="1">
      <c r="A324" s="22"/>
      <c r="B324" s="22"/>
      <c r="C324" s="311"/>
      <c r="D324" s="166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 ht="15.75" hidden="1" customHeight="1">
      <c r="A325" s="22"/>
      <c r="B325" s="22"/>
      <c r="C325" s="311"/>
      <c r="D325" s="166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 ht="15.75" hidden="1" customHeight="1">
      <c r="A326" s="22"/>
      <c r="B326" s="22"/>
      <c r="C326" s="311"/>
      <c r="D326" s="166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 ht="15.75" hidden="1" customHeight="1">
      <c r="A327" s="22"/>
      <c r="B327" s="22"/>
      <c r="C327" s="311"/>
      <c r="D327" s="166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 ht="15.75" hidden="1" customHeight="1">
      <c r="A328" s="22"/>
      <c r="B328" s="22"/>
      <c r="C328" s="311"/>
      <c r="D328" s="166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 ht="15.75" hidden="1" customHeight="1">
      <c r="A329" s="22"/>
      <c r="B329" s="22"/>
      <c r="C329" s="311"/>
      <c r="D329" s="166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 ht="15.75" hidden="1" customHeight="1">
      <c r="A330" s="22"/>
      <c r="B330" s="22"/>
      <c r="C330" s="311"/>
      <c r="D330" s="166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 ht="15.75" hidden="1" customHeight="1">
      <c r="A331" s="22"/>
      <c r="B331" s="22"/>
      <c r="C331" s="311"/>
      <c r="D331" s="166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 ht="15.75" hidden="1" customHeight="1">
      <c r="A332" s="22"/>
      <c r="B332" s="22"/>
      <c r="C332" s="311"/>
      <c r="D332" s="166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 ht="15.75" hidden="1" customHeight="1">
      <c r="A333" s="22"/>
      <c r="B333" s="22"/>
      <c r="C333" s="311"/>
      <c r="D333" s="166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 ht="15.75" hidden="1" customHeight="1">
      <c r="A334" s="22"/>
      <c r="B334" s="22"/>
      <c r="C334" s="311"/>
      <c r="D334" s="166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 ht="15.75" hidden="1" customHeight="1">
      <c r="A335" s="22"/>
      <c r="B335" s="22"/>
      <c r="C335" s="311"/>
      <c r="D335" s="166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 ht="15.75" hidden="1" customHeight="1">
      <c r="A336" s="22"/>
      <c r="B336" s="22"/>
      <c r="C336" s="311"/>
      <c r="D336" s="166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 ht="15.75" hidden="1" customHeight="1">
      <c r="A337" s="22"/>
      <c r="B337" s="22"/>
      <c r="C337" s="311"/>
      <c r="D337" s="166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 ht="15.75" hidden="1" customHeight="1">
      <c r="A338" s="22"/>
      <c r="B338" s="22"/>
      <c r="C338" s="311"/>
      <c r="D338" s="166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 ht="15.75" hidden="1" customHeight="1">
      <c r="A339" s="22"/>
      <c r="B339" s="22"/>
      <c r="C339" s="311"/>
      <c r="D339" s="166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 ht="15.75" hidden="1" customHeight="1">
      <c r="A340" s="22"/>
      <c r="B340" s="22"/>
      <c r="C340" s="311"/>
      <c r="D340" s="166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 ht="15.75" hidden="1" customHeight="1">
      <c r="A341" s="22"/>
      <c r="B341" s="22"/>
      <c r="C341" s="311"/>
      <c r="D341" s="166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 ht="15.75" hidden="1" customHeight="1">
      <c r="A342" s="22"/>
      <c r="B342" s="22"/>
      <c r="C342" s="311"/>
      <c r="D342" s="166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 ht="15.75" hidden="1" customHeight="1">
      <c r="A343" s="22"/>
      <c r="B343" s="22"/>
      <c r="C343" s="311"/>
      <c r="D343" s="166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 ht="15.75" hidden="1" customHeight="1">
      <c r="A344" s="22"/>
      <c r="B344" s="22"/>
      <c r="C344" s="311"/>
      <c r="D344" s="166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 ht="15.75" hidden="1" customHeight="1">
      <c r="A345" s="22"/>
      <c r="B345" s="22"/>
      <c r="C345" s="311"/>
      <c r="D345" s="166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 ht="15.75" hidden="1" customHeight="1">
      <c r="A346" s="22"/>
      <c r="B346" s="22"/>
      <c r="C346" s="311"/>
      <c r="D346" s="166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 ht="15.75" hidden="1" customHeight="1">
      <c r="A347" s="22"/>
      <c r="B347" s="22"/>
      <c r="C347" s="311"/>
      <c r="D347" s="166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 ht="15.75" hidden="1" customHeight="1">
      <c r="A348" s="22"/>
      <c r="B348" s="22"/>
      <c r="C348" s="311"/>
      <c r="D348" s="166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 ht="15.75" hidden="1" customHeight="1">
      <c r="A349" s="22"/>
      <c r="B349" s="22"/>
      <c r="C349" s="311"/>
      <c r="D349" s="166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 ht="15.75" hidden="1" customHeight="1">
      <c r="A350" s="22"/>
      <c r="B350" s="22"/>
      <c r="C350" s="311"/>
      <c r="D350" s="166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 ht="15.75" hidden="1" customHeight="1">
      <c r="A351" s="22"/>
      <c r="B351" s="22"/>
      <c r="C351" s="311"/>
      <c r="D351" s="166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 ht="15.75" hidden="1" customHeight="1">
      <c r="A352" s="22"/>
      <c r="B352" s="22"/>
      <c r="C352" s="311"/>
      <c r="D352" s="166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 ht="15.75" hidden="1" customHeight="1">
      <c r="A353" s="22"/>
      <c r="B353" s="22"/>
      <c r="C353" s="311"/>
      <c r="D353" s="166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 ht="15.75" hidden="1" customHeight="1">
      <c r="A354" s="22"/>
      <c r="B354" s="22"/>
      <c r="C354" s="311"/>
      <c r="D354" s="166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 ht="15.75" hidden="1" customHeight="1">
      <c r="A355" s="22"/>
      <c r="B355" s="22"/>
      <c r="C355" s="311"/>
      <c r="D355" s="166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 ht="15.75" hidden="1" customHeight="1">
      <c r="A356" s="22"/>
      <c r="B356" s="22"/>
      <c r="C356" s="311"/>
      <c r="D356" s="166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 ht="15.75" hidden="1" customHeight="1">
      <c r="A357" s="22"/>
      <c r="B357" s="22"/>
      <c r="C357" s="311"/>
      <c r="D357" s="166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 ht="15.75" hidden="1" customHeight="1">
      <c r="A358" s="22"/>
      <c r="B358" s="22"/>
      <c r="C358" s="311"/>
      <c r="D358" s="166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 ht="15.75" hidden="1" customHeight="1">
      <c r="A359" s="22"/>
      <c r="B359" s="22"/>
      <c r="C359" s="311"/>
      <c r="D359" s="166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 ht="15.75" hidden="1" customHeight="1">
      <c r="A360" s="22"/>
      <c r="B360" s="22"/>
      <c r="C360" s="311"/>
      <c r="D360" s="166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 ht="15.75" hidden="1" customHeight="1">
      <c r="A361" s="22"/>
      <c r="B361" s="22"/>
      <c r="C361" s="311"/>
      <c r="D361" s="166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 ht="15.75" hidden="1" customHeight="1">
      <c r="A362" s="22"/>
      <c r="B362" s="22"/>
      <c r="C362" s="311"/>
      <c r="D362" s="166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 ht="15.75" hidden="1" customHeight="1">
      <c r="A363" s="22"/>
      <c r="B363" s="22"/>
      <c r="C363" s="311"/>
      <c r="D363" s="166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 ht="15.75" hidden="1" customHeight="1">
      <c r="A364" s="22"/>
      <c r="B364" s="22"/>
      <c r="C364" s="311"/>
      <c r="D364" s="166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 ht="15.75" hidden="1" customHeight="1">
      <c r="A365" s="22"/>
      <c r="B365" s="22"/>
      <c r="C365" s="311"/>
      <c r="D365" s="166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 ht="15.75" hidden="1" customHeight="1">
      <c r="A366" s="22"/>
      <c r="B366" s="22"/>
      <c r="C366" s="311"/>
      <c r="D366" s="166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 ht="15.75" hidden="1" customHeight="1">
      <c r="A367" s="22"/>
      <c r="B367" s="22"/>
      <c r="C367" s="311"/>
      <c r="D367" s="166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 ht="15.75" hidden="1" customHeight="1">
      <c r="A368" s="22"/>
      <c r="B368" s="22"/>
      <c r="C368" s="311"/>
      <c r="D368" s="166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 ht="15.75" hidden="1" customHeight="1">
      <c r="A369" s="22"/>
      <c r="B369" s="22"/>
      <c r="C369" s="311"/>
      <c r="D369" s="166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 ht="15.75" hidden="1" customHeight="1">
      <c r="A370" s="22"/>
      <c r="B370" s="22"/>
      <c r="C370" s="311"/>
      <c r="D370" s="166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 ht="15.75" hidden="1" customHeight="1">
      <c r="A371" s="22"/>
      <c r="B371" s="22"/>
      <c r="C371" s="311"/>
      <c r="D371" s="166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 ht="15.75" hidden="1" customHeight="1">
      <c r="A372" s="22"/>
      <c r="B372" s="22"/>
      <c r="C372" s="311"/>
      <c r="D372" s="166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 ht="15.75" hidden="1" customHeight="1">
      <c r="A373" s="22"/>
      <c r="B373" s="22"/>
      <c r="C373" s="311"/>
      <c r="D373" s="166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 ht="15.75" hidden="1" customHeight="1">
      <c r="A374" s="22"/>
      <c r="B374" s="22"/>
      <c r="C374" s="311"/>
      <c r="D374" s="166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 ht="15.75" hidden="1" customHeight="1">
      <c r="A375" s="22"/>
      <c r="B375" s="22"/>
      <c r="C375" s="311"/>
      <c r="D375" s="166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 ht="15.75" hidden="1" customHeight="1">
      <c r="A376" s="22"/>
      <c r="B376" s="22"/>
      <c r="C376" s="311"/>
      <c r="D376" s="166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 ht="15.75" hidden="1" customHeight="1">
      <c r="A377" s="22"/>
      <c r="B377" s="22"/>
      <c r="C377" s="311"/>
      <c r="D377" s="166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 ht="15.75" hidden="1" customHeight="1">
      <c r="A378" s="22"/>
      <c r="B378" s="22"/>
      <c r="C378" s="311"/>
      <c r="D378" s="166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 ht="15.75" hidden="1" customHeight="1">
      <c r="A379" s="22"/>
      <c r="B379" s="22"/>
      <c r="C379" s="311"/>
      <c r="D379" s="166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 ht="15.75" hidden="1" customHeight="1">
      <c r="A380" s="22"/>
      <c r="B380" s="22"/>
      <c r="C380" s="311"/>
      <c r="D380" s="166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 ht="15.75" hidden="1" customHeight="1">
      <c r="A381" s="22"/>
      <c r="B381" s="22"/>
      <c r="C381" s="311"/>
      <c r="D381" s="166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 ht="15.75" hidden="1" customHeight="1">
      <c r="A382" s="22"/>
      <c r="B382" s="22"/>
      <c r="C382" s="311"/>
      <c r="D382" s="166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 ht="15.75" hidden="1" customHeight="1">
      <c r="A383" s="247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</row>
    <row r="384" ht="15.75" hidden="1" customHeight="1">
      <c r="A384" s="247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</row>
    <row r="385" ht="15.75" hidden="1" customHeight="1">
      <c r="A385" s="247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</row>
    <row r="386" ht="15.75" hidden="1" customHeight="1">
      <c r="A386" s="247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</row>
    <row r="387" ht="15.75" hidden="1" customHeight="1">
      <c r="A387" s="247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</row>
    <row r="388" ht="15.75" hidden="1" customHeight="1">
      <c r="A388" s="247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</row>
    <row r="389" ht="15.75" hidden="1" customHeight="1">
      <c r="A389" s="247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</row>
    <row r="390" ht="15.75" hidden="1" customHeight="1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</row>
    <row r="391" ht="15.75" hidden="1" customHeight="1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</row>
    <row r="392" ht="15.75" hidden="1" customHeight="1">
      <c r="A392" s="247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</row>
    <row r="393" ht="15.75" hidden="1" customHeight="1">
      <c r="A393" s="247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</row>
    <row r="394" ht="15.75" hidden="1" customHeight="1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</row>
    <row r="395" ht="15.75" hidden="1" customHeight="1">
      <c r="A395" s="247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</row>
    <row r="396" ht="15.75" hidden="1" customHeight="1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</row>
    <row r="397" ht="15.75" hidden="1" customHeight="1">
      <c r="A397" s="247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</row>
    <row r="398" ht="15.75" hidden="1" customHeight="1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</row>
    <row r="399" ht="15.75" hidden="1" customHeight="1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</row>
    <row r="400" ht="15.75" hidden="1" customHeight="1">
      <c r="A400" s="247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</row>
    <row r="401" ht="15.75" hidden="1" customHeight="1">
      <c r="A401" s="247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</row>
    <row r="402" ht="15.75" hidden="1" customHeight="1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</row>
    <row r="403" ht="15.75" hidden="1" customHeight="1">
      <c r="A403" s="247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</row>
    <row r="404" ht="15.75" hidden="1" customHeight="1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</row>
    <row r="405" ht="15.75" hidden="1" customHeight="1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</row>
    <row r="406" ht="15.75" hidden="1" customHeight="1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</row>
    <row r="407" ht="15.75" hidden="1" customHeight="1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</row>
    <row r="408" ht="15.75" hidden="1" customHeight="1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</row>
    <row r="409" ht="15.75" hidden="1" customHeight="1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</row>
    <row r="410" ht="15.75" hidden="1" customHeight="1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</row>
    <row r="411" ht="15.75" hidden="1" customHeight="1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</row>
    <row r="412" ht="15.75" hidden="1" customHeight="1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</row>
    <row r="413" ht="15.75" hidden="1" customHeight="1">
      <c r="A413" s="247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</row>
    <row r="414" ht="15.75" hidden="1" customHeight="1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</row>
    <row r="415" ht="15.75" hidden="1" customHeight="1">
      <c r="A415" s="247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</row>
    <row r="416" ht="15.75" hidden="1" customHeight="1">
      <c r="A416" s="247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</row>
    <row r="417" ht="15.75" hidden="1" customHeight="1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</row>
    <row r="418" ht="15.75" hidden="1" customHeight="1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</row>
    <row r="419" ht="15.75" hidden="1" customHeight="1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</row>
    <row r="420" ht="15.75" hidden="1" customHeight="1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</row>
    <row r="421" ht="15.75" hidden="1" customHeight="1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</row>
    <row r="422" ht="15.75" hidden="1" customHeight="1">
      <c r="A422" s="247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</row>
    <row r="423" ht="15.75" hidden="1" customHeight="1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</row>
    <row r="424" ht="15.75" hidden="1" customHeight="1">
      <c r="A424" s="247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</row>
    <row r="425" ht="15.75" hidden="1" customHeight="1">
      <c r="A425" s="247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</row>
    <row r="426" ht="15.75" hidden="1" customHeight="1">
      <c r="A426" s="247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</row>
    <row r="427" ht="15.75" hidden="1" customHeight="1">
      <c r="A427" s="247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</row>
    <row r="428" ht="15.75" hidden="1" customHeight="1">
      <c r="A428" s="247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</row>
    <row r="429" ht="15.75" hidden="1" customHeight="1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</row>
    <row r="430" ht="15.75" hidden="1" customHeight="1">
      <c r="A430" s="247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</row>
    <row r="431" ht="15.75" hidden="1" customHeight="1">
      <c r="A431" s="247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</row>
    <row r="432" ht="15.75" hidden="1" customHeight="1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</row>
    <row r="433" ht="15.75" hidden="1" customHeight="1">
      <c r="A433" s="247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</row>
    <row r="434" ht="15.75" hidden="1" customHeight="1">
      <c r="A434" s="247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</row>
    <row r="435" ht="15.75" hidden="1" customHeight="1">
      <c r="A435" s="247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</row>
    <row r="436" ht="15.75" hidden="1" customHeight="1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</row>
    <row r="437" ht="15.75" hidden="1" customHeight="1">
      <c r="A437" s="247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</row>
    <row r="438" ht="15.75" hidden="1" customHeight="1">
      <c r="A438" s="247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</row>
    <row r="439" ht="15.75" hidden="1" customHeight="1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</row>
    <row r="440" ht="15.75" hidden="1" customHeight="1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</row>
    <row r="441" ht="15.75" hidden="1" customHeight="1">
      <c r="A441" s="247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</row>
    <row r="442" ht="15.75" hidden="1" customHeight="1">
      <c r="A442" s="247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</row>
    <row r="443" ht="15.75" hidden="1" customHeight="1">
      <c r="A443" s="247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</row>
    <row r="444" ht="15.75" hidden="1" customHeight="1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</row>
    <row r="445" ht="15.75" hidden="1" customHeight="1">
      <c r="A445" s="247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</row>
    <row r="446" ht="15.75" hidden="1" customHeight="1">
      <c r="A446" s="247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</row>
    <row r="447" ht="15.75" hidden="1" customHeight="1">
      <c r="A447" s="247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</row>
    <row r="448" ht="15.75" hidden="1" customHeight="1">
      <c r="A448" s="247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</row>
    <row r="449" ht="15.75" hidden="1" customHeight="1">
      <c r="A449" s="247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</row>
    <row r="450" ht="15.75" hidden="1" customHeight="1">
      <c r="A450" s="247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</row>
    <row r="451" ht="15.75" hidden="1" customHeight="1">
      <c r="A451" s="247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</row>
    <row r="452" ht="15.75" hidden="1" customHeight="1">
      <c r="A452" s="247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</row>
    <row r="453" ht="15.75" hidden="1" customHeight="1">
      <c r="A453" s="247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</row>
    <row r="454" ht="15.75" hidden="1" customHeight="1">
      <c r="A454" s="247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</row>
    <row r="455" ht="15.75" hidden="1" customHeight="1">
      <c r="A455" s="247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</row>
    <row r="456" ht="15.75" hidden="1" customHeight="1">
      <c r="A456" s="247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</row>
    <row r="457" ht="15.75" hidden="1" customHeight="1">
      <c r="A457" s="247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</row>
    <row r="458" ht="15.75" hidden="1" customHeight="1">
      <c r="A458" s="247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</row>
    <row r="459" ht="15.75" hidden="1" customHeight="1">
      <c r="A459" s="247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</row>
    <row r="460" ht="15.75" hidden="1" customHeight="1">
      <c r="A460" s="247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</row>
    <row r="461" ht="15.75" hidden="1" customHeight="1">
      <c r="A461" s="247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</row>
    <row r="462" ht="15.75" hidden="1" customHeight="1">
      <c r="A462" s="247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</row>
    <row r="463" ht="15.75" hidden="1" customHeight="1">
      <c r="A463" s="247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</row>
    <row r="464" ht="15.75" hidden="1" customHeight="1">
      <c r="A464" s="247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</row>
    <row r="465" ht="15.75" hidden="1" customHeight="1">
      <c r="A465" s="247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</row>
    <row r="466" ht="15.75" hidden="1" customHeight="1">
      <c r="A466" s="247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</row>
    <row r="467" ht="15.75" hidden="1" customHeight="1">
      <c r="A467" s="247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</row>
    <row r="468" ht="15.75" hidden="1" customHeight="1">
      <c r="A468" s="247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</row>
    <row r="469" ht="15.75" hidden="1" customHeight="1">
      <c r="A469" s="247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</row>
    <row r="470" ht="15.75" hidden="1" customHeight="1">
      <c r="A470" s="247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</row>
    <row r="471" ht="15.75" hidden="1" customHeight="1">
      <c r="A471" s="247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</row>
    <row r="472" ht="15.75" hidden="1" customHeight="1">
      <c r="A472" s="247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</row>
    <row r="473" ht="15.75" hidden="1" customHeight="1">
      <c r="A473" s="247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</row>
    <row r="474" ht="15.75" hidden="1" customHeight="1">
      <c r="A474" s="247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</row>
    <row r="475" ht="15.75" hidden="1" customHeight="1">
      <c r="A475" s="247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</row>
    <row r="476" ht="15.75" hidden="1" customHeight="1">
      <c r="A476" s="247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</row>
    <row r="477" ht="15.75" hidden="1" customHeight="1">
      <c r="A477" s="247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</row>
    <row r="478" ht="15.75" hidden="1" customHeight="1">
      <c r="A478" s="247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</row>
    <row r="479" ht="15.75" hidden="1" customHeight="1">
      <c r="A479" s="247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</row>
    <row r="480" ht="15.75" hidden="1" customHeight="1">
      <c r="A480" s="247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</row>
    <row r="481" ht="15.75" hidden="1" customHeight="1">
      <c r="A481" s="247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</row>
    <row r="482" ht="15.75" hidden="1" customHeight="1">
      <c r="A482" s="247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</row>
    <row r="483" ht="15.75" hidden="1" customHeight="1">
      <c r="A483" s="247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</row>
    <row r="484" ht="15.75" hidden="1" customHeight="1">
      <c r="A484" s="247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</row>
    <row r="485" ht="15.75" hidden="1" customHeight="1">
      <c r="A485" s="247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</row>
    <row r="486" ht="15.75" hidden="1" customHeight="1">
      <c r="A486" s="247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</row>
    <row r="487" ht="15.75" hidden="1" customHeight="1">
      <c r="A487" s="247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</row>
    <row r="488" ht="15.75" hidden="1" customHeight="1">
      <c r="A488" s="247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</row>
    <row r="489" ht="15.75" hidden="1" customHeight="1">
      <c r="A489" s="247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</row>
    <row r="490" ht="15.75" hidden="1" customHeight="1">
      <c r="A490" s="247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</row>
    <row r="491" ht="15.75" hidden="1" customHeight="1">
      <c r="A491" s="247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</row>
    <row r="492" ht="15.75" hidden="1" customHeight="1">
      <c r="A492" s="247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</row>
    <row r="493" ht="15.75" hidden="1" customHeight="1">
      <c r="A493" s="247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</row>
    <row r="494" ht="15.75" hidden="1" customHeight="1">
      <c r="A494" s="247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</row>
    <row r="495" ht="15.75" hidden="1" customHeight="1">
      <c r="A495" s="247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</row>
    <row r="496" ht="15.75" hidden="1" customHeight="1">
      <c r="A496" s="247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</row>
    <row r="497" ht="15.75" hidden="1" customHeight="1">
      <c r="A497" s="247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</row>
    <row r="498" ht="15.75" hidden="1" customHeight="1">
      <c r="A498" s="247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</row>
    <row r="499" ht="15.75" hidden="1" customHeight="1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</row>
    <row r="500" ht="15.75" hidden="1" customHeight="1">
      <c r="A500" s="247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</row>
    <row r="501" ht="15.75" hidden="1" customHeight="1">
      <c r="A501" s="247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</row>
    <row r="502" ht="15.75" hidden="1" customHeight="1">
      <c r="A502" s="247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</row>
    <row r="503" ht="15.75" hidden="1" customHeight="1">
      <c r="A503" s="247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</row>
    <row r="504" ht="15.75" hidden="1" customHeight="1">
      <c r="A504" s="247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</row>
    <row r="505" ht="15.75" hidden="1" customHeight="1">
      <c r="A505" s="247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</row>
    <row r="506" ht="15.75" hidden="1" customHeight="1">
      <c r="A506" s="247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</row>
    <row r="507" ht="15.75" hidden="1" customHeight="1">
      <c r="A507" s="247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</row>
    <row r="508" ht="15.75" hidden="1" customHeight="1">
      <c r="A508" s="247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</row>
    <row r="509" ht="15.75" hidden="1" customHeight="1">
      <c r="A509" s="247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</row>
    <row r="510" ht="15.75" hidden="1" customHeight="1">
      <c r="A510" s="247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</row>
    <row r="511" ht="15.75" hidden="1" customHeight="1">
      <c r="A511" s="247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</row>
    <row r="512" ht="15.75" hidden="1" customHeight="1">
      <c r="A512" s="247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</row>
    <row r="513" ht="15.75" hidden="1" customHeight="1">
      <c r="A513" s="247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</row>
    <row r="514" ht="15.75" hidden="1" customHeight="1">
      <c r="A514" s="247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</row>
    <row r="515" ht="15.75" hidden="1" customHeight="1">
      <c r="A515" s="247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</row>
    <row r="516" ht="15.75" hidden="1" customHeight="1">
      <c r="A516" s="247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</row>
    <row r="517" ht="15.75" hidden="1" customHeight="1">
      <c r="A517" s="247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</row>
    <row r="518" ht="15.75" hidden="1" customHeight="1">
      <c r="A518" s="247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</row>
    <row r="519" ht="15.75" hidden="1" customHeight="1">
      <c r="A519" s="247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</row>
    <row r="520" ht="15.75" hidden="1" customHeight="1">
      <c r="A520" s="247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</row>
    <row r="521" ht="15.75" hidden="1" customHeight="1">
      <c r="A521" s="247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</row>
    <row r="522" ht="15.75" hidden="1" customHeight="1">
      <c r="A522" s="247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</row>
    <row r="523" ht="15.75" hidden="1" customHeight="1">
      <c r="A523" s="247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</row>
    <row r="524" ht="15.75" hidden="1" customHeight="1">
      <c r="A524" s="247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</row>
    <row r="525" ht="15.75" hidden="1" customHeight="1">
      <c r="A525" s="247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</row>
    <row r="526" ht="15.75" hidden="1" customHeight="1">
      <c r="A526" s="247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</row>
    <row r="527" ht="15.75" hidden="1" customHeight="1">
      <c r="A527" s="247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</row>
    <row r="528" ht="15.75" hidden="1" customHeight="1">
      <c r="A528" s="247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</row>
    <row r="529" ht="15.75" hidden="1" customHeight="1">
      <c r="A529" s="247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</row>
    <row r="530" ht="15.75" hidden="1" customHeight="1">
      <c r="A530" s="247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</row>
    <row r="531" ht="15.75" hidden="1" customHeight="1">
      <c r="A531" s="247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</row>
    <row r="532" ht="15.75" hidden="1" customHeight="1">
      <c r="A532" s="247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</row>
    <row r="533" ht="15.75" hidden="1" customHeight="1">
      <c r="A533" s="247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</row>
    <row r="534" ht="15.75" hidden="1" customHeight="1">
      <c r="A534" s="247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</row>
    <row r="535" ht="15.75" hidden="1" customHeight="1">
      <c r="A535" s="247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</row>
    <row r="536" ht="15.75" hidden="1" customHeight="1">
      <c r="A536" s="247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</row>
    <row r="537" ht="15.75" hidden="1" customHeight="1">
      <c r="A537" s="247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</row>
    <row r="538" ht="15.75" hidden="1" customHeight="1">
      <c r="A538" s="247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</row>
    <row r="539" ht="15.75" hidden="1" customHeight="1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</row>
    <row r="540" ht="15.75" hidden="1" customHeight="1">
      <c r="A540" s="247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</row>
    <row r="541" ht="15.75" hidden="1" customHeight="1">
      <c r="A541" s="247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</row>
    <row r="542" ht="15.75" hidden="1" customHeight="1">
      <c r="A542" s="247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</row>
    <row r="543" ht="15.75" hidden="1" customHeight="1">
      <c r="A543" s="247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</row>
    <row r="544" ht="15.75" hidden="1" customHeight="1">
      <c r="A544" s="247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</row>
    <row r="545" ht="15.75" hidden="1" customHeight="1">
      <c r="A545" s="247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</row>
    <row r="546" ht="15.75" hidden="1" customHeight="1">
      <c r="A546" s="247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</row>
    <row r="547" ht="15.75" hidden="1" customHeight="1">
      <c r="A547" s="247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</row>
    <row r="548" ht="15.75" hidden="1" customHeight="1">
      <c r="A548" s="247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</row>
    <row r="549" ht="15.75" hidden="1" customHeight="1">
      <c r="A549" s="247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</row>
    <row r="550" ht="15.75" hidden="1" customHeight="1">
      <c r="A550" s="247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</row>
    <row r="551" ht="15.75" hidden="1" customHeight="1">
      <c r="A551" s="247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</row>
    <row r="552" ht="15.75" hidden="1" customHeight="1">
      <c r="A552" s="247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</row>
    <row r="553" ht="15.75" hidden="1" customHeight="1">
      <c r="A553" s="247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</row>
    <row r="554" ht="15.75" hidden="1" customHeight="1">
      <c r="A554" s="247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</row>
    <row r="555" ht="15.75" hidden="1" customHeight="1">
      <c r="A555" s="247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</row>
    <row r="556" ht="15.75" hidden="1" customHeight="1">
      <c r="A556" s="247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</row>
    <row r="557" ht="15.75" hidden="1" customHeight="1">
      <c r="A557" s="247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</row>
    <row r="558" ht="15.75" hidden="1" customHeight="1">
      <c r="A558" s="247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</row>
    <row r="559" ht="15.75" hidden="1" customHeight="1">
      <c r="A559" s="247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</row>
    <row r="560" ht="15.75" hidden="1" customHeight="1">
      <c r="A560" s="247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</row>
    <row r="561" ht="15.75" hidden="1" customHeight="1">
      <c r="A561" s="247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</row>
    <row r="562" ht="15.75" hidden="1" customHeight="1">
      <c r="A562" s="247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</row>
    <row r="563" ht="15.75" hidden="1" customHeight="1">
      <c r="A563" s="247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</row>
    <row r="564" ht="15.75" hidden="1" customHeight="1">
      <c r="A564" s="247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</row>
    <row r="565" ht="15.75" hidden="1" customHeight="1">
      <c r="A565" s="247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</row>
    <row r="566" ht="15.75" hidden="1" customHeight="1">
      <c r="A566" s="247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</row>
    <row r="567" ht="15.75" hidden="1" customHeight="1">
      <c r="A567" s="247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</row>
    <row r="568" ht="15.75" hidden="1" customHeight="1">
      <c r="A568" s="247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</row>
    <row r="569" ht="15.75" hidden="1" customHeight="1">
      <c r="A569" s="247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</row>
    <row r="570" ht="15.75" hidden="1" customHeight="1">
      <c r="A570" s="247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</row>
    <row r="571" ht="15.75" hidden="1" customHeight="1">
      <c r="A571" s="247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</row>
    <row r="572" ht="15.75" hidden="1" customHeight="1">
      <c r="A572" s="247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</row>
    <row r="573" ht="15.75" hidden="1" customHeight="1">
      <c r="A573" s="247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</row>
    <row r="574" ht="15.75" hidden="1" customHeight="1">
      <c r="A574" s="247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</row>
    <row r="575" ht="15.75" hidden="1" customHeight="1">
      <c r="A575" s="247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</row>
    <row r="576" ht="15.75" hidden="1" customHeight="1">
      <c r="A576" s="247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</row>
    <row r="577" ht="15.75" hidden="1" customHeight="1">
      <c r="A577" s="247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</row>
    <row r="578" ht="15.75" hidden="1" customHeight="1">
      <c r="A578" s="247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</row>
    <row r="579" ht="15.75" hidden="1" customHeight="1">
      <c r="A579" s="247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</row>
    <row r="580" ht="15.75" hidden="1" customHeight="1">
      <c r="A580" s="247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</row>
    <row r="581" ht="15.75" hidden="1" customHeight="1">
      <c r="A581" s="247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</row>
    <row r="582" ht="15.75" hidden="1" customHeight="1">
      <c r="A582" s="247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</row>
    <row r="583" ht="15.75" hidden="1" customHeight="1">
      <c r="A583" s="247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</row>
    <row r="584" ht="15.75" hidden="1" customHeight="1">
      <c r="A584" s="247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</row>
    <row r="585" ht="15.75" hidden="1" customHeight="1">
      <c r="A585" s="247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</row>
    <row r="586" ht="15.75" hidden="1" customHeight="1">
      <c r="A586" s="247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</row>
    <row r="587" ht="15.75" hidden="1" customHeight="1">
      <c r="A587" s="247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</row>
    <row r="588" ht="15.75" hidden="1" customHeight="1">
      <c r="A588" s="247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</row>
    <row r="589" ht="15.75" hidden="1" customHeight="1">
      <c r="A589" s="247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</row>
    <row r="590" ht="15.75" hidden="1" customHeight="1">
      <c r="A590" s="247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</row>
    <row r="591" ht="15.75" hidden="1" customHeight="1">
      <c r="A591" s="247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</row>
    <row r="592" ht="15.75" hidden="1" customHeight="1">
      <c r="A592" s="247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</row>
    <row r="593" ht="15.75" hidden="1" customHeight="1">
      <c r="A593" s="247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</row>
    <row r="594" ht="15.75" hidden="1" customHeight="1">
      <c r="A594" s="247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</row>
    <row r="595" ht="15.75" hidden="1" customHeight="1">
      <c r="A595" s="247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</row>
    <row r="596" ht="15.75" hidden="1" customHeight="1">
      <c r="A596" s="247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</row>
    <row r="597" ht="15.75" hidden="1" customHeight="1">
      <c r="A597" s="247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</row>
    <row r="598" ht="15.75" hidden="1" customHeight="1">
      <c r="A598" s="247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</row>
    <row r="599" ht="15.75" hidden="1" customHeight="1">
      <c r="A599" s="247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</row>
    <row r="600" ht="15.75" hidden="1" customHeight="1">
      <c r="A600" s="247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</row>
    <row r="601" ht="15.75" hidden="1" customHeight="1">
      <c r="A601" s="247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</row>
    <row r="602" ht="15.75" hidden="1" customHeight="1">
      <c r="A602" s="247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</row>
    <row r="603" ht="15.75" hidden="1" customHeight="1">
      <c r="A603" s="247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</row>
    <row r="604" ht="15.75" hidden="1" customHeight="1">
      <c r="A604" s="247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</row>
    <row r="605" ht="15.75" hidden="1" customHeight="1">
      <c r="A605" s="247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</row>
    <row r="606" ht="15.75" hidden="1" customHeight="1">
      <c r="A606" s="247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</row>
    <row r="607" ht="15.75" hidden="1" customHeight="1">
      <c r="A607" s="247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</row>
    <row r="608" ht="15.75" hidden="1" customHeight="1">
      <c r="A608" s="247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</row>
    <row r="609" ht="15.75" hidden="1" customHeight="1">
      <c r="A609" s="247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</row>
    <row r="610" ht="15.75" hidden="1" customHeight="1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</row>
    <row r="611" ht="15.75" hidden="1" customHeight="1">
      <c r="A611" s="247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</row>
    <row r="612" ht="15.75" hidden="1" customHeight="1">
      <c r="A612" s="247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</row>
    <row r="613" ht="15.75" hidden="1" customHeight="1">
      <c r="A613" s="247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</row>
    <row r="614" ht="15.75" hidden="1" customHeight="1">
      <c r="A614" s="247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</row>
    <row r="615" ht="15.75" hidden="1" customHeight="1">
      <c r="A615" s="247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</row>
    <row r="616" ht="15.75" hidden="1" customHeight="1">
      <c r="A616" s="247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</row>
    <row r="617" ht="15.75" hidden="1" customHeight="1">
      <c r="A617" s="247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</row>
    <row r="618" ht="15.75" hidden="1" customHeight="1">
      <c r="A618" s="247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</row>
    <row r="619" ht="15.75" hidden="1" customHeight="1">
      <c r="A619" s="247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</row>
    <row r="620" ht="15.75" hidden="1" customHeight="1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</row>
    <row r="621" ht="15.75" hidden="1" customHeight="1">
      <c r="A621" s="247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</row>
    <row r="622" ht="15.75" hidden="1" customHeight="1">
      <c r="A622" s="247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</row>
    <row r="623" ht="15.75" hidden="1" customHeight="1">
      <c r="A623" s="247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</row>
    <row r="624" ht="15.75" hidden="1" customHeight="1">
      <c r="A624" s="247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</row>
    <row r="625" ht="15.75" hidden="1" customHeight="1">
      <c r="A625" s="247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</row>
    <row r="626" ht="15.75" hidden="1" customHeight="1">
      <c r="A626" s="247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</row>
    <row r="627" ht="15.75" hidden="1" customHeight="1">
      <c r="A627" s="247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</row>
    <row r="628" ht="15.75" hidden="1" customHeight="1">
      <c r="A628" s="247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</row>
    <row r="629" ht="15.75" hidden="1" customHeight="1">
      <c r="A629" s="247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</row>
    <row r="630" ht="15.75" hidden="1" customHeight="1">
      <c r="A630" s="247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</row>
    <row r="631" ht="15.75" hidden="1" customHeight="1">
      <c r="A631" s="247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</row>
    <row r="632" ht="15.75" hidden="1" customHeight="1">
      <c r="A632" s="247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</row>
    <row r="633" ht="15.75" hidden="1" customHeight="1">
      <c r="A633" s="247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</row>
    <row r="634" ht="15.75" hidden="1" customHeight="1">
      <c r="A634" s="247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</row>
    <row r="635" ht="15.75" hidden="1" customHeight="1">
      <c r="A635" s="247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</row>
    <row r="636" ht="15.75" hidden="1" customHeight="1">
      <c r="A636" s="247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</row>
    <row r="637" ht="15.75" hidden="1" customHeight="1">
      <c r="A637" s="247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</row>
    <row r="638" ht="15.75" hidden="1" customHeight="1">
      <c r="A638" s="247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</row>
    <row r="639" ht="15.75" hidden="1" customHeight="1">
      <c r="A639" s="247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</row>
    <row r="640" ht="15.75" hidden="1" customHeight="1">
      <c r="A640" s="247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</row>
    <row r="641" ht="15.75" hidden="1" customHeight="1">
      <c r="A641" s="247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</row>
    <row r="642" ht="15.75" hidden="1" customHeight="1">
      <c r="A642" s="247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</row>
    <row r="643" ht="15.75" hidden="1" customHeight="1">
      <c r="A643" s="247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</row>
    <row r="644" ht="15.75" hidden="1" customHeight="1">
      <c r="A644" s="247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</row>
    <row r="645" ht="15.75" hidden="1" customHeight="1">
      <c r="A645" s="247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</row>
    <row r="646" ht="15.75" hidden="1" customHeight="1">
      <c r="A646" s="247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</row>
    <row r="647" ht="15.75" hidden="1" customHeight="1">
      <c r="A647" s="247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</row>
    <row r="648" ht="15.75" hidden="1" customHeight="1">
      <c r="A648" s="247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</row>
    <row r="649" ht="15.75" hidden="1" customHeight="1">
      <c r="A649" s="247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</row>
    <row r="650" ht="15.75" hidden="1" customHeight="1">
      <c r="A650" s="247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</row>
    <row r="651" ht="15.75" hidden="1" customHeight="1">
      <c r="A651" s="247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</row>
    <row r="652" ht="15.75" hidden="1" customHeight="1">
      <c r="A652" s="247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</row>
    <row r="653" ht="15.75" hidden="1" customHeight="1">
      <c r="A653" s="247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</row>
    <row r="654" ht="15.75" hidden="1" customHeight="1">
      <c r="A654" s="247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</row>
    <row r="655" ht="15.75" hidden="1" customHeight="1">
      <c r="A655" s="247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</row>
    <row r="656" ht="15.75" hidden="1" customHeight="1">
      <c r="A656" s="247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</row>
    <row r="657" ht="15.75" hidden="1" customHeight="1">
      <c r="A657" s="247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</row>
    <row r="658" ht="15.75" hidden="1" customHeight="1">
      <c r="A658" s="247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</row>
    <row r="659" ht="15.75" hidden="1" customHeight="1">
      <c r="A659" s="247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</row>
    <row r="660" ht="15.75" hidden="1" customHeight="1">
      <c r="A660" s="247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</row>
    <row r="661" ht="15.75" hidden="1" customHeight="1">
      <c r="A661" s="247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</row>
    <row r="662" ht="15.75" hidden="1" customHeight="1">
      <c r="A662" s="247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</row>
    <row r="663" ht="15.75" hidden="1" customHeight="1">
      <c r="A663" s="247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</row>
    <row r="664" ht="15.75" hidden="1" customHeight="1">
      <c r="A664" s="247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</row>
    <row r="665" ht="15.75" hidden="1" customHeight="1">
      <c r="A665" s="247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</row>
    <row r="666" ht="15.75" hidden="1" customHeight="1">
      <c r="A666" s="247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</row>
    <row r="667" ht="15.75" hidden="1" customHeight="1">
      <c r="A667" s="247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</row>
    <row r="668" ht="15.75" hidden="1" customHeight="1">
      <c r="A668" s="247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</row>
    <row r="669" ht="15.75" hidden="1" customHeight="1">
      <c r="A669" s="247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</row>
    <row r="670" ht="15.75" hidden="1" customHeight="1">
      <c r="A670" s="247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</row>
    <row r="671" ht="15.75" hidden="1" customHeight="1">
      <c r="A671" s="247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</row>
    <row r="672" ht="15.75" hidden="1" customHeight="1">
      <c r="A672" s="247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</row>
    <row r="673" ht="15.75" hidden="1" customHeight="1">
      <c r="A673" s="247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</row>
    <row r="674" ht="15.75" hidden="1" customHeight="1">
      <c r="A674" s="247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</row>
    <row r="675" ht="15.75" hidden="1" customHeight="1">
      <c r="A675" s="247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</row>
    <row r="676" ht="15.75" hidden="1" customHeight="1">
      <c r="A676" s="247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</row>
    <row r="677" ht="15.75" hidden="1" customHeight="1">
      <c r="A677" s="247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</row>
    <row r="678" ht="15.75" hidden="1" customHeight="1">
      <c r="A678" s="247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</row>
    <row r="679" ht="15.75" hidden="1" customHeight="1">
      <c r="A679" s="247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</row>
    <row r="680" ht="15.75" hidden="1" customHeight="1">
      <c r="A680" s="247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</row>
    <row r="681" ht="15.75" hidden="1" customHeight="1">
      <c r="A681" s="247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</row>
    <row r="682" ht="15.75" hidden="1" customHeight="1">
      <c r="A682" s="247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</row>
    <row r="683" ht="15.75" hidden="1" customHeight="1">
      <c r="A683" s="247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</row>
    <row r="684" ht="15.75" hidden="1" customHeight="1">
      <c r="A684" s="247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</row>
    <row r="685" ht="15.75" hidden="1" customHeight="1">
      <c r="A685" s="247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</row>
    <row r="686" ht="15.75" hidden="1" customHeight="1">
      <c r="A686" s="247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</row>
    <row r="687" ht="15.75" hidden="1" customHeight="1">
      <c r="A687" s="247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</row>
    <row r="688" ht="15.75" hidden="1" customHeight="1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</row>
    <row r="689" ht="15.75" hidden="1" customHeight="1">
      <c r="A689" s="247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</row>
    <row r="690" ht="15.75" hidden="1" customHeight="1">
      <c r="A690" s="247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</row>
    <row r="691" ht="15.75" hidden="1" customHeight="1">
      <c r="A691" s="247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</row>
    <row r="692" ht="15.75" hidden="1" customHeight="1">
      <c r="A692" s="247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</row>
    <row r="693" ht="15.75" hidden="1" customHeight="1">
      <c r="A693" s="247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</row>
    <row r="694" ht="15.75" hidden="1" customHeight="1">
      <c r="A694" s="247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</row>
    <row r="695" ht="15.75" hidden="1" customHeight="1">
      <c r="A695" s="247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</row>
    <row r="696" ht="15.75" hidden="1" customHeight="1">
      <c r="A696" s="247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</row>
    <row r="697" ht="15.75" hidden="1" customHeight="1">
      <c r="A697" s="247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</row>
    <row r="698" ht="15.75" hidden="1" customHeight="1">
      <c r="A698" s="247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</row>
    <row r="699" ht="15.75" hidden="1" customHeight="1">
      <c r="A699" s="247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</row>
    <row r="700" ht="15.75" hidden="1" customHeight="1">
      <c r="A700" s="247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</row>
    <row r="701" ht="15.75" hidden="1" customHeight="1">
      <c r="A701" s="247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</row>
    <row r="702" ht="15.75" hidden="1" customHeight="1">
      <c r="A702" s="247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</row>
    <row r="703" ht="15.75" hidden="1" customHeight="1">
      <c r="A703" s="247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</row>
    <row r="704" ht="15.75" hidden="1" customHeight="1">
      <c r="A704" s="247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</row>
    <row r="705" ht="15.75" hidden="1" customHeight="1">
      <c r="A705" s="247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</row>
    <row r="706" ht="15.75" hidden="1" customHeight="1">
      <c r="A706" s="247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</row>
    <row r="707" ht="15.75" hidden="1" customHeight="1">
      <c r="A707" s="247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</row>
    <row r="708" ht="15.75" hidden="1" customHeight="1">
      <c r="A708" s="247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</row>
    <row r="709" ht="15.75" hidden="1" customHeight="1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</row>
    <row r="710" ht="15.75" hidden="1" customHeight="1">
      <c r="A710" s="247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</row>
    <row r="711" ht="15.75" hidden="1" customHeight="1">
      <c r="A711" s="247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</row>
    <row r="712" ht="15.75" hidden="1" customHeight="1">
      <c r="A712" s="247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</row>
    <row r="713" ht="15.75" hidden="1" customHeight="1">
      <c r="A713" s="247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</row>
    <row r="714" ht="15.75" hidden="1" customHeight="1">
      <c r="A714" s="247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</row>
    <row r="715" ht="15.75" hidden="1" customHeight="1">
      <c r="A715" s="247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</row>
    <row r="716" ht="15.75" hidden="1" customHeight="1">
      <c r="A716" s="247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</row>
    <row r="717" ht="15.75" hidden="1" customHeight="1">
      <c r="A717" s="247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</row>
    <row r="718" ht="15.75" hidden="1" customHeight="1">
      <c r="A718" s="247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</row>
    <row r="719" ht="15.75" hidden="1" customHeight="1">
      <c r="A719" s="247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</row>
    <row r="720" ht="15.75" hidden="1" customHeight="1">
      <c r="A720" s="247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</row>
    <row r="721" ht="15.75" hidden="1" customHeight="1">
      <c r="A721" s="247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</row>
    <row r="722" ht="15.75" hidden="1" customHeight="1">
      <c r="A722" s="247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</row>
    <row r="723" ht="15.75" hidden="1" customHeight="1">
      <c r="A723" s="247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</row>
    <row r="724" ht="15.75" hidden="1" customHeight="1">
      <c r="A724" s="247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</row>
    <row r="725" ht="15.75" hidden="1" customHeight="1">
      <c r="A725" s="247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</row>
    <row r="726" ht="15.75" hidden="1" customHeight="1">
      <c r="A726" s="247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</row>
    <row r="727" ht="15.75" hidden="1" customHeight="1">
      <c r="A727" s="247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</row>
    <row r="728" ht="15.75" hidden="1" customHeight="1">
      <c r="A728" s="247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</row>
    <row r="729" ht="15.75" hidden="1" customHeight="1">
      <c r="A729" s="247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</row>
    <row r="730" ht="15.75" hidden="1" customHeight="1">
      <c r="A730" s="247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</row>
    <row r="731" ht="15.75" hidden="1" customHeight="1">
      <c r="A731" s="247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</row>
    <row r="732" ht="15.75" hidden="1" customHeight="1">
      <c r="A732" s="247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</row>
    <row r="733" ht="15.75" hidden="1" customHeight="1">
      <c r="A733" s="247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</row>
    <row r="734" ht="15.75" hidden="1" customHeight="1">
      <c r="A734" s="247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</row>
    <row r="735" ht="15.75" hidden="1" customHeight="1">
      <c r="A735" s="247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</row>
    <row r="736" ht="15.75" hidden="1" customHeight="1">
      <c r="A736" s="247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</row>
    <row r="737" ht="15.75" hidden="1" customHeight="1">
      <c r="A737" s="247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</row>
    <row r="738" ht="15.75" hidden="1" customHeight="1">
      <c r="A738" s="247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</row>
    <row r="739" ht="15.75" hidden="1" customHeight="1">
      <c r="A739" s="247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</row>
    <row r="740" ht="15.75" hidden="1" customHeight="1">
      <c r="A740" s="247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</row>
    <row r="741" ht="15.75" hidden="1" customHeight="1">
      <c r="A741" s="247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</row>
    <row r="742" ht="15.75" hidden="1" customHeight="1">
      <c r="A742" s="247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</row>
    <row r="743" ht="15.75" hidden="1" customHeight="1">
      <c r="A743" s="247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</row>
    <row r="744" ht="15.75" hidden="1" customHeight="1">
      <c r="A744" s="247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</row>
    <row r="745" ht="15.75" hidden="1" customHeight="1">
      <c r="A745" s="247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</row>
    <row r="746" ht="15.75" hidden="1" customHeight="1">
      <c r="A746" s="247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</row>
    <row r="747" ht="15.75" hidden="1" customHeight="1">
      <c r="A747" s="247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</row>
    <row r="748" ht="15.75" hidden="1" customHeight="1">
      <c r="A748" s="247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</row>
    <row r="749" ht="15.75" hidden="1" customHeight="1">
      <c r="A749" s="247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</row>
    <row r="750" ht="15.75" hidden="1" customHeight="1">
      <c r="A750" s="247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</row>
    <row r="751" ht="15.75" hidden="1" customHeight="1">
      <c r="A751" s="247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</row>
    <row r="752" ht="15.75" hidden="1" customHeight="1">
      <c r="A752" s="247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</row>
    <row r="753" ht="15.75" hidden="1" customHeight="1">
      <c r="A753" s="247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</row>
    <row r="754" ht="15.75" hidden="1" customHeight="1">
      <c r="A754" s="247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</row>
    <row r="755" ht="15.75" hidden="1" customHeight="1">
      <c r="A755" s="247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</row>
    <row r="756" ht="15.75" hidden="1" customHeight="1">
      <c r="A756" s="247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</row>
    <row r="757" ht="15.75" hidden="1" customHeight="1">
      <c r="A757" s="247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</row>
    <row r="758" ht="15.75" hidden="1" customHeight="1">
      <c r="A758" s="247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</row>
    <row r="759" ht="15.75" hidden="1" customHeight="1">
      <c r="A759" s="247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</row>
    <row r="760" ht="15.75" hidden="1" customHeight="1">
      <c r="A760" s="247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</row>
    <row r="761" ht="15.75" hidden="1" customHeight="1">
      <c r="A761" s="247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</row>
    <row r="762" ht="15.75" hidden="1" customHeight="1">
      <c r="A762" s="247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</row>
    <row r="763" ht="15.75" hidden="1" customHeight="1">
      <c r="A763" s="247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</row>
    <row r="764" ht="15.75" hidden="1" customHeight="1">
      <c r="A764" s="247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</row>
    <row r="765" ht="15.75" hidden="1" customHeight="1">
      <c r="A765" s="247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</row>
    <row r="766" ht="15.75" hidden="1" customHeight="1">
      <c r="A766" s="247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</row>
    <row r="767" ht="15.75" hidden="1" customHeight="1">
      <c r="A767" s="247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</row>
    <row r="768" ht="15.75" hidden="1" customHeight="1">
      <c r="A768" s="247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</row>
    <row r="769" ht="15.75" hidden="1" customHeight="1">
      <c r="A769" s="247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</row>
    <row r="770" ht="15.75" hidden="1" customHeight="1">
      <c r="A770" s="247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</row>
    <row r="771" ht="15.75" hidden="1" customHeight="1">
      <c r="A771" s="247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</row>
    <row r="772" ht="15.75" hidden="1" customHeight="1">
      <c r="A772" s="247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</row>
    <row r="773" ht="15.75" hidden="1" customHeight="1">
      <c r="A773" s="247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</row>
    <row r="774" ht="15.75" hidden="1" customHeight="1">
      <c r="A774" s="247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</row>
    <row r="775" ht="15.75" hidden="1" customHeight="1">
      <c r="A775" s="247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</row>
    <row r="776" ht="15.75" hidden="1" customHeight="1">
      <c r="A776" s="247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</row>
    <row r="777" ht="15.75" hidden="1" customHeight="1">
      <c r="A777" s="247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</row>
    <row r="778" ht="15.75" hidden="1" customHeight="1">
      <c r="A778" s="247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</row>
    <row r="779" ht="15.75" hidden="1" customHeight="1">
      <c r="A779" s="247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</row>
    <row r="780" ht="15.75" hidden="1" customHeight="1">
      <c r="A780" s="247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</row>
    <row r="781" ht="15.75" hidden="1" customHeight="1">
      <c r="A781" s="247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</row>
    <row r="782" ht="15.75" hidden="1" customHeight="1">
      <c r="A782" s="247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</row>
    <row r="783" ht="15.75" hidden="1" customHeight="1">
      <c r="A783" s="247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</row>
    <row r="784" ht="15.75" hidden="1" customHeight="1">
      <c r="A784" s="247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</row>
    <row r="785" ht="15.75" hidden="1" customHeight="1">
      <c r="A785" s="247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</row>
    <row r="786" ht="15.75" hidden="1" customHeight="1">
      <c r="A786" s="247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</row>
    <row r="787" ht="15.75" customHeight="1">
      <c r="A787" s="247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</row>
    <row r="788" ht="15.75" customHeight="1">
      <c r="A788" s="247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</row>
    <row r="789" ht="15.75" customHeight="1">
      <c r="A789" s="247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</row>
    <row r="790" ht="15.75" customHeight="1">
      <c r="A790" s="247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</row>
    <row r="791" ht="15.75" customHeight="1">
      <c r="A791" s="247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</row>
    <row r="792" ht="15.75" customHeight="1">
      <c r="A792" s="247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</row>
    <row r="793" ht="15.75" customHeight="1">
      <c r="A793" s="247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</row>
    <row r="794" ht="15.75" customHeight="1">
      <c r="A794" s="247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</row>
    <row r="795" ht="15.75" customHeight="1">
      <c r="A795" s="247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</row>
    <row r="796" ht="15.75" customHeight="1">
      <c r="A796" s="247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</row>
    <row r="797" ht="15.75" customHeight="1">
      <c r="A797" s="247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</row>
    <row r="798" ht="15.75" customHeight="1">
      <c r="A798" s="247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</row>
    <row r="799" ht="15.75" customHeight="1">
      <c r="A799" s="247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</row>
    <row r="800" ht="15.75" customHeight="1">
      <c r="A800" s="247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</row>
    <row r="801" ht="15.75" customHeight="1">
      <c r="A801" s="247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</row>
    <row r="802" ht="15.75" customHeight="1">
      <c r="A802" s="247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</row>
    <row r="803" ht="15.75" customHeight="1">
      <c r="A803" s="247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</row>
    <row r="804" ht="15.75" customHeight="1">
      <c r="A804" s="247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</row>
    <row r="805" ht="15.75" customHeight="1">
      <c r="A805" s="247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</row>
    <row r="806" ht="15.75" customHeight="1">
      <c r="A806" s="247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</row>
    <row r="807" ht="15.75" customHeight="1">
      <c r="A807" s="247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</row>
    <row r="808" ht="15.75" customHeight="1">
      <c r="A808" s="247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</row>
    <row r="809" ht="15.75" customHeight="1">
      <c r="A809" s="247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</row>
    <row r="810" ht="15.75" customHeight="1">
      <c r="A810" s="247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</row>
    <row r="811" ht="15.75" customHeight="1">
      <c r="A811" s="247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</row>
    <row r="812" ht="15.75" customHeight="1">
      <c r="A812" s="247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</row>
    <row r="813" ht="15.75" customHeight="1">
      <c r="A813" s="247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</row>
    <row r="814" ht="15.75" customHeight="1">
      <c r="A814" s="247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</row>
    <row r="815" ht="15.75" customHeight="1">
      <c r="A815" s="247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</row>
    <row r="816" ht="15.75" customHeight="1">
      <c r="A816" s="247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</row>
    <row r="817" ht="15.75" customHeight="1">
      <c r="A817" s="247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</row>
    <row r="818" ht="15.75" customHeight="1">
      <c r="A818" s="247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</row>
    <row r="819" ht="15.75" customHeight="1">
      <c r="A819" s="247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</row>
    <row r="820" ht="15.75" customHeight="1">
      <c r="A820" s="247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</row>
    <row r="821" ht="15.75" customHeight="1">
      <c r="A821" s="247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</row>
    <row r="822" ht="15.75" customHeight="1">
      <c r="A822" s="247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</row>
    <row r="823" ht="15.75" customHeight="1">
      <c r="A823" s="247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</row>
    <row r="824" ht="15.75" customHeight="1">
      <c r="A824" s="247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</row>
    <row r="825" ht="15.75" customHeight="1">
      <c r="A825" s="247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</row>
    <row r="826" ht="15.75" customHeight="1">
      <c r="A826" s="247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</row>
    <row r="827" ht="15.75" customHeight="1">
      <c r="A827" s="247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</row>
    <row r="828" ht="15.75" customHeight="1">
      <c r="A828" s="247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</row>
    <row r="829" ht="15.75" customHeight="1">
      <c r="A829" s="247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</row>
    <row r="830" ht="15.75" customHeight="1">
      <c r="A830" s="247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</row>
    <row r="831" ht="15.75" customHeight="1">
      <c r="A831" s="247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</row>
    <row r="832" ht="15.75" customHeight="1">
      <c r="A832" s="247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</row>
    <row r="833" ht="15.75" customHeight="1">
      <c r="A833" s="247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</row>
    <row r="834" ht="15.75" customHeight="1">
      <c r="A834" s="247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</row>
    <row r="835" ht="15.75" customHeight="1">
      <c r="A835" s="247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</row>
    <row r="836" ht="15.75" customHeight="1">
      <c r="A836" s="247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</row>
    <row r="837" ht="15.75" customHeight="1">
      <c r="A837" s="247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</row>
    <row r="838" ht="15.75" customHeight="1">
      <c r="A838" s="247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</row>
    <row r="839" ht="15.75" customHeight="1">
      <c r="A839" s="247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</row>
    <row r="840" ht="15.75" customHeight="1">
      <c r="A840" s="247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</row>
    <row r="841" ht="15.75" customHeight="1">
      <c r="A841" s="247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</row>
    <row r="842" ht="15.75" customHeight="1">
      <c r="A842" s="247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</row>
    <row r="843" ht="15.75" customHeight="1">
      <c r="A843" s="247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</row>
    <row r="844" ht="15.75" customHeight="1">
      <c r="A844" s="247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</row>
    <row r="845" ht="15.75" customHeight="1">
      <c r="A845" s="247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</row>
    <row r="846" ht="15.75" customHeight="1">
      <c r="A846" s="247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</row>
    <row r="847" ht="15.75" customHeight="1">
      <c r="A847" s="247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</row>
    <row r="848" ht="15.75" customHeight="1">
      <c r="A848" s="247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</row>
    <row r="849" ht="15.75" customHeight="1">
      <c r="A849" s="247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</row>
    <row r="850" ht="15.75" customHeight="1">
      <c r="A850" s="247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</row>
    <row r="851" ht="15.75" customHeight="1">
      <c r="A851" s="247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</row>
    <row r="852" ht="15.75" customHeight="1">
      <c r="A852" s="247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</row>
    <row r="853" ht="15.75" customHeight="1">
      <c r="A853" s="247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</row>
    <row r="854" ht="15.75" customHeight="1">
      <c r="A854" s="247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</row>
    <row r="855" ht="15.75" customHeight="1">
      <c r="A855" s="247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</row>
    <row r="856" ht="15.75" customHeight="1">
      <c r="A856" s="247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</row>
    <row r="857" ht="15.75" customHeight="1">
      <c r="A857" s="247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</row>
    <row r="858" ht="15.75" customHeight="1">
      <c r="A858" s="247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</row>
    <row r="859" ht="15.75" customHeight="1">
      <c r="A859" s="247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</row>
    <row r="860" ht="15.75" customHeight="1">
      <c r="A860" s="247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</row>
    <row r="861" ht="15.75" customHeight="1">
      <c r="A861" s="247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</row>
    <row r="862" ht="15.75" customHeight="1">
      <c r="A862" s="247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</row>
    <row r="863" ht="15.75" customHeight="1">
      <c r="A863" s="247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</row>
    <row r="864" ht="15.75" customHeight="1">
      <c r="A864" s="247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</row>
    <row r="865" ht="15.75" customHeight="1">
      <c r="A865" s="247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</row>
    <row r="866" ht="15.75" customHeight="1">
      <c r="A866" s="247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</row>
    <row r="867" ht="15.75" customHeight="1">
      <c r="A867" s="247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</row>
    <row r="868" ht="15.75" customHeight="1">
      <c r="A868" s="247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</row>
    <row r="869" ht="15.75" customHeight="1">
      <c r="A869" s="247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</row>
    <row r="870" ht="15.75" customHeight="1">
      <c r="A870" s="247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</row>
    <row r="871" ht="15.75" customHeight="1">
      <c r="A871" s="247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</row>
    <row r="872" ht="15.75" customHeight="1">
      <c r="A872" s="247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</row>
    <row r="873" ht="15.75" customHeight="1">
      <c r="A873" s="247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</row>
    <row r="874" ht="15.75" customHeight="1">
      <c r="A874" s="247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</row>
    <row r="875" ht="15.75" customHeight="1">
      <c r="A875" s="247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</row>
    <row r="876" ht="15.75" customHeight="1">
      <c r="A876" s="247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</row>
    <row r="877" ht="15.75" customHeight="1">
      <c r="A877" s="247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</row>
    <row r="878" ht="15.75" customHeight="1">
      <c r="A878" s="247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</row>
    <row r="879" ht="15.75" customHeight="1">
      <c r="A879" s="247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</row>
    <row r="880" ht="15.75" customHeight="1">
      <c r="A880" s="247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</row>
    <row r="881" ht="15.75" customHeight="1">
      <c r="A881" s="247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</row>
    <row r="882" ht="15.75" customHeight="1">
      <c r="A882" s="247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</row>
    <row r="883" ht="15.75" customHeight="1">
      <c r="A883" s="247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</row>
    <row r="884" ht="15.75" customHeight="1">
      <c r="A884" s="247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</row>
    <row r="885" ht="15.75" customHeight="1">
      <c r="A885" s="247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</row>
    <row r="886" ht="15.75" customHeight="1">
      <c r="A886" s="247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</row>
    <row r="887" ht="15.75" customHeight="1">
      <c r="A887" s="247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</row>
    <row r="888" ht="15.75" customHeight="1">
      <c r="A888" s="247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</row>
    <row r="889" ht="15.75" customHeight="1">
      <c r="A889" s="247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</row>
    <row r="890" ht="15.75" customHeight="1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</row>
    <row r="891" ht="15.75" customHeight="1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</row>
    <row r="892" ht="15.75" customHeight="1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</row>
    <row r="893" ht="15.75" customHeight="1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</row>
    <row r="894" ht="15.75" customHeight="1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</row>
    <row r="895" ht="15.75" customHeight="1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</row>
    <row r="896" ht="15.75" customHeight="1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</row>
    <row r="897" ht="15.75" customHeight="1">
      <c r="A897" s="247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</row>
    <row r="898" ht="15.75" customHeight="1">
      <c r="A898" s="247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</row>
    <row r="899" ht="15.75" customHeight="1">
      <c r="A899" s="247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</row>
    <row r="900" ht="15.75" customHeight="1">
      <c r="A900" s="247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</row>
    <row r="901" ht="15.75" customHeight="1">
      <c r="A901" s="247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</row>
    <row r="902" ht="15.75" customHeight="1">
      <c r="A902" s="247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</row>
    <row r="903" ht="15.75" customHeight="1">
      <c r="A903" s="247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</row>
    <row r="904" ht="15.75" customHeight="1">
      <c r="A904" s="247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</row>
    <row r="905" ht="15.75" customHeight="1">
      <c r="A905" s="247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</row>
    <row r="906" ht="15.75" customHeight="1">
      <c r="A906" s="247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</row>
    <row r="907" ht="15.75" customHeight="1">
      <c r="A907" s="247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</row>
    <row r="908" ht="15.75" customHeight="1">
      <c r="A908" s="247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</row>
    <row r="909" ht="15.75" customHeight="1">
      <c r="A909" s="247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</row>
    <row r="910" ht="15.75" customHeight="1">
      <c r="A910" s="247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</row>
    <row r="911" ht="15.75" customHeight="1">
      <c r="A911" s="247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</row>
    <row r="912" ht="15.75" customHeight="1">
      <c r="A912" s="247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</row>
    <row r="913" ht="15.75" customHeight="1">
      <c r="A913" s="247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</row>
    <row r="914" ht="15.75" customHeight="1">
      <c r="A914" s="247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</row>
    <row r="915" ht="15.75" customHeight="1">
      <c r="A915" s="247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</row>
    <row r="916" ht="15.75" customHeight="1">
      <c r="A916" s="247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</row>
    <row r="917" ht="15.75" customHeight="1">
      <c r="A917" s="247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</row>
    <row r="918" ht="15.75" customHeight="1">
      <c r="A918" s="247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</row>
    <row r="919" ht="15.75" customHeight="1">
      <c r="A919" s="247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</row>
    <row r="920" ht="15.75" customHeight="1">
      <c r="A920" s="247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</row>
    <row r="921" ht="15.75" customHeight="1">
      <c r="A921" s="247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</row>
    <row r="922" ht="15.75" customHeight="1">
      <c r="A922" s="247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</row>
    <row r="923" ht="15.75" customHeight="1">
      <c r="A923" s="247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</row>
    <row r="924" ht="15.75" customHeight="1">
      <c r="A924" s="247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</row>
    <row r="925" ht="15.75" customHeight="1">
      <c r="A925" s="247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</row>
    <row r="926" ht="15.75" customHeight="1">
      <c r="A926" s="247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</row>
    <row r="927" ht="15.75" customHeight="1">
      <c r="A927" s="247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</row>
    <row r="928" ht="15.75" customHeight="1">
      <c r="A928" s="247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</row>
    <row r="929" ht="15.75" customHeight="1">
      <c r="A929" s="247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</row>
    <row r="930" ht="15.75" customHeight="1">
      <c r="A930" s="247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</row>
    <row r="931" ht="15.75" customHeight="1">
      <c r="A931" s="247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</row>
    <row r="932" ht="15.75" customHeight="1">
      <c r="A932" s="247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</row>
    <row r="933" ht="15.75" customHeight="1">
      <c r="A933" s="247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</row>
    <row r="934" ht="15.75" customHeight="1">
      <c r="A934" s="247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</row>
    <row r="935" ht="15.75" customHeight="1">
      <c r="A935" s="247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</row>
    <row r="936" ht="15.75" customHeight="1">
      <c r="A936" s="247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</row>
    <row r="937" ht="15.75" customHeight="1">
      <c r="A937" s="247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</row>
    <row r="938" ht="15.75" customHeight="1">
      <c r="A938" s="247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</row>
    <row r="939" ht="15.75" customHeight="1">
      <c r="A939" s="247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</row>
    <row r="940" ht="15.75" customHeight="1">
      <c r="A940" s="247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</row>
    <row r="941" ht="15.75" customHeight="1">
      <c r="A941" s="247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</row>
    <row r="942" ht="15.75" customHeight="1">
      <c r="A942" s="247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</row>
    <row r="943" ht="15.75" customHeight="1">
      <c r="A943" s="247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</row>
    <row r="944" ht="15.75" customHeight="1">
      <c r="A944" s="247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</row>
    <row r="945" ht="15.75" customHeight="1">
      <c r="A945" s="247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</row>
    <row r="946" ht="15.75" customHeight="1">
      <c r="A946" s="247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</row>
    <row r="947" ht="15.75" customHeight="1">
      <c r="A947" s="247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</row>
    <row r="948" ht="15.75" customHeight="1">
      <c r="A948" s="247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</row>
    <row r="949" ht="15.75" customHeight="1">
      <c r="A949" s="247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</row>
    <row r="950" ht="15.75" customHeight="1">
      <c r="A950" s="247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</row>
    <row r="951" ht="15.75" customHeight="1">
      <c r="A951" s="247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</row>
    <row r="952" ht="15.75" customHeight="1">
      <c r="A952" s="247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</row>
    <row r="953" ht="15.75" customHeight="1">
      <c r="A953" s="247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</row>
    <row r="954" ht="15.75" customHeight="1">
      <c r="A954" s="247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</row>
    <row r="955" ht="15.75" customHeight="1">
      <c r="A955" s="247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</row>
    <row r="956" ht="15.75" customHeight="1">
      <c r="A956" s="247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</row>
    <row r="957" ht="15.75" customHeight="1">
      <c r="A957" s="247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</row>
    <row r="958" ht="15.75" customHeight="1">
      <c r="A958" s="247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</row>
    <row r="959" ht="15.75" customHeight="1">
      <c r="A959" s="247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</row>
    <row r="960" ht="15.75" customHeight="1">
      <c r="A960" s="247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</row>
    <row r="961" ht="15.75" customHeight="1">
      <c r="A961" s="247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</row>
    <row r="962" ht="15.75" customHeight="1">
      <c r="A962" s="247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</row>
    <row r="963" ht="15.75" customHeight="1">
      <c r="A963" s="247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</row>
    <row r="964" ht="15.75" customHeight="1">
      <c r="A964" s="247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</row>
    <row r="965" ht="15.75" customHeight="1">
      <c r="A965" s="247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</row>
    <row r="966" ht="15.75" customHeight="1">
      <c r="A966" s="247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</row>
    <row r="967" ht="15.75" customHeight="1">
      <c r="A967" s="247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</row>
    <row r="968" ht="15.75" customHeight="1">
      <c r="A968" s="247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</row>
    <row r="969" ht="15.75" customHeight="1">
      <c r="A969" s="247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</row>
    <row r="970" ht="15.75" customHeight="1">
      <c r="A970" s="247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</row>
    <row r="971" ht="15.75" customHeight="1">
      <c r="A971" s="247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</row>
    <row r="972" ht="15.75" customHeight="1">
      <c r="A972" s="247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</row>
    <row r="973" ht="15.75" customHeight="1">
      <c r="A973" s="247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</row>
    <row r="974" ht="15.75" customHeight="1">
      <c r="A974" s="247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</row>
    <row r="975" ht="15.75" customHeight="1">
      <c r="A975" s="247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</row>
    <row r="976" ht="15.75" customHeight="1">
      <c r="A976" s="247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</row>
    <row r="977" ht="15.75" customHeight="1">
      <c r="A977" s="247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</row>
    <row r="978" ht="15.75" customHeight="1">
      <c r="A978" s="247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</row>
    <row r="979" ht="15.75" customHeight="1">
      <c r="A979" s="247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</row>
    <row r="980" ht="15.75" customHeight="1">
      <c r="A980" s="247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</row>
    <row r="981" ht="15.75" customHeight="1">
      <c r="A981" s="247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</row>
    <row r="982" ht="15.75" customHeight="1">
      <c r="A982" s="247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</row>
    <row r="983" ht="15.75" customHeight="1">
      <c r="A983" s="247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</row>
    <row r="984" ht="15.75" customHeight="1">
      <c r="A984" s="247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</row>
    <row r="985" ht="15.75" customHeight="1">
      <c r="A985" s="247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</row>
    <row r="986" ht="15.75" customHeight="1">
      <c r="A986" s="247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</row>
    <row r="987" ht="15.75" customHeight="1">
      <c r="A987" s="247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</row>
    <row r="988" ht="15.75" customHeight="1">
      <c r="A988" s="247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</row>
    <row r="989" ht="15.75" customHeight="1">
      <c r="A989" s="247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</row>
    <row r="990" ht="15.75" customHeight="1">
      <c r="A990" s="247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</row>
    <row r="991" ht="15.75" customHeight="1">
      <c r="A991" s="247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</row>
    <row r="992" ht="15.75" customHeight="1">
      <c r="A992" s="247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</row>
    <row r="993" ht="15.75" customHeight="1">
      <c r="A993" s="247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</row>
    <row r="994" ht="15.75" customHeight="1">
      <c r="A994" s="247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</row>
    <row r="995" ht="15.75" customHeight="1">
      <c r="A995" s="247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</row>
    <row r="996" ht="15.75" customHeight="1">
      <c r="A996" s="247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</row>
    <row r="997" ht="15.75" customHeight="1">
      <c r="A997" s="247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</row>
    <row r="998" ht="15.75" customHeight="1">
      <c r="A998" s="247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</row>
    <row r="999" ht="15.75" customHeight="1">
      <c r="A999" s="247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</row>
    <row r="1000" ht="15.75" customHeight="1">
      <c r="A1000" s="247"/>
      <c r="B1000" s="247"/>
      <c r="C1000" s="247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</row>
  </sheetData>
  <autoFilter ref="$A$1:$D$786">
    <filterColumn colId="1">
      <filters>
        <filter val="Ferdy"/>
      </filters>
    </filterColumn>
  </autoFilter>
  <conditionalFormatting sqref="A2:A14 A16:A21 A23:A28 A30:A35 A37:A49 A51:A56 A58:A63 A65:A70 A72:A84 A86:A91 A93:A98 A100:A105 A107:A119 A121:A126 A128:A133 A135:A140 A142:B147 A149:B154 A156:B161 A163:B168 A170:B175 A177:B182 B2:B140">
    <cfRule type="cellIs" dxfId="0" priority="1" operator="equal">
      <formula>"Kasbon"</formula>
    </cfRule>
  </conditionalFormatting>
  <conditionalFormatting sqref="A2:A14 A16:A21 A23:A28 A30:A35 A37:A49 A51:A56 A58:A63 A65:A70 A72:A84 A86:A91 A93:A98 A100:A105 A107:A119 A121:A126 A128:A133 A135:A140 A142:A147 A149:A154 A156:A161 A163:A168 A170:A175 A177:A182">
    <cfRule type="cellIs" dxfId="0" priority="2" operator="equal">
      <formula>"Keterlambatan"</formula>
    </cfRule>
  </conditionalFormatting>
  <conditionalFormatting sqref="A9:A22 A44:A57 A79:A92 A114:A127">
    <cfRule type="containsText" dxfId="0" priority="3" operator="containsText" text="Keterlambatan">
      <formula>NOT(ISERROR(SEARCH(("Keterlambatan"),(A9))))</formula>
    </cfRule>
  </conditionalFormatting>
  <conditionalFormatting sqref="A23:A28 A58:A63 A93:A98 A128:A133">
    <cfRule type="cellIs" dxfId="0" priority="4" operator="equal">
      <formula>"Keterlambatan"</formula>
    </cfRule>
  </conditionalFormatting>
  <conditionalFormatting sqref="A23:A28 A58:A63 A93:A98 A128:A133">
    <cfRule type="cellIs" dxfId="0" priority="5" operator="equal">
      <formula>"Kasbon"</formula>
    </cfRule>
  </conditionalFormatting>
  <conditionalFormatting sqref="A29:A45 A48:A122 A134:A140 A142:A147 A149:A154 A156:A161 A163:A168 A170:A175 A177:A182">
    <cfRule type="containsText" dxfId="0" priority="6" operator="containsText" text="Keterlambatan">
      <formula>NOT(ISERROR(SEARCH(("Keterlambatan"),(A29))))</formula>
    </cfRule>
  </conditionalFormatting>
  <conditionalFormatting sqref="A43:A75 A80:A122">
    <cfRule type="cellIs" dxfId="0" priority="7" operator="equal">
      <formula>"Keterlambatan"</formula>
    </cfRule>
  </conditionalFormatting>
  <conditionalFormatting sqref="A43:A75 A80:A122">
    <cfRule type="cellIs" dxfId="0" priority="8" operator="equal">
      <formula>"Kasbon"</formula>
    </cfRule>
  </conditionalFormatting>
  <conditionalFormatting sqref="A1:B1">
    <cfRule type="containsText" dxfId="0" priority="9" operator="containsText" text="Keterlambatan">
      <formula>NOT(ISERROR(SEARCH(("Keterlambatan"),(A1))))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6.25"/>
    <col customWidth="1" min="2" max="2" width="17.63"/>
    <col customWidth="1" min="3" max="3" width="8.63"/>
    <col customWidth="1" min="4" max="4" width="14.38"/>
    <col customWidth="1" min="5" max="7" width="12.0"/>
    <col customWidth="1" min="8" max="8" width="15.0"/>
    <col customWidth="1" min="9" max="9" width="13.38"/>
    <col customWidth="1" min="10" max="11" width="14.63"/>
    <col customWidth="1" min="12" max="12" width="10.13"/>
    <col customWidth="1" min="13" max="13" width="11.13"/>
    <col customWidth="1" min="14" max="14" width="13.63"/>
    <col customWidth="1" min="15" max="15" width="12.88"/>
    <col customWidth="1" min="16" max="16" width="8.63"/>
    <col customWidth="1" min="17" max="17" width="8.88"/>
    <col customWidth="1" min="18" max="18" width="11.75"/>
    <col customWidth="1" min="19" max="19" width="15.13"/>
    <col customWidth="1" min="20" max="20" width="9.88"/>
    <col customWidth="1" min="21" max="21" width="2.75"/>
  </cols>
  <sheetData>
    <row r="1" ht="26.25" customHeight="1">
      <c r="A1" s="313" t="s">
        <v>141</v>
      </c>
      <c r="B1" s="313" t="s">
        <v>142</v>
      </c>
      <c r="C1" s="313" t="s">
        <v>143</v>
      </c>
      <c r="D1" s="313" t="s">
        <v>144</v>
      </c>
      <c r="E1" s="314" t="s">
        <v>145</v>
      </c>
      <c r="F1" s="315" t="s">
        <v>17</v>
      </c>
      <c r="G1" s="315" t="s">
        <v>6</v>
      </c>
      <c r="H1" s="315" t="s">
        <v>7</v>
      </c>
      <c r="I1" s="315" t="s">
        <v>9</v>
      </c>
      <c r="J1" s="315" t="s">
        <v>39</v>
      </c>
      <c r="K1" s="315" t="s">
        <v>30</v>
      </c>
      <c r="L1" s="315" t="s">
        <v>12</v>
      </c>
      <c r="M1" s="316" t="s">
        <v>146</v>
      </c>
      <c r="N1" s="316" t="s">
        <v>147</v>
      </c>
      <c r="O1" s="315" t="s">
        <v>148</v>
      </c>
      <c r="P1" s="313" t="s">
        <v>149</v>
      </c>
      <c r="Q1" s="313" t="s">
        <v>22</v>
      </c>
      <c r="R1" s="313" t="s">
        <v>150</v>
      </c>
      <c r="S1" s="313" t="s">
        <v>151</v>
      </c>
      <c r="T1" s="313" t="s">
        <v>152</v>
      </c>
      <c r="U1" s="313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</row>
    <row r="2" ht="13.5" customHeight="1">
      <c r="A2" s="35">
        <v>1.0</v>
      </c>
      <c r="B2" s="35" t="s">
        <v>153</v>
      </c>
      <c r="C2" s="318" t="s">
        <v>43</v>
      </c>
      <c r="D2" s="319">
        <v>45880.0</v>
      </c>
      <c r="E2" s="320"/>
      <c r="F2" s="320"/>
      <c r="G2" s="320">
        <v>1260000.0</v>
      </c>
      <c r="H2" s="320">
        <v>65000.0</v>
      </c>
      <c r="I2" s="320">
        <v>57500.0</v>
      </c>
      <c r="J2" s="320"/>
      <c r="K2" s="320">
        <f t="shared" ref="K2:K9" si="1">L2</f>
        <v>19166.66667</v>
      </c>
      <c r="L2" s="320">
        <f t="shared" ref="L2:L9" si="2">I2/3</f>
        <v>19166.66667</v>
      </c>
      <c r="M2" s="321">
        <v>27.0</v>
      </c>
      <c r="N2" s="321">
        <f t="shared" ref="N2:N9" si="3">G2+(H2*M2)+(I2*M2)</f>
        <v>4567500</v>
      </c>
      <c r="O2" s="322">
        <f t="shared" ref="O2:O9" si="4">N2/M2/12</f>
        <v>14097.22222</v>
      </c>
      <c r="P2" s="318"/>
      <c r="Q2" s="318" t="s">
        <v>45</v>
      </c>
      <c r="R2" s="323" t="s">
        <v>154</v>
      </c>
      <c r="S2" s="323" t="s">
        <v>155</v>
      </c>
      <c r="T2" s="321">
        <f t="shared" ref="T2:T7" si="5">TODAY()-D2</f>
        <v>382</v>
      </c>
      <c r="U2" s="321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ht="13.5" customHeight="1">
      <c r="A3" s="35">
        <v>2.0</v>
      </c>
      <c r="B3" s="35" t="s">
        <v>55</v>
      </c>
      <c r="C3" s="318" t="s">
        <v>52</v>
      </c>
      <c r="D3" s="324">
        <v>45261.0</v>
      </c>
      <c r="E3" s="320"/>
      <c r="F3" s="320"/>
      <c r="G3" s="320">
        <v>3190000.0</v>
      </c>
      <c r="H3" s="320">
        <v>21000.0</v>
      </c>
      <c r="I3" s="320">
        <v>54000.0</v>
      </c>
      <c r="J3" s="320"/>
      <c r="K3" s="320">
        <f t="shared" si="1"/>
        <v>18000</v>
      </c>
      <c r="L3" s="320">
        <f t="shared" si="2"/>
        <v>18000</v>
      </c>
      <c r="M3" s="321">
        <v>27.0</v>
      </c>
      <c r="N3" s="321">
        <f t="shared" si="3"/>
        <v>5215000</v>
      </c>
      <c r="O3" s="322">
        <f t="shared" si="4"/>
        <v>16095.67901</v>
      </c>
      <c r="P3" s="318"/>
      <c r="Q3" s="318" t="s">
        <v>53</v>
      </c>
      <c r="R3" s="323"/>
      <c r="S3" s="323"/>
      <c r="T3" s="321">
        <f t="shared" si="5"/>
        <v>1001</v>
      </c>
      <c r="U3" s="321" t="str">
        <f t="shared" ref="U3:U4" si="6">IF(T3&gt;500,"yes","")</f>
        <v>yes</v>
      </c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ht="13.5" customHeight="1">
      <c r="A4" s="35">
        <v>3.0</v>
      </c>
      <c r="B4" s="35" t="s">
        <v>60</v>
      </c>
      <c r="C4" s="318" t="s">
        <v>57</v>
      </c>
      <c r="D4" s="324">
        <v>44986.0</v>
      </c>
      <c r="E4" s="320"/>
      <c r="F4" s="320"/>
      <c r="G4" s="320">
        <v>3220000.0</v>
      </c>
      <c r="H4" s="320">
        <v>21000.0</v>
      </c>
      <c r="I4" s="320">
        <v>52000.0</v>
      </c>
      <c r="J4" s="320"/>
      <c r="K4" s="320">
        <f t="shared" si="1"/>
        <v>17333.33333</v>
      </c>
      <c r="L4" s="320">
        <f t="shared" si="2"/>
        <v>17333.33333</v>
      </c>
      <c r="M4" s="321">
        <v>27.0</v>
      </c>
      <c r="N4" s="321">
        <f t="shared" si="3"/>
        <v>5191000</v>
      </c>
      <c r="O4" s="322">
        <f t="shared" si="4"/>
        <v>16021.60494</v>
      </c>
      <c r="P4" s="325"/>
      <c r="Q4" s="318" t="s">
        <v>53</v>
      </c>
      <c r="R4" s="323"/>
      <c r="S4" s="323"/>
      <c r="T4" s="321">
        <f t="shared" si="5"/>
        <v>1276</v>
      </c>
      <c r="U4" s="321" t="str">
        <f t="shared" si="6"/>
        <v>yes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ht="13.5" customHeight="1">
      <c r="A5" s="35">
        <v>4.0</v>
      </c>
      <c r="B5" s="35" t="s">
        <v>68</v>
      </c>
      <c r="C5" s="318" t="s">
        <v>66</v>
      </c>
      <c r="D5" s="326">
        <v>45582.0</v>
      </c>
      <c r="E5" s="320"/>
      <c r="F5" s="320"/>
      <c r="G5" s="320">
        <v>2250000.0</v>
      </c>
      <c r="H5" s="320">
        <v>21000.0</v>
      </c>
      <c r="I5" s="320">
        <v>45000.0</v>
      </c>
      <c r="J5" s="320"/>
      <c r="K5" s="320">
        <f t="shared" si="1"/>
        <v>15000</v>
      </c>
      <c r="L5" s="320">
        <f t="shared" si="2"/>
        <v>15000</v>
      </c>
      <c r="M5" s="321">
        <v>25.0</v>
      </c>
      <c r="N5" s="321">
        <f t="shared" si="3"/>
        <v>3900000</v>
      </c>
      <c r="O5" s="322">
        <f t="shared" si="4"/>
        <v>13000</v>
      </c>
      <c r="P5" s="318"/>
      <c r="Q5" s="318" t="s">
        <v>53</v>
      </c>
      <c r="R5" s="323"/>
      <c r="S5" s="323"/>
      <c r="T5" s="321">
        <f t="shared" si="5"/>
        <v>680</v>
      </c>
      <c r="U5" s="321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ht="13.5" customHeight="1">
      <c r="A6" s="35">
        <v>5.0</v>
      </c>
      <c r="B6" s="35" t="s">
        <v>156</v>
      </c>
      <c r="C6" s="318" t="s">
        <v>124</v>
      </c>
      <c r="D6" s="326">
        <v>45640.0</v>
      </c>
      <c r="E6" s="320"/>
      <c r="F6" s="320"/>
      <c r="G6" s="320">
        <v>2250000.0</v>
      </c>
      <c r="H6" s="320">
        <v>31500.0</v>
      </c>
      <c r="I6" s="320">
        <v>57000.0</v>
      </c>
      <c r="J6" s="320"/>
      <c r="K6" s="320">
        <f t="shared" si="1"/>
        <v>19000</v>
      </c>
      <c r="L6" s="320">
        <f t="shared" si="2"/>
        <v>19000</v>
      </c>
      <c r="M6" s="321">
        <v>25.0</v>
      </c>
      <c r="N6" s="321">
        <f t="shared" si="3"/>
        <v>4462500</v>
      </c>
      <c r="O6" s="322">
        <f t="shared" si="4"/>
        <v>14875</v>
      </c>
      <c r="P6" s="318"/>
      <c r="Q6" s="318" t="s">
        <v>125</v>
      </c>
      <c r="R6" s="323"/>
      <c r="S6" s="323"/>
      <c r="T6" s="321">
        <f t="shared" si="5"/>
        <v>622</v>
      </c>
      <c r="U6" s="321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ht="13.5" customHeight="1">
      <c r="A7" s="35">
        <v>6.0</v>
      </c>
      <c r="B7" s="35" t="s">
        <v>71</v>
      </c>
      <c r="C7" s="318" t="s">
        <v>69</v>
      </c>
      <c r="D7" s="324">
        <v>44317.0</v>
      </c>
      <c r="E7" s="320"/>
      <c r="F7" s="320"/>
      <c r="G7" s="320">
        <v>2250000.0</v>
      </c>
      <c r="H7" s="320">
        <v>21000.0</v>
      </c>
      <c r="I7" s="320">
        <v>40000.0</v>
      </c>
      <c r="J7" s="320"/>
      <c r="K7" s="320">
        <f t="shared" si="1"/>
        <v>13333.33333</v>
      </c>
      <c r="L7" s="320">
        <f t="shared" si="2"/>
        <v>13333.33333</v>
      </c>
      <c r="M7" s="321">
        <v>25.0</v>
      </c>
      <c r="N7" s="321">
        <f t="shared" si="3"/>
        <v>3775000</v>
      </c>
      <c r="O7" s="322">
        <f t="shared" si="4"/>
        <v>12583.33333</v>
      </c>
      <c r="P7" s="321"/>
      <c r="Q7" s="318" t="s">
        <v>53</v>
      </c>
      <c r="R7" s="323"/>
      <c r="S7" s="323"/>
      <c r="T7" s="321">
        <f t="shared" si="5"/>
        <v>1945</v>
      </c>
      <c r="U7" s="321" t="str">
        <f>IF(T7&gt;500,"yes","")</f>
        <v>yes</v>
      </c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ht="13.5" customHeight="1">
      <c r="A8" s="35">
        <v>8.0</v>
      </c>
      <c r="B8" s="35" t="s">
        <v>157</v>
      </c>
      <c r="C8" s="318" t="s">
        <v>73</v>
      </c>
      <c r="D8" s="327">
        <v>46218.0</v>
      </c>
      <c r="E8" s="328"/>
      <c r="F8" s="328"/>
      <c r="G8" s="320">
        <v>1740000.0</v>
      </c>
      <c r="H8" s="320">
        <v>21000.0</v>
      </c>
      <c r="I8" s="320">
        <v>39150.0</v>
      </c>
      <c r="J8" s="329"/>
      <c r="K8" s="320">
        <f t="shared" si="1"/>
        <v>13050</v>
      </c>
      <c r="L8" s="320">
        <f t="shared" si="2"/>
        <v>13050</v>
      </c>
      <c r="M8" s="321">
        <v>25.0</v>
      </c>
      <c r="N8" s="321">
        <f t="shared" si="3"/>
        <v>3243750</v>
      </c>
      <c r="O8" s="322">
        <f t="shared" si="4"/>
        <v>10812.5</v>
      </c>
      <c r="P8" s="330"/>
      <c r="Q8" s="330" t="s">
        <v>53</v>
      </c>
      <c r="R8" s="331"/>
      <c r="S8" s="331"/>
      <c r="T8" s="332"/>
      <c r="U8" s="33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ht="13.5" customHeight="1">
      <c r="A9" s="35">
        <v>9.0</v>
      </c>
      <c r="B9" s="35" t="s">
        <v>74</v>
      </c>
      <c r="C9" s="35" t="s">
        <v>74</v>
      </c>
      <c r="D9" s="327">
        <v>46220.0</v>
      </c>
      <c r="E9" s="328"/>
      <c r="F9" s="328"/>
      <c r="G9" s="329">
        <v>1740000.0</v>
      </c>
      <c r="H9" s="329">
        <v>21000.0</v>
      </c>
      <c r="I9" s="329">
        <v>39150.0</v>
      </c>
      <c r="J9" s="329"/>
      <c r="K9" s="328">
        <f t="shared" si="1"/>
        <v>13050</v>
      </c>
      <c r="L9" s="328">
        <f t="shared" si="2"/>
        <v>13050</v>
      </c>
      <c r="M9" s="332">
        <v>25.0</v>
      </c>
      <c r="N9" s="332">
        <f t="shared" si="3"/>
        <v>3243750</v>
      </c>
      <c r="O9" s="333">
        <f t="shared" si="4"/>
        <v>10812.5</v>
      </c>
      <c r="P9" s="330"/>
      <c r="Q9" s="330" t="s">
        <v>53</v>
      </c>
      <c r="R9" s="331"/>
      <c r="S9" s="331"/>
      <c r="T9" s="332"/>
      <c r="U9" s="33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ht="13.5" customHeight="1">
      <c r="A10" s="35">
        <v>10.0</v>
      </c>
      <c r="B10" s="35" t="s">
        <v>78</v>
      </c>
      <c r="C10" s="318" t="s">
        <v>76</v>
      </c>
      <c r="D10" s="327">
        <v>46166.0</v>
      </c>
      <c r="E10" s="328"/>
      <c r="F10" s="328">
        <v>150000.0</v>
      </c>
      <c r="G10" s="329"/>
      <c r="H10" s="329"/>
      <c r="I10" s="329"/>
      <c r="J10" s="329"/>
      <c r="K10" s="328">
        <f t="shared" ref="K10:K11" si="7">O10</f>
        <v>12500</v>
      </c>
      <c r="L10" s="328">
        <f t="shared" ref="L10:L11" si="8">F10/12*120%</f>
        <v>15000</v>
      </c>
      <c r="M10" s="332"/>
      <c r="N10" s="332"/>
      <c r="O10" s="333">
        <f t="shared" ref="O10:O11" si="9">F10/12</f>
        <v>12500</v>
      </c>
      <c r="P10" s="330" t="s">
        <v>158</v>
      </c>
      <c r="Q10" s="330" t="s">
        <v>53</v>
      </c>
      <c r="R10" s="331"/>
      <c r="S10" s="331"/>
      <c r="T10" s="332"/>
      <c r="U10" s="33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 ht="13.5" customHeight="1">
      <c r="A11" s="35">
        <v>11.0</v>
      </c>
      <c r="B11" s="35" t="s">
        <v>79</v>
      </c>
      <c r="C11" s="318" t="s">
        <v>79</v>
      </c>
      <c r="D11" s="326">
        <v>46150.0</v>
      </c>
      <c r="E11" s="320"/>
      <c r="F11" s="320">
        <v>150000.0</v>
      </c>
      <c r="G11" s="320"/>
      <c r="H11" s="320"/>
      <c r="I11" s="320"/>
      <c r="J11" s="320"/>
      <c r="K11" s="320">
        <f t="shared" si="7"/>
        <v>12500</v>
      </c>
      <c r="L11" s="320">
        <f t="shared" si="8"/>
        <v>15000</v>
      </c>
      <c r="M11" s="321"/>
      <c r="N11" s="321"/>
      <c r="O11" s="322">
        <f t="shared" si="9"/>
        <v>12500</v>
      </c>
      <c r="P11" s="318" t="s">
        <v>158</v>
      </c>
      <c r="Q11" s="318" t="s">
        <v>53</v>
      </c>
      <c r="R11" s="323"/>
      <c r="S11" s="323"/>
      <c r="T11" s="321"/>
      <c r="U11" s="321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ht="13.5" customHeight="1">
      <c r="A12" s="35">
        <v>12.0</v>
      </c>
      <c r="B12" s="35" t="s">
        <v>90</v>
      </c>
      <c r="C12" s="318" t="s">
        <v>87</v>
      </c>
      <c r="D12" s="324">
        <v>45153.0</v>
      </c>
      <c r="E12" s="320"/>
      <c r="F12" s="320"/>
      <c r="G12" s="320">
        <v>3190000.0</v>
      </c>
      <c r="H12" s="320">
        <v>21000.0</v>
      </c>
      <c r="I12" s="320">
        <v>54000.0</v>
      </c>
      <c r="J12" s="320"/>
      <c r="K12" s="320">
        <f t="shared" ref="K12:K18" si="10">L12</f>
        <v>18000</v>
      </c>
      <c r="L12" s="320">
        <f t="shared" ref="L12:L18" si="11">I12/3</f>
        <v>18000</v>
      </c>
      <c r="M12" s="321">
        <v>27.0</v>
      </c>
      <c r="N12" s="321">
        <f t="shared" ref="N12:N18" si="12">G12+(H12*M12)+(I12*M12)</f>
        <v>5215000</v>
      </c>
      <c r="O12" s="322">
        <f t="shared" ref="O12:O18" si="13">N12/M12/12</f>
        <v>16095.67901</v>
      </c>
      <c r="P12" s="321"/>
      <c r="Q12" s="318" t="s">
        <v>88</v>
      </c>
      <c r="R12" s="323"/>
      <c r="S12" s="323"/>
      <c r="T12" s="321">
        <f t="shared" ref="T12:T18" si="14">TODAY()-D12</f>
        <v>1109</v>
      </c>
      <c r="U12" s="321" t="str">
        <f>IF(T12&gt;500,"yes","")</f>
        <v>yes</v>
      </c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ht="13.5" customHeight="1">
      <c r="A13" s="35">
        <v>13.0</v>
      </c>
      <c r="B13" s="35" t="s">
        <v>93</v>
      </c>
      <c r="C13" s="318" t="s">
        <v>91</v>
      </c>
      <c r="D13" s="326">
        <v>45751.0</v>
      </c>
      <c r="E13" s="320"/>
      <c r="F13" s="320"/>
      <c r="G13" s="320">
        <v>1800000.0</v>
      </c>
      <c r="H13" s="320">
        <v>21000.0</v>
      </c>
      <c r="I13" s="320">
        <v>46000.0</v>
      </c>
      <c r="J13" s="320"/>
      <c r="K13" s="320">
        <f t="shared" si="10"/>
        <v>15333.33333</v>
      </c>
      <c r="L13" s="320">
        <f t="shared" si="11"/>
        <v>15333.33333</v>
      </c>
      <c r="M13" s="321">
        <v>25.0</v>
      </c>
      <c r="N13" s="321">
        <f t="shared" si="12"/>
        <v>3475000</v>
      </c>
      <c r="O13" s="322">
        <f t="shared" si="13"/>
        <v>11583.33333</v>
      </c>
      <c r="P13" s="318"/>
      <c r="Q13" s="318" t="s">
        <v>88</v>
      </c>
      <c r="R13" s="323"/>
      <c r="S13" s="323"/>
      <c r="T13" s="321">
        <f t="shared" si="14"/>
        <v>511</v>
      </c>
      <c r="U13" s="321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ht="13.5" customHeight="1">
      <c r="A14" s="35">
        <v>14.0</v>
      </c>
      <c r="B14" s="35" t="s">
        <v>96</v>
      </c>
      <c r="C14" s="35" t="s">
        <v>94</v>
      </c>
      <c r="D14" s="326">
        <v>45635.0</v>
      </c>
      <c r="E14" s="320"/>
      <c r="F14" s="320"/>
      <c r="G14" s="320">
        <v>1800000.0</v>
      </c>
      <c r="H14" s="320">
        <v>21000.0</v>
      </c>
      <c r="I14" s="320">
        <v>46000.0</v>
      </c>
      <c r="J14" s="320"/>
      <c r="K14" s="320">
        <f t="shared" si="10"/>
        <v>15333.33333</v>
      </c>
      <c r="L14" s="320">
        <f t="shared" si="11"/>
        <v>15333.33333</v>
      </c>
      <c r="M14" s="321">
        <v>25.0</v>
      </c>
      <c r="N14" s="321">
        <f t="shared" si="12"/>
        <v>3475000</v>
      </c>
      <c r="O14" s="322">
        <f t="shared" si="13"/>
        <v>11583.33333</v>
      </c>
      <c r="P14" s="318"/>
      <c r="Q14" s="318" t="s">
        <v>88</v>
      </c>
      <c r="R14" s="323"/>
      <c r="S14" s="323"/>
      <c r="T14" s="321">
        <f t="shared" si="14"/>
        <v>627</v>
      </c>
      <c r="U14" s="321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ht="13.5" customHeight="1">
      <c r="A15" s="35">
        <v>15.0</v>
      </c>
      <c r="B15" s="35" t="s">
        <v>98</v>
      </c>
      <c r="C15" s="35" t="s">
        <v>98</v>
      </c>
      <c r="D15" s="327">
        <v>45971.0</v>
      </c>
      <c r="E15" s="334"/>
      <c r="F15" s="334"/>
      <c r="G15" s="334">
        <v>1700000.0</v>
      </c>
      <c r="H15" s="334">
        <v>21000.0</v>
      </c>
      <c r="I15" s="334">
        <v>29000.0</v>
      </c>
      <c r="J15" s="320"/>
      <c r="K15" s="320">
        <f t="shared" si="10"/>
        <v>9666.666667</v>
      </c>
      <c r="L15" s="320">
        <f t="shared" si="11"/>
        <v>9666.666667</v>
      </c>
      <c r="M15" s="321">
        <v>25.0</v>
      </c>
      <c r="N15" s="321">
        <f t="shared" si="12"/>
        <v>2950000</v>
      </c>
      <c r="O15" s="322">
        <f t="shared" si="13"/>
        <v>9833.333333</v>
      </c>
      <c r="P15" s="318"/>
      <c r="Q15" s="318" t="s">
        <v>88</v>
      </c>
      <c r="R15" s="323"/>
      <c r="S15" s="323"/>
      <c r="T15" s="335">
        <f t="shared" si="14"/>
        <v>291</v>
      </c>
      <c r="U15" s="336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 ht="13.5" customHeight="1">
      <c r="A16" s="35">
        <v>16.0</v>
      </c>
      <c r="B16" s="35" t="s">
        <v>105</v>
      </c>
      <c r="C16" s="330" t="s">
        <v>103</v>
      </c>
      <c r="D16" s="327">
        <v>45761.0</v>
      </c>
      <c r="E16" s="328"/>
      <c r="F16" s="328"/>
      <c r="G16" s="328">
        <v>2250000.0</v>
      </c>
      <c r="H16" s="328">
        <v>21000.0</v>
      </c>
      <c r="I16" s="328">
        <v>40000.0</v>
      </c>
      <c r="J16" s="320"/>
      <c r="K16" s="320">
        <f t="shared" si="10"/>
        <v>13333.33333</v>
      </c>
      <c r="L16" s="320">
        <f t="shared" si="11"/>
        <v>13333.33333</v>
      </c>
      <c r="M16" s="321">
        <v>25.0</v>
      </c>
      <c r="N16" s="321">
        <f t="shared" si="12"/>
        <v>3775000</v>
      </c>
      <c r="O16" s="322">
        <f t="shared" si="13"/>
        <v>12583.33333</v>
      </c>
      <c r="P16" s="35"/>
      <c r="Q16" s="318" t="s">
        <v>88</v>
      </c>
      <c r="R16" s="323"/>
      <c r="S16" s="323"/>
      <c r="T16" s="335">
        <f t="shared" si="14"/>
        <v>501</v>
      </c>
      <c r="U16" s="336" t="str">
        <f>IF(T16&gt;500,"yes","")</f>
        <v>yes</v>
      </c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 ht="13.5" customHeight="1">
      <c r="A17" s="35">
        <v>17.0</v>
      </c>
      <c r="B17" s="35" t="s">
        <v>108</v>
      </c>
      <c r="C17" s="330" t="s">
        <v>106</v>
      </c>
      <c r="D17" s="327">
        <v>45825.0</v>
      </c>
      <c r="E17" s="328"/>
      <c r="F17" s="328"/>
      <c r="G17" s="320">
        <v>3190000.0</v>
      </c>
      <c r="H17" s="328">
        <v>21000.0</v>
      </c>
      <c r="I17" s="337">
        <v>54000.0</v>
      </c>
      <c r="J17" s="320"/>
      <c r="K17" s="320">
        <f t="shared" si="10"/>
        <v>18000</v>
      </c>
      <c r="L17" s="320">
        <f t="shared" si="11"/>
        <v>18000</v>
      </c>
      <c r="M17" s="321">
        <v>27.0</v>
      </c>
      <c r="N17" s="321">
        <f t="shared" si="12"/>
        <v>5215000</v>
      </c>
      <c r="O17" s="322">
        <f t="shared" si="13"/>
        <v>16095.67901</v>
      </c>
      <c r="P17" s="35"/>
      <c r="Q17" s="318" t="s">
        <v>88</v>
      </c>
      <c r="R17" s="323"/>
      <c r="S17" s="323"/>
      <c r="T17" s="335">
        <f t="shared" si="14"/>
        <v>437</v>
      </c>
      <c r="U17" s="336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ht="13.5" customHeight="1">
      <c r="A18" s="35">
        <v>18.0</v>
      </c>
      <c r="B18" s="35" t="s">
        <v>110</v>
      </c>
      <c r="C18" s="35" t="s">
        <v>110</v>
      </c>
      <c r="D18" s="327">
        <v>45315.0</v>
      </c>
      <c r="E18" s="334"/>
      <c r="F18" s="334"/>
      <c r="G18" s="334">
        <v>1450000.0</v>
      </c>
      <c r="H18" s="334">
        <v>21000.0</v>
      </c>
      <c r="I18" s="334">
        <v>35100.0</v>
      </c>
      <c r="J18" s="320"/>
      <c r="K18" s="320">
        <f t="shared" si="10"/>
        <v>11700</v>
      </c>
      <c r="L18" s="320">
        <f t="shared" si="11"/>
        <v>11700</v>
      </c>
      <c r="M18" s="321">
        <v>25.0</v>
      </c>
      <c r="N18" s="321">
        <f t="shared" si="12"/>
        <v>2852500</v>
      </c>
      <c r="O18" s="322">
        <f t="shared" si="13"/>
        <v>9508.333333</v>
      </c>
      <c r="P18" s="318"/>
      <c r="Q18" s="318" t="s">
        <v>88</v>
      </c>
      <c r="R18" s="323"/>
      <c r="S18" s="323"/>
      <c r="T18" s="335">
        <f t="shared" si="14"/>
        <v>947</v>
      </c>
      <c r="U18" s="336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 ht="13.5" customHeight="1">
      <c r="A19" s="35">
        <v>19.0</v>
      </c>
      <c r="B19" s="35" t="s">
        <v>159</v>
      </c>
      <c r="C19" s="35" t="s">
        <v>113</v>
      </c>
      <c r="D19" s="327">
        <v>46144.0</v>
      </c>
      <c r="E19" s="320"/>
      <c r="F19" s="320">
        <v>150000.0</v>
      </c>
      <c r="G19" s="320"/>
      <c r="H19" s="320"/>
      <c r="I19" s="320"/>
      <c r="J19" s="320"/>
      <c r="K19" s="320">
        <f>O19</f>
        <v>12500</v>
      </c>
      <c r="L19" s="320">
        <v>15000.0</v>
      </c>
      <c r="M19" s="321"/>
      <c r="N19" s="321"/>
      <c r="O19" s="322">
        <f>F19/12</f>
        <v>12500</v>
      </c>
      <c r="P19" s="318" t="s">
        <v>158</v>
      </c>
      <c r="Q19" s="318" t="s">
        <v>88</v>
      </c>
      <c r="R19" s="323"/>
      <c r="S19" s="323"/>
      <c r="T19" s="335"/>
      <c r="U19" s="336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 ht="13.5" customHeight="1">
      <c r="A20" s="35">
        <v>20.0</v>
      </c>
      <c r="B20" s="35" t="s">
        <v>160</v>
      </c>
      <c r="C20" s="35" t="s">
        <v>116</v>
      </c>
      <c r="D20" s="327">
        <v>46144.0</v>
      </c>
      <c r="E20" s="320"/>
      <c r="F20" s="320"/>
      <c r="G20" s="320">
        <v>1740000.0</v>
      </c>
      <c r="H20" s="320">
        <v>21000.0</v>
      </c>
      <c r="I20" s="320">
        <v>39150.0</v>
      </c>
      <c r="J20" s="320"/>
      <c r="K20" s="320">
        <f t="shared" ref="K20:K24" si="15">L20</f>
        <v>13050</v>
      </c>
      <c r="L20" s="320">
        <f t="shared" ref="L20:L24" si="16">I20/3</f>
        <v>13050</v>
      </c>
      <c r="M20" s="321">
        <v>25.0</v>
      </c>
      <c r="N20" s="321">
        <f t="shared" ref="N20:N28" si="17">G20+(H20*M20)+(I20*M20)</f>
        <v>3243750</v>
      </c>
      <c r="O20" s="322">
        <f t="shared" ref="O20:O24" si="18">N20/M20/12</f>
        <v>10812.5</v>
      </c>
      <c r="P20" s="318"/>
      <c r="Q20" s="318" t="s">
        <v>88</v>
      </c>
      <c r="R20" s="323"/>
      <c r="S20" s="323"/>
      <c r="T20" s="335"/>
      <c r="U20" s="336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ht="13.5" customHeight="1">
      <c r="A21" s="35">
        <v>21.0</v>
      </c>
      <c r="B21" s="35" t="s">
        <v>161</v>
      </c>
      <c r="C21" s="35" t="s">
        <v>49</v>
      </c>
      <c r="D21" s="327">
        <v>46206.0</v>
      </c>
      <c r="E21" s="320"/>
      <c r="F21" s="320"/>
      <c r="G21" s="320">
        <v>1250000.0</v>
      </c>
      <c r="H21" s="320">
        <v>45000.0</v>
      </c>
      <c r="I21" s="320">
        <v>55000.0</v>
      </c>
      <c r="J21" s="320"/>
      <c r="K21" s="320">
        <f t="shared" si="15"/>
        <v>18333.33333</v>
      </c>
      <c r="L21" s="320">
        <f t="shared" si="16"/>
        <v>18333.33333</v>
      </c>
      <c r="M21" s="321">
        <v>27.0</v>
      </c>
      <c r="N21" s="321">
        <f t="shared" si="17"/>
        <v>3950000</v>
      </c>
      <c r="O21" s="322">
        <f t="shared" si="18"/>
        <v>12191.35802</v>
      </c>
      <c r="P21" s="318"/>
      <c r="Q21" s="318" t="s">
        <v>45</v>
      </c>
      <c r="R21" s="323"/>
      <c r="S21" s="323"/>
      <c r="T21" s="335"/>
      <c r="U21" s="336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 ht="13.5" customHeight="1">
      <c r="A22" s="35">
        <v>22.0</v>
      </c>
      <c r="B22" s="35" t="s">
        <v>162</v>
      </c>
      <c r="C22" s="35" t="s">
        <v>50</v>
      </c>
      <c r="D22" s="327">
        <v>46210.0</v>
      </c>
      <c r="E22" s="320"/>
      <c r="F22" s="320"/>
      <c r="G22" s="320">
        <v>1250000.0</v>
      </c>
      <c r="H22" s="320">
        <v>45000.0</v>
      </c>
      <c r="I22" s="320">
        <v>55000.0</v>
      </c>
      <c r="J22" s="320"/>
      <c r="K22" s="320">
        <f t="shared" si="15"/>
        <v>18333.33333</v>
      </c>
      <c r="L22" s="320">
        <f t="shared" si="16"/>
        <v>18333.33333</v>
      </c>
      <c r="M22" s="321">
        <v>27.0</v>
      </c>
      <c r="N22" s="321">
        <f t="shared" si="17"/>
        <v>3950000</v>
      </c>
      <c r="O22" s="322">
        <f t="shared" si="18"/>
        <v>12191.35802</v>
      </c>
      <c r="P22" s="318"/>
      <c r="Q22" s="318" t="s">
        <v>45</v>
      </c>
      <c r="R22" s="323"/>
      <c r="S22" s="323"/>
      <c r="T22" s="335"/>
      <c r="U22" s="336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</row>
    <row r="23" ht="13.5" customHeight="1">
      <c r="A23" s="35">
        <v>23.0</v>
      </c>
      <c r="B23" s="35" t="s">
        <v>163</v>
      </c>
      <c r="C23" s="330" t="s">
        <v>51</v>
      </c>
      <c r="D23" s="327">
        <v>46209.0</v>
      </c>
      <c r="E23" s="328"/>
      <c r="F23" s="328"/>
      <c r="G23" s="320">
        <v>1062500.0</v>
      </c>
      <c r="H23" s="320">
        <v>38250.0</v>
      </c>
      <c r="I23" s="320">
        <v>46750.0</v>
      </c>
      <c r="J23" s="320"/>
      <c r="K23" s="320">
        <f t="shared" si="15"/>
        <v>15583.33333</v>
      </c>
      <c r="L23" s="320">
        <f t="shared" si="16"/>
        <v>15583.33333</v>
      </c>
      <c r="M23" s="321">
        <v>27.0</v>
      </c>
      <c r="N23" s="321">
        <f t="shared" si="17"/>
        <v>3357500</v>
      </c>
      <c r="O23" s="322">
        <f t="shared" si="18"/>
        <v>10362.65432</v>
      </c>
      <c r="P23" s="35"/>
      <c r="Q23" s="318" t="s">
        <v>45</v>
      </c>
      <c r="R23" s="323"/>
      <c r="S23" s="323"/>
      <c r="T23" s="335"/>
      <c r="U23" s="336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4" ht="13.5" customHeight="1">
      <c r="A24" s="35">
        <v>24.0</v>
      </c>
      <c r="B24" s="35" t="s">
        <v>126</v>
      </c>
      <c r="C24" s="330" t="s">
        <v>126</v>
      </c>
      <c r="D24" s="327">
        <v>46185.0</v>
      </c>
      <c r="E24" s="328"/>
      <c r="F24" s="328"/>
      <c r="G24" s="320">
        <v>1740000.0</v>
      </c>
      <c r="H24" s="320">
        <v>21000.0</v>
      </c>
      <c r="I24" s="320">
        <v>39150.0</v>
      </c>
      <c r="J24" s="320"/>
      <c r="K24" s="320">
        <f t="shared" si="15"/>
        <v>13050</v>
      </c>
      <c r="L24" s="320">
        <f t="shared" si="16"/>
        <v>13050</v>
      </c>
      <c r="M24" s="321">
        <v>25.0</v>
      </c>
      <c r="N24" s="321">
        <f t="shared" si="17"/>
        <v>3243750</v>
      </c>
      <c r="O24" s="322">
        <f t="shared" si="18"/>
        <v>10812.5</v>
      </c>
      <c r="P24" s="35"/>
      <c r="Q24" s="318" t="s">
        <v>125</v>
      </c>
      <c r="R24" s="323"/>
      <c r="S24" s="323"/>
      <c r="T24" s="335"/>
      <c r="U24" s="336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</row>
    <row r="25" ht="13.5" customHeight="1">
      <c r="A25" s="35">
        <v>25.0</v>
      </c>
      <c r="B25" s="35" t="s">
        <v>82</v>
      </c>
      <c r="C25" s="35" t="s">
        <v>82</v>
      </c>
      <c r="D25" s="327">
        <v>46179.0</v>
      </c>
      <c r="E25" s="320"/>
      <c r="F25" s="320">
        <v>150000.0</v>
      </c>
      <c r="G25" s="334"/>
      <c r="H25" s="334"/>
      <c r="I25" s="334"/>
      <c r="J25" s="320"/>
      <c r="K25" s="320">
        <f>O25</f>
        <v>12500</v>
      </c>
      <c r="L25" s="320">
        <v>15000.0</v>
      </c>
      <c r="M25" s="321">
        <v>25.0</v>
      </c>
      <c r="N25" s="321">
        <f t="shared" si="17"/>
        <v>0</v>
      </c>
      <c r="O25" s="322">
        <f>F25/12</f>
        <v>12500</v>
      </c>
      <c r="P25" s="318" t="s">
        <v>158</v>
      </c>
      <c r="Q25" s="318" t="s">
        <v>53</v>
      </c>
      <c r="R25" s="323"/>
      <c r="S25" s="323"/>
      <c r="T25" s="335"/>
      <c r="U25" s="336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ht="13.5" customHeight="1">
      <c r="A26" s="35">
        <v>26.0</v>
      </c>
      <c r="B26" s="35" t="s">
        <v>84</v>
      </c>
      <c r="C26" s="330" t="s">
        <v>84</v>
      </c>
      <c r="D26" s="327">
        <v>46178.0</v>
      </c>
      <c r="E26" s="328"/>
      <c r="F26" s="328"/>
      <c r="G26" s="320">
        <v>1740000.0</v>
      </c>
      <c r="H26" s="320">
        <v>21000.0</v>
      </c>
      <c r="I26" s="320">
        <v>39150.0</v>
      </c>
      <c r="J26" s="320"/>
      <c r="K26" s="320">
        <f t="shared" ref="K26:K28" si="19">L26</f>
        <v>13050</v>
      </c>
      <c r="L26" s="320">
        <f t="shared" ref="L26:L28" si="20">I26/3</f>
        <v>13050</v>
      </c>
      <c r="M26" s="321">
        <v>25.0</v>
      </c>
      <c r="N26" s="321">
        <f t="shared" si="17"/>
        <v>3243750</v>
      </c>
      <c r="O26" s="322">
        <f t="shared" ref="O26:O28" si="21">N26/M26/12</f>
        <v>10812.5</v>
      </c>
      <c r="P26" s="35"/>
      <c r="Q26" s="318" t="s">
        <v>53</v>
      </c>
      <c r="R26" s="323"/>
      <c r="S26" s="323"/>
      <c r="T26" s="335"/>
      <c r="U26" s="336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</row>
    <row r="27" ht="13.5" customHeight="1">
      <c r="A27" s="35">
        <v>27.0</v>
      </c>
      <c r="B27" s="35" t="s">
        <v>118</v>
      </c>
      <c r="C27" s="330" t="s">
        <v>118</v>
      </c>
      <c r="D27" s="327">
        <v>46240.0</v>
      </c>
      <c r="E27" s="328"/>
      <c r="F27" s="328"/>
      <c r="G27" s="320">
        <v>1740000.0</v>
      </c>
      <c r="H27" s="320">
        <v>21000.0</v>
      </c>
      <c r="I27" s="320">
        <v>39150.0</v>
      </c>
      <c r="J27" s="320"/>
      <c r="K27" s="320">
        <f t="shared" si="19"/>
        <v>13050</v>
      </c>
      <c r="L27" s="320">
        <f t="shared" si="20"/>
        <v>13050</v>
      </c>
      <c r="M27" s="321">
        <v>25.0</v>
      </c>
      <c r="N27" s="321">
        <f t="shared" si="17"/>
        <v>3243750</v>
      </c>
      <c r="O27" s="322">
        <f t="shared" si="21"/>
        <v>10812.5</v>
      </c>
      <c r="P27" s="35"/>
      <c r="Q27" s="318" t="s">
        <v>88</v>
      </c>
      <c r="R27" s="323"/>
      <c r="S27" s="323"/>
      <c r="T27" s="335"/>
      <c r="U27" s="336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</row>
    <row r="28" ht="13.5" customHeight="1">
      <c r="A28" s="35">
        <v>28.0</v>
      </c>
      <c r="B28" s="35" t="s">
        <v>127</v>
      </c>
      <c r="C28" s="330" t="s">
        <v>127</v>
      </c>
      <c r="D28" s="327">
        <v>46247.0</v>
      </c>
      <c r="E28" s="328"/>
      <c r="F28" s="328"/>
      <c r="G28" s="320">
        <v>1479000.0</v>
      </c>
      <c r="H28" s="320">
        <v>17850.0</v>
      </c>
      <c r="I28" s="320">
        <v>33278.0</v>
      </c>
      <c r="J28" s="320"/>
      <c r="K28" s="320">
        <f t="shared" si="19"/>
        <v>11092.66667</v>
      </c>
      <c r="L28" s="320">
        <f t="shared" si="20"/>
        <v>11092.66667</v>
      </c>
      <c r="M28" s="321">
        <v>25.0</v>
      </c>
      <c r="N28" s="321">
        <f t="shared" si="17"/>
        <v>2757200</v>
      </c>
      <c r="O28" s="322">
        <f t="shared" si="21"/>
        <v>9190.666667</v>
      </c>
      <c r="P28" s="35"/>
      <c r="Q28" s="318" t="s">
        <v>125</v>
      </c>
      <c r="R28" s="323"/>
      <c r="S28" s="323"/>
      <c r="T28" s="335"/>
      <c r="U28" s="336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</row>
    <row r="29" ht="13.5" customHeight="1">
      <c r="A29" s="35"/>
      <c r="B29" s="338" t="s">
        <v>122</v>
      </c>
      <c r="C29" s="330"/>
      <c r="D29" s="327"/>
      <c r="E29" s="337">
        <v>125000.0</v>
      </c>
      <c r="F29" s="328"/>
      <c r="G29" s="328"/>
      <c r="H29" s="328"/>
      <c r="I29" s="328"/>
      <c r="J29" s="320"/>
      <c r="K29" s="320"/>
      <c r="L29" s="320"/>
      <c r="M29" s="321"/>
      <c r="N29" s="321"/>
      <c r="O29" s="322"/>
      <c r="P29" s="35"/>
      <c r="Q29" s="318"/>
      <c r="R29" s="323"/>
      <c r="S29" s="323"/>
      <c r="T29" s="335"/>
      <c r="U29" s="336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ht="13.5" customHeight="1">
      <c r="A30" s="35"/>
      <c r="B30" s="35"/>
      <c r="C30" s="330"/>
      <c r="D30" s="327"/>
      <c r="E30" s="328"/>
      <c r="F30" s="328"/>
      <c r="G30" s="328"/>
      <c r="H30" s="328"/>
      <c r="I30" s="328"/>
      <c r="J30" s="320"/>
      <c r="K30" s="320"/>
      <c r="L30" s="320"/>
      <c r="M30" s="321"/>
      <c r="N30" s="321"/>
      <c r="O30" s="322"/>
      <c r="P30" s="35"/>
      <c r="Q30" s="318"/>
      <c r="R30" s="323"/>
      <c r="S30" s="323"/>
      <c r="T30" s="335"/>
      <c r="U30" s="336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</row>
    <row r="31" ht="13.5" customHeight="1">
      <c r="A31" s="35"/>
      <c r="B31" s="35"/>
      <c r="C31" s="35"/>
      <c r="D31" s="339"/>
      <c r="E31" s="334"/>
      <c r="F31" s="334"/>
      <c r="G31" s="334"/>
      <c r="H31" s="334"/>
      <c r="I31" s="334"/>
      <c r="J31" s="334"/>
      <c r="K31" s="334"/>
      <c r="L31" s="334"/>
      <c r="M31" s="25"/>
      <c r="N31" s="25"/>
      <c r="O31" s="334"/>
      <c r="P31" s="334"/>
      <c r="Q31" s="334"/>
      <c r="R31" s="340"/>
      <c r="S31" s="35"/>
      <c r="T31" s="334"/>
      <c r="U31" s="334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ht="13.5" customHeight="1">
      <c r="A32" s="35"/>
      <c r="B32" s="35"/>
      <c r="C32" s="35"/>
      <c r="D32" s="339"/>
      <c r="E32" s="334"/>
      <c r="F32" s="334"/>
      <c r="G32" s="334"/>
      <c r="H32" s="334"/>
      <c r="I32" s="334"/>
      <c r="J32" s="334"/>
      <c r="K32" s="334"/>
      <c r="L32" s="334"/>
      <c r="M32" s="25"/>
      <c r="N32" s="25"/>
      <c r="O32" s="334"/>
      <c r="P32" s="334"/>
      <c r="Q32" s="334"/>
      <c r="R32" s="340"/>
      <c r="S32" s="35"/>
      <c r="T32" s="334"/>
      <c r="U32" s="334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</row>
    <row r="33" ht="13.5" customHeight="1">
      <c r="A33" s="35"/>
      <c r="B33" s="35"/>
      <c r="C33" s="35"/>
      <c r="D33" s="339"/>
      <c r="E33" s="334"/>
      <c r="F33" s="334"/>
      <c r="G33" s="334"/>
      <c r="H33" s="334"/>
      <c r="I33" s="334"/>
      <c r="J33" s="334"/>
      <c r="K33" s="334"/>
      <c r="L33" s="334"/>
      <c r="M33" s="25"/>
      <c r="N33" s="25"/>
      <c r="O33" s="334"/>
      <c r="P33" s="334"/>
      <c r="Q33" s="334"/>
      <c r="R33" s="340"/>
      <c r="S33" s="35"/>
      <c r="T33" s="334"/>
      <c r="U33" s="334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</row>
    <row r="34" ht="13.5" customHeight="1">
      <c r="A34" s="35"/>
      <c r="B34" s="35"/>
      <c r="C34" s="35"/>
      <c r="D34" s="339"/>
      <c r="E34" s="334"/>
      <c r="F34" s="334"/>
      <c r="G34" s="334"/>
      <c r="H34" s="334"/>
      <c r="I34" s="334"/>
      <c r="J34" s="334"/>
      <c r="K34" s="334"/>
      <c r="L34" s="334"/>
      <c r="M34" s="25"/>
      <c r="N34" s="25"/>
      <c r="O34" s="334"/>
      <c r="P34" s="334"/>
      <c r="Q34" s="334"/>
      <c r="R34" s="340"/>
      <c r="S34" s="35"/>
      <c r="T34" s="334"/>
      <c r="U34" s="334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 ht="13.5" customHeight="1">
      <c r="A35" s="35"/>
      <c r="B35" s="35"/>
      <c r="C35" s="35"/>
      <c r="D35" s="339"/>
      <c r="E35" s="334"/>
      <c r="F35" s="334"/>
      <c r="G35" s="334"/>
      <c r="H35" s="334"/>
      <c r="I35" s="334"/>
      <c r="J35" s="334"/>
      <c r="K35" s="334"/>
      <c r="L35" s="334"/>
      <c r="M35" s="25"/>
      <c r="N35" s="25"/>
      <c r="O35" s="334"/>
      <c r="P35" s="334"/>
      <c r="Q35" s="334"/>
      <c r="R35" s="340"/>
      <c r="S35" s="35"/>
      <c r="T35" s="334"/>
      <c r="U35" s="334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 ht="13.5" customHeight="1">
      <c r="A36" s="35"/>
      <c r="B36" s="35"/>
      <c r="C36" s="35"/>
      <c r="D36" s="339"/>
      <c r="E36" s="334"/>
      <c r="F36" s="334"/>
      <c r="G36" s="334"/>
      <c r="H36" s="334"/>
      <c r="I36" s="334"/>
      <c r="J36" s="334"/>
      <c r="K36" s="334"/>
      <c r="L36" s="334"/>
      <c r="M36" s="25"/>
      <c r="N36" s="25"/>
      <c r="O36" s="334"/>
      <c r="P36" s="334"/>
      <c r="Q36" s="334"/>
      <c r="R36" s="340"/>
      <c r="S36" s="35"/>
      <c r="T36" s="334"/>
      <c r="U36" s="334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 ht="13.5" customHeight="1">
      <c r="A37" s="35"/>
      <c r="B37" s="35"/>
      <c r="C37" s="35"/>
      <c r="D37" s="339"/>
      <c r="E37" s="334"/>
      <c r="F37" s="334"/>
      <c r="G37" s="334"/>
      <c r="H37" s="334"/>
      <c r="I37" s="334"/>
      <c r="J37" s="334"/>
      <c r="K37" s="334"/>
      <c r="L37" s="334"/>
      <c r="M37" s="25"/>
      <c r="N37" s="25"/>
      <c r="O37" s="334"/>
      <c r="P37" s="334"/>
      <c r="Q37" s="334"/>
      <c r="R37" s="340"/>
      <c r="S37" s="35"/>
      <c r="T37" s="334"/>
      <c r="U37" s="334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 ht="13.5" customHeight="1">
      <c r="A38" s="35"/>
      <c r="B38" s="35"/>
      <c r="C38" s="35"/>
      <c r="D38" s="339"/>
      <c r="E38" s="334"/>
      <c r="F38" s="334"/>
      <c r="G38" s="334"/>
      <c r="H38" s="334"/>
      <c r="I38" s="334"/>
      <c r="J38" s="334"/>
      <c r="K38" s="334"/>
      <c r="L38" s="334"/>
      <c r="M38" s="25"/>
      <c r="N38" s="25"/>
      <c r="O38" s="334"/>
      <c r="P38" s="334"/>
      <c r="Q38" s="334"/>
      <c r="R38" s="340"/>
      <c r="S38" s="35"/>
      <c r="T38" s="334"/>
      <c r="U38" s="334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ht="13.5" customHeight="1">
      <c r="A39" s="35"/>
      <c r="B39" s="35"/>
      <c r="C39" s="35"/>
      <c r="D39" s="339"/>
      <c r="E39" s="334"/>
      <c r="F39" s="334"/>
      <c r="G39" s="334"/>
      <c r="H39" s="334"/>
      <c r="I39" s="334"/>
      <c r="J39" s="334"/>
      <c r="K39" s="334"/>
      <c r="L39" s="334"/>
      <c r="M39" s="25"/>
      <c r="N39" s="25"/>
      <c r="O39" s="334"/>
      <c r="P39" s="334"/>
      <c r="Q39" s="334"/>
      <c r="R39" s="340"/>
      <c r="S39" s="35"/>
      <c r="T39" s="334"/>
      <c r="U39" s="334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 ht="13.5" customHeight="1">
      <c r="A40" s="35"/>
      <c r="B40" s="35"/>
      <c r="C40" s="35"/>
      <c r="D40" s="339"/>
      <c r="E40" s="334"/>
      <c r="F40" s="334"/>
      <c r="G40" s="334"/>
      <c r="H40" s="334"/>
      <c r="I40" s="334"/>
      <c r="J40" s="334"/>
      <c r="K40" s="334"/>
      <c r="L40" s="334"/>
      <c r="M40" s="25"/>
      <c r="N40" s="25"/>
      <c r="O40" s="334"/>
      <c r="P40" s="334"/>
      <c r="Q40" s="334"/>
      <c r="R40" s="340"/>
      <c r="S40" s="35"/>
      <c r="T40" s="334"/>
      <c r="U40" s="334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</row>
    <row r="41" ht="13.5" customHeight="1">
      <c r="A41" s="35"/>
      <c r="B41" s="35"/>
      <c r="C41" s="35"/>
      <c r="D41" s="339"/>
      <c r="E41" s="334"/>
      <c r="F41" s="334"/>
      <c r="G41" s="334"/>
      <c r="H41" s="334"/>
      <c r="I41" s="334"/>
      <c r="J41" s="334"/>
      <c r="K41" s="334"/>
      <c r="L41" s="334"/>
      <c r="M41" s="25"/>
      <c r="N41" s="25"/>
      <c r="O41" s="334"/>
      <c r="P41" s="334"/>
      <c r="Q41" s="334"/>
      <c r="R41" s="340"/>
      <c r="S41" s="35"/>
      <c r="T41" s="334"/>
      <c r="U41" s="334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 ht="13.5" customHeight="1">
      <c r="A42" s="35"/>
      <c r="B42" s="35"/>
      <c r="C42" s="35"/>
      <c r="D42" s="339"/>
      <c r="E42" s="334"/>
      <c r="F42" s="334"/>
      <c r="G42" s="334"/>
      <c r="H42" s="334"/>
      <c r="I42" s="334"/>
      <c r="J42" s="334"/>
      <c r="K42" s="334"/>
      <c r="L42" s="334"/>
      <c r="M42" s="25"/>
      <c r="N42" s="25"/>
      <c r="O42" s="334"/>
      <c r="P42" s="334"/>
      <c r="Q42" s="334"/>
      <c r="R42" s="340"/>
      <c r="S42" s="35"/>
      <c r="T42" s="334"/>
      <c r="U42" s="334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ht="13.5" customHeight="1">
      <c r="A43" s="35"/>
      <c r="B43" s="35"/>
      <c r="C43" s="35"/>
      <c r="D43" s="339"/>
      <c r="E43" s="334"/>
      <c r="F43" s="334"/>
      <c r="G43" s="334"/>
      <c r="H43" s="334"/>
      <c r="I43" s="334"/>
      <c r="J43" s="334"/>
      <c r="K43" s="334"/>
      <c r="L43" s="334"/>
      <c r="M43" s="25"/>
      <c r="N43" s="25"/>
      <c r="O43" s="334"/>
      <c r="P43" s="334"/>
      <c r="Q43" s="334"/>
      <c r="R43" s="340"/>
      <c r="S43" s="35"/>
      <c r="T43" s="334"/>
      <c r="U43" s="334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 ht="13.5" customHeight="1">
      <c r="A44" s="35"/>
      <c r="B44" s="35"/>
      <c r="C44" s="35"/>
      <c r="D44" s="339"/>
      <c r="E44" s="334"/>
      <c r="F44" s="334"/>
      <c r="G44" s="334"/>
      <c r="H44" s="334"/>
      <c r="I44" s="334"/>
      <c r="J44" s="334"/>
      <c r="K44" s="334"/>
      <c r="L44" s="334"/>
      <c r="M44" s="25"/>
      <c r="N44" s="25"/>
      <c r="O44" s="334"/>
      <c r="P44" s="334"/>
      <c r="Q44" s="334"/>
      <c r="R44" s="340"/>
      <c r="S44" s="35"/>
      <c r="T44" s="334"/>
      <c r="U44" s="334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ht="13.5" customHeight="1">
      <c r="A45" s="35"/>
      <c r="B45" s="35"/>
      <c r="C45" s="35"/>
      <c r="D45" s="339"/>
      <c r="E45" s="334"/>
      <c r="F45" s="334"/>
      <c r="G45" s="334"/>
      <c r="H45" s="334"/>
      <c r="I45" s="334"/>
      <c r="J45" s="334"/>
      <c r="K45" s="334"/>
      <c r="L45" s="334"/>
      <c r="M45" s="25"/>
      <c r="N45" s="25"/>
      <c r="O45" s="334"/>
      <c r="P45" s="334"/>
      <c r="Q45" s="334"/>
      <c r="R45" s="340"/>
      <c r="S45" s="35"/>
      <c r="T45" s="334"/>
      <c r="U45" s="334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ht="13.5" customHeight="1">
      <c r="A46" s="35"/>
      <c r="B46" s="35"/>
      <c r="C46" s="35"/>
      <c r="D46" s="339"/>
      <c r="E46" s="334"/>
      <c r="F46" s="334"/>
      <c r="G46" s="334"/>
      <c r="H46" s="334"/>
      <c r="I46" s="334"/>
      <c r="J46" s="334"/>
      <c r="K46" s="334"/>
      <c r="L46" s="334"/>
      <c r="M46" s="25"/>
      <c r="N46" s="25"/>
      <c r="O46" s="334"/>
      <c r="P46" s="334"/>
      <c r="Q46" s="334"/>
      <c r="R46" s="340"/>
      <c r="S46" s="35"/>
      <c r="T46" s="334"/>
      <c r="U46" s="334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</row>
    <row r="47" ht="13.5" customHeight="1">
      <c r="A47" s="35"/>
      <c r="B47" s="35"/>
      <c r="C47" s="35"/>
      <c r="D47" s="339"/>
      <c r="E47" s="334"/>
      <c r="F47" s="334"/>
      <c r="G47" s="334"/>
      <c r="H47" s="334"/>
      <c r="I47" s="334"/>
      <c r="J47" s="334"/>
      <c r="K47" s="334"/>
      <c r="L47" s="334"/>
      <c r="M47" s="25"/>
      <c r="N47" s="25"/>
      <c r="O47" s="334"/>
      <c r="P47" s="334"/>
      <c r="Q47" s="334"/>
      <c r="R47" s="340"/>
      <c r="S47" s="35"/>
      <c r="T47" s="334"/>
      <c r="U47" s="334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ht="13.5" customHeight="1">
      <c r="A48" s="35"/>
      <c r="B48" s="35"/>
      <c r="C48" s="35"/>
      <c r="D48" s="339"/>
      <c r="E48" s="334"/>
      <c r="F48" s="334"/>
      <c r="G48" s="334"/>
      <c r="H48" s="334"/>
      <c r="I48" s="334"/>
      <c r="J48" s="334"/>
      <c r="K48" s="334"/>
      <c r="L48" s="334"/>
      <c r="M48" s="25"/>
      <c r="N48" s="25"/>
      <c r="O48" s="334"/>
      <c r="P48" s="334"/>
      <c r="Q48" s="334"/>
      <c r="R48" s="340"/>
      <c r="S48" s="35"/>
      <c r="T48" s="334"/>
      <c r="U48" s="334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 ht="13.5" customHeight="1">
      <c r="A49" s="35"/>
      <c r="B49" s="35"/>
      <c r="C49" s="35"/>
      <c r="D49" s="339"/>
      <c r="E49" s="334"/>
      <c r="F49" s="334"/>
      <c r="G49" s="334"/>
      <c r="H49" s="334"/>
      <c r="I49" s="334"/>
      <c r="J49" s="334"/>
      <c r="K49" s="334"/>
      <c r="L49" s="334"/>
      <c r="M49" s="25"/>
      <c r="N49" s="25"/>
      <c r="O49" s="334"/>
      <c r="P49" s="334"/>
      <c r="Q49" s="334"/>
      <c r="R49" s="340"/>
      <c r="S49" s="35"/>
      <c r="T49" s="334"/>
      <c r="U49" s="334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ht="13.5" customHeight="1">
      <c r="A50" s="35"/>
      <c r="B50" s="35"/>
      <c r="C50" s="35"/>
      <c r="D50" s="339"/>
      <c r="E50" s="334"/>
      <c r="F50" s="334"/>
      <c r="G50" s="334"/>
      <c r="H50" s="334"/>
      <c r="I50" s="334"/>
      <c r="J50" s="334"/>
      <c r="K50" s="334"/>
      <c r="L50" s="334"/>
      <c r="M50" s="25"/>
      <c r="N50" s="25"/>
      <c r="O50" s="334"/>
      <c r="P50" s="334"/>
      <c r="Q50" s="334"/>
      <c r="R50" s="340"/>
      <c r="S50" s="35"/>
      <c r="T50" s="334"/>
      <c r="U50" s="334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ht="13.5" customHeight="1">
      <c r="A51" s="35"/>
      <c r="B51" s="35"/>
      <c r="C51" s="35"/>
      <c r="D51" s="339"/>
      <c r="E51" s="334"/>
      <c r="F51" s="334"/>
      <c r="G51" s="334"/>
      <c r="H51" s="334"/>
      <c r="I51" s="334"/>
      <c r="J51" s="334"/>
      <c r="K51" s="334"/>
      <c r="L51" s="334"/>
      <c r="M51" s="25"/>
      <c r="N51" s="25"/>
      <c r="O51" s="334"/>
      <c r="P51" s="334"/>
      <c r="Q51" s="334"/>
      <c r="R51" s="340"/>
      <c r="S51" s="35"/>
      <c r="T51" s="334"/>
      <c r="U51" s="334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ht="13.5" customHeight="1">
      <c r="A52" s="35"/>
      <c r="B52" s="35"/>
      <c r="C52" s="35"/>
      <c r="D52" s="339"/>
      <c r="E52" s="334"/>
      <c r="F52" s="334"/>
      <c r="G52" s="334"/>
      <c r="H52" s="334"/>
      <c r="I52" s="334"/>
      <c r="J52" s="334"/>
      <c r="K52" s="334"/>
      <c r="L52" s="334"/>
      <c r="M52" s="25"/>
      <c r="N52" s="25"/>
      <c r="O52" s="334"/>
      <c r="P52" s="334"/>
      <c r="Q52" s="334"/>
      <c r="R52" s="340"/>
      <c r="S52" s="35"/>
      <c r="T52" s="334"/>
      <c r="U52" s="334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ht="13.5" customHeight="1">
      <c r="A53" s="35"/>
      <c r="B53" s="35"/>
      <c r="C53" s="35"/>
      <c r="D53" s="339"/>
      <c r="E53" s="334"/>
      <c r="F53" s="334"/>
      <c r="G53" s="334"/>
      <c r="H53" s="334"/>
      <c r="I53" s="334"/>
      <c r="J53" s="334"/>
      <c r="K53" s="334"/>
      <c r="L53" s="334"/>
      <c r="M53" s="25"/>
      <c r="N53" s="25"/>
      <c r="O53" s="334"/>
      <c r="P53" s="334"/>
      <c r="Q53" s="334"/>
      <c r="R53" s="340"/>
      <c r="S53" s="35"/>
      <c r="T53" s="334"/>
      <c r="U53" s="334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ht="13.5" customHeight="1">
      <c r="A54" s="35"/>
      <c r="B54" s="35"/>
      <c r="C54" s="35"/>
      <c r="D54" s="339"/>
      <c r="E54" s="334"/>
      <c r="F54" s="334"/>
      <c r="G54" s="334"/>
      <c r="H54" s="334"/>
      <c r="I54" s="334"/>
      <c r="J54" s="334"/>
      <c r="K54" s="334"/>
      <c r="L54" s="334"/>
      <c r="M54" s="25"/>
      <c r="N54" s="25"/>
      <c r="O54" s="334"/>
      <c r="P54" s="334"/>
      <c r="Q54" s="334"/>
      <c r="R54" s="340"/>
      <c r="S54" s="35"/>
      <c r="T54" s="334"/>
      <c r="U54" s="334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ht="13.5" customHeight="1">
      <c r="A55" s="35"/>
      <c r="B55" s="35"/>
      <c r="C55" s="35"/>
      <c r="D55" s="339"/>
      <c r="E55" s="334"/>
      <c r="F55" s="334"/>
      <c r="G55" s="334"/>
      <c r="H55" s="334"/>
      <c r="I55" s="334"/>
      <c r="J55" s="334"/>
      <c r="K55" s="334"/>
      <c r="L55" s="334"/>
      <c r="M55" s="25"/>
      <c r="N55" s="25"/>
      <c r="O55" s="334"/>
      <c r="P55" s="334"/>
      <c r="Q55" s="334"/>
      <c r="R55" s="340"/>
      <c r="S55" s="35"/>
      <c r="T55" s="334"/>
      <c r="U55" s="334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ht="13.5" customHeight="1">
      <c r="A56" s="35"/>
      <c r="B56" s="35"/>
      <c r="C56" s="35"/>
      <c r="D56" s="339"/>
      <c r="E56" s="334"/>
      <c r="F56" s="334"/>
      <c r="G56" s="334"/>
      <c r="H56" s="334"/>
      <c r="I56" s="334"/>
      <c r="J56" s="334"/>
      <c r="K56" s="334"/>
      <c r="L56" s="334"/>
      <c r="M56" s="25"/>
      <c r="N56" s="25"/>
      <c r="O56" s="334"/>
      <c r="P56" s="334"/>
      <c r="Q56" s="334"/>
      <c r="R56" s="340"/>
      <c r="S56" s="35"/>
      <c r="T56" s="334"/>
      <c r="U56" s="334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ht="13.5" customHeight="1">
      <c r="A57" s="35"/>
      <c r="B57" s="35"/>
      <c r="C57" s="35"/>
      <c r="D57" s="339"/>
      <c r="E57" s="334"/>
      <c r="F57" s="334"/>
      <c r="G57" s="334"/>
      <c r="H57" s="334"/>
      <c r="I57" s="334"/>
      <c r="J57" s="334"/>
      <c r="K57" s="334"/>
      <c r="L57" s="334"/>
      <c r="M57" s="25"/>
      <c r="N57" s="25"/>
      <c r="O57" s="334"/>
      <c r="P57" s="334"/>
      <c r="Q57" s="334"/>
      <c r="R57" s="340"/>
      <c r="S57" s="35"/>
      <c r="T57" s="334"/>
      <c r="U57" s="334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ht="13.5" customHeight="1">
      <c r="A58" s="35"/>
      <c r="B58" s="35"/>
      <c r="C58" s="35"/>
      <c r="D58" s="339"/>
      <c r="E58" s="334"/>
      <c r="F58" s="334"/>
      <c r="G58" s="334"/>
      <c r="H58" s="334"/>
      <c r="I58" s="334"/>
      <c r="J58" s="334"/>
      <c r="K58" s="334"/>
      <c r="L58" s="334"/>
      <c r="M58" s="25"/>
      <c r="N58" s="25"/>
      <c r="O58" s="334"/>
      <c r="P58" s="334"/>
      <c r="Q58" s="334"/>
      <c r="R58" s="340"/>
      <c r="S58" s="35"/>
      <c r="T58" s="334"/>
      <c r="U58" s="334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ht="13.5" customHeight="1">
      <c r="A59" s="35"/>
      <c r="B59" s="35"/>
      <c r="C59" s="35"/>
      <c r="D59" s="339"/>
      <c r="E59" s="334"/>
      <c r="F59" s="334"/>
      <c r="G59" s="334"/>
      <c r="H59" s="334"/>
      <c r="I59" s="334"/>
      <c r="J59" s="334"/>
      <c r="K59" s="334"/>
      <c r="L59" s="334"/>
      <c r="M59" s="25"/>
      <c r="N59" s="25"/>
      <c r="O59" s="334"/>
      <c r="P59" s="334"/>
      <c r="Q59" s="334"/>
      <c r="R59" s="340"/>
      <c r="S59" s="35"/>
      <c r="T59" s="334"/>
      <c r="U59" s="334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ht="13.5" customHeight="1">
      <c r="A60" s="35"/>
      <c r="B60" s="35"/>
      <c r="C60" s="35"/>
      <c r="D60" s="339"/>
      <c r="E60" s="334"/>
      <c r="F60" s="334"/>
      <c r="G60" s="334"/>
      <c r="H60" s="334"/>
      <c r="I60" s="334"/>
      <c r="J60" s="334"/>
      <c r="K60" s="334"/>
      <c r="L60" s="334"/>
      <c r="M60" s="25"/>
      <c r="N60" s="25"/>
      <c r="O60" s="334"/>
      <c r="P60" s="334"/>
      <c r="Q60" s="334"/>
      <c r="R60" s="340"/>
      <c r="S60" s="35"/>
      <c r="T60" s="334"/>
      <c r="U60" s="334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ht="13.5" customHeight="1">
      <c r="A61" s="35"/>
      <c r="B61" s="35"/>
      <c r="C61" s="35"/>
      <c r="D61" s="339"/>
      <c r="E61" s="334"/>
      <c r="F61" s="334"/>
      <c r="G61" s="334"/>
      <c r="H61" s="334"/>
      <c r="I61" s="334"/>
      <c r="J61" s="334"/>
      <c r="K61" s="334"/>
      <c r="L61" s="334"/>
      <c r="M61" s="25"/>
      <c r="N61" s="25"/>
      <c r="O61" s="334"/>
      <c r="P61" s="334"/>
      <c r="Q61" s="334"/>
      <c r="R61" s="340"/>
      <c r="S61" s="35"/>
      <c r="T61" s="334"/>
      <c r="U61" s="334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ht="13.5" customHeight="1">
      <c r="A62" s="35"/>
      <c r="B62" s="35"/>
      <c r="C62" s="35"/>
      <c r="D62" s="339"/>
      <c r="E62" s="334"/>
      <c r="F62" s="334"/>
      <c r="G62" s="334"/>
      <c r="H62" s="334"/>
      <c r="I62" s="334"/>
      <c r="J62" s="334"/>
      <c r="K62" s="334"/>
      <c r="L62" s="334"/>
      <c r="M62" s="25"/>
      <c r="N62" s="25"/>
      <c r="O62" s="334"/>
      <c r="P62" s="334"/>
      <c r="Q62" s="334"/>
      <c r="R62" s="340"/>
      <c r="S62" s="35"/>
      <c r="T62" s="334"/>
      <c r="U62" s="334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ht="13.5" customHeight="1">
      <c r="A63" s="35"/>
      <c r="B63" s="35"/>
      <c r="C63" s="35"/>
      <c r="D63" s="339"/>
      <c r="E63" s="334"/>
      <c r="F63" s="334"/>
      <c r="G63" s="334"/>
      <c r="H63" s="334"/>
      <c r="I63" s="334"/>
      <c r="J63" s="334"/>
      <c r="K63" s="334"/>
      <c r="L63" s="334"/>
      <c r="M63" s="25"/>
      <c r="N63" s="25"/>
      <c r="O63" s="334"/>
      <c r="P63" s="334"/>
      <c r="Q63" s="334"/>
      <c r="R63" s="340"/>
      <c r="S63" s="35"/>
      <c r="T63" s="334"/>
      <c r="U63" s="334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ht="13.5" customHeight="1">
      <c r="A64" s="35"/>
      <c r="B64" s="35"/>
      <c r="C64" s="35"/>
      <c r="D64" s="339"/>
      <c r="E64" s="334"/>
      <c r="F64" s="334"/>
      <c r="G64" s="334"/>
      <c r="H64" s="334"/>
      <c r="I64" s="334"/>
      <c r="J64" s="334"/>
      <c r="K64" s="334"/>
      <c r="L64" s="334"/>
      <c r="M64" s="25"/>
      <c r="N64" s="25"/>
      <c r="O64" s="334"/>
      <c r="P64" s="334"/>
      <c r="Q64" s="334"/>
      <c r="R64" s="340"/>
      <c r="S64" s="35"/>
      <c r="T64" s="334"/>
      <c r="U64" s="334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ht="13.5" customHeight="1">
      <c r="A65" s="35"/>
      <c r="B65" s="35"/>
      <c r="C65" s="35"/>
      <c r="D65" s="339"/>
      <c r="E65" s="334"/>
      <c r="F65" s="334"/>
      <c r="G65" s="334"/>
      <c r="H65" s="334"/>
      <c r="I65" s="334"/>
      <c r="J65" s="334"/>
      <c r="K65" s="334"/>
      <c r="L65" s="334"/>
      <c r="M65" s="25"/>
      <c r="N65" s="25"/>
      <c r="O65" s="334"/>
      <c r="P65" s="334"/>
      <c r="Q65" s="334"/>
      <c r="R65" s="340"/>
      <c r="S65" s="35"/>
      <c r="T65" s="334"/>
      <c r="U65" s="334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ht="13.5" customHeight="1">
      <c r="A66" s="35"/>
      <c r="B66" s="35"/>
      <c r="C66" s="35"/>
      <c r="D66" s="339"/>
      <c r="E66" s="334"/>
      <c r="F66" s="334"/>
      <c r="G66" s="334"/>
      <c r="H66" s="334"/>
      <c r="I66" s="334"/>
      <c r="J66" s="334"/>
      <c r="K66" s="334"/>
      <c r="L66" s="334"/>
      <c r="M66" s="25"/>
      <c r="N66" s="25"/>
      <c r="O66" s="334"/>
      <c r="P66" s="334"/>
      <c r="Q66" s="334"/>
      <c r="R66" s="340"/>
      <c r="S66" s="35"/>
      <c r="T66" s="334"/>
      <c r="U66" s="334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ht="13.5" customHeight="1">
      <c r="A67" s="35"/>
      <c r="B67" s="35"/>
      <c r="C67" s="35"/>
      <c r="D67" s="339"/>
      <c r="E67" s="334"/>
      <c r="F67" s="334"/>
      <c r="G67" s="334"/>
      <c r="H67" s="334"/>
      <c r="I67" s="334"/>
      <c r="J67" s="334"/>
      <c r="K67" s="334"/>
      <c r="L67" s="334"/>
      <c r="M67" s="25"/>
      <c r="N67" s="25"/>
      <c r="O67" s="334"/>
      <c r="P67" s="334"/>
      <c r="Q67" s="334"/>
      <c r="R67" s="340"/>
      <c r="S67" s="35"/>
      <c r="T67" s="334"/>
      <c r="U67" s="334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ht="13.5" customHeight="1">
      <c r="A68" s="35"/>
      <c r="B68" s="35"/>
      <c r="C68" s="35"/>
      <c r="D68" s="339"/>
      <c r="E68" s="334"/>
      <c r="F68" s="334"/>
      <c r="G68" s="334"/>
      <c r="H68" s="334"/>
      <c r="I68" s="334"/>
      <c r="J68" s="334"/>
      <c r="K68" s="334"/>
      <c r="L68" s="334"/>
      <c r="M68" s="25"/>
      <c r="N68" s="25"/>
      <c r="O68" s="334"/>
      <c r="P68" s="334"/>
      <c r="Q68" s="334"/>
      <c r="R68" s="340"/>
      <c r="S68" s="35"/>
      <c r="T68" s="334"/>
      <c r="U68" s="334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ht="13.5" customHeight="1">
      <c r="A69" s="35"/>
      <c r="B69" s="35"/>
      <c r="C69" s="35"/>
      <c r="D69" s="339"/>
      <c r="E69" s="334"/>
      <c r="F69" s="334"/>
      <c r="G69" s="334"/>
      <c r="H69" s="334"/>
      <c r="I69" s="334"/>
      <c r="J69" s="334"/>
      <c r="K69" s="334"/>
      <c r="L69" s="334"/>
      <c r="M69" s="25"/>
      <c r="N69" s="25"/>
      <c r="O69" s="334"/>
      <c r="P69" s="334"/>
      <c r="Q69" s="334"/>
      <c r="R69" s="340"/>
      <c r="S69" s="35"/>
      <c r="T69" s="334"/>
      <c r="U69" s="334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ht="13.5" customHeight="1">
      <c r="A70" s="35"/>
      <c r="B70" s="35"/>
      <c r="C70" s="35"/>
      <c r="D70" s="339"/>
      <c r="E70" s="334"/>
      <c r="F70" s="334"/>
      <c r="G70" s="334"/>
      <c r="H70" s="334"/>
      <c r="I70" s="334"/>
      <c r="J70" s="334"/>
      <c r="K70" s="334"/>
      <c r="L70" s="334"/>
      <c r="M70" s="25"/>
      <c r="N70" s="25"/>
      <c r="O70" s="334"/>
      <c r="P70" s="334"/>
      <c r="Q70" s="334"/>
      <c r="R70" s="340"/>
      <c r="S70" s="35"/>
      <c r="T70" s="334"/>
      <c r="U70" s="334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ht="13.5" customHeight="1">
      <c r="A71" s="35"/>
      <c r="B71" s="35"/>
      <c r="C71" s="35"/>
      <c r="D71" s="339"/>
      <c r="E71" s="334"/>
      <c r="F71" s="334"/>
      <c r="G71" s="334"/>
      <c r="H71" s="334"/>
      <c r="I71" s="334"/>
      <c r="J71" s="334"/>
      <c r="K71" s="334"/>
      <c r="L71" s="334"/>
      <c r="M71" s="25"/>
      <c r="N71" s="25"/>
      <c r="O71" s="334"/>
      <c r="P71" s="334"/>
      <c r="Q71" s="334"/>
      <c r="R71" s="340"/>
      <c r="S71" s="35"/>
      <c r="T71" s="334"/>
      <c r="U71" s="334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ht="13.5" customHeight="1">
      <c r="A72" s="35"/>
      <c r="B72" s="35"/>
      <c r="C72" s="35"/>
      <c r="D72" s="339"/>
      <c r="E72" s="334"/>
      <c r="F72" s="334"/>
      <c r="G72" s="334"/>
      <c r="H72" s="334"/>
      <c r="I72" s="334"/>
      <c r="J72" s="334"/>
      <c r="K72" s="334"/>
      <c r="L72" s="334"/>
      <c r="M72" s="25"/>
      <c r="N72" s="25"/>
      <c r="O72" s="334"/>
      <c r="P72" s="334"/>
      <c r="Q72" s="334"/>
      <c r="R72" s="340"/>
      <c r="S72" s="35"/>
      <c r="T72" s="334"/>
      <c r="U72" s="334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ht="13.5" customHeight="1">
      <c r="A73" s="35"/>
      <c r="B73" s="35"/>
      <c r="C73" s="35"/>
      <c r="D73" s="339"/>
      <c r="E73" s="334"/>
      <c r="F73" s="334"/>
      <c r="G73" s="334"/>
      <c r="H73" s="334"/>
      <c r="I73" s="334"/>
      <c r="J73" s="334"/>
      <c r="K73" s="334"/>
      <c r="L73" s="334"/>
      <c r="M73" s="25"/>
      <c r="N73" s="25"/>
      <c r="O73" s="334"/>
      <c r="P73" s="334"/>
      <c r="Q73" s="334"/>
      <c r="R73" s="340"/>
      <c r="S73" s="35"/>
      <c r="T73" s="334"/>
      <c r="U73" s="334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ht="13.5" customHeight="1">
      <c r="A74" s="35"/>
      <c r="B74" s="35"/>
      <c r="C74" s="35"/>
      <c r="D74" s="339"/>
      <c r="E74" s="334"/>
      <c r="F74" s="334"/>
      <c r="G74" s="334"/>
      <c r="H74" s="334"/>
      <c r="I74" s="334"/>
      <c r="J74" s="334"/>
      <c r="K74" s="334"/>
      <c r="L74" s="334"/>
      <c r="M74" s="25"/>
      <c r="N74" s="25"/>
      <c r="O74" s="334"/>
      <c r="P74" s="334"/>
      <c r="Q74" s="334"/>
      <c r="R74" s="340"/>
      <c r="S74" s="35"/>
      <c r="T74" s="334"/>
      <c r="U74" s="334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ht="13.5" customHeight="1">
      <c r="A75" s="35"/>
      <c r="B75" s="35"/>
      <c r="C75" s="35"/>
      <c r="D75" s="339"/>
      <c r="E75" s="334"/>
      <c r="F75" s="334"/>
      <c r="G75" s="334"/>
      <c r="H75" s="334"/>
      <c r="I75" s="334"/>
      <c r="J75" s="334"/>
      <c r="K75" s="334"/>
      <c r="L75" s="334"/>
      <c r="M75" s="25"/>
      <c r="N75" s="25"/>
      <c r="O75" s="334"/>
      <c r="P75" s="334"/>
      <c r="Q75" s="334"/>
      <c r="R75" s="340"/>
      <c r="S75" s="35"/>
      <c r="T75" s="334"/>
      <c r="U75" s="334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ht="13.5" customHeight="1">
      <c r="A76" s="35"/>
      <c r="B76" s="35"/>
      <c r="C76" s="35"/>
      <c r="D76" s="339"/>
      <c r="E76" s="334"/>
      <c r="F76" s="334"/>
      <c r="G76" s="334"/>
      <c r="H76" s="334"/>
      <c r="I76" s="334"/>
      <c r="J76" s="334"/>
      <c r="K76" s="334"/>
      <c r="L76" s="334"/>
      <c r="M76" s="25"/>
      <c r="N76" s="25"/>
      <c r="O76" s="334"/>
      <c r="P76" s="334"/>
      <c r="Q76" s="334"/>
      <c r="R76" s="340"/>
      <c r="S76" s="35"/>
      <c r="T76" s="334"/>
      <c r="U76" s="334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  <row r="77" ht="13.5" customHeight="1">
      <c r="A77" s="35"/>
      <c r="B77" s="35"/>
      <c r="C77" s="35"/>
      <c r="D77" s="339"/>
      <c r="E77" s="334"/>
      <c r="F77" s="334"/>
      <c r="G77" s="334"/>
      <c r="H77" s="334"/>
      <c r="I77" s="334"/>
      <c r="J77" s="334"/>
      <c r="K77" s="334"/>
      <c r="L77" s="334"/>
      <c r="M77" s="25"/>
      <c r="N77" s="25"/>
      <c r="O77" s="334"/>
      <c r="P77" s="334"/>
      <c r="Q77" s="334"/>
      <c r="R77" s="340"/>
      <c r="S77" s="35"/>
      <c r="T77" s="334"/>
      <c r="U77" s="334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 ht="13.5" customHeight="1">
      <c r="A78" s="35"/>
      <c r="B78" s="35"/>
      <c r="C78" s="35"/>
      <c r="D78" s="339"/>
      <c r="E78" s="334"/>
      <c r="F78" s="334"/>
      <c r="G78" s="334"/>
      <c r="H78" s="334"/>
      <c r="I78" s="334"/>
      <c r="J78" s="334"/>
      <c r="K78" s="334"/>
      <c r="L78" s="334"/>
      <c r="M78" s="25"/>
      <c r="N78" s="25"/>
      <c r="O78" s="334"/>
      <c r="P78" s="334"/>
      <c r="Q78" s="334"/>
      <c r="R78" s="340"/>
      <c r="S78" s="35"/>
      <c r="T78" s="334"/>
      <c r="U78" s="334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ht="13.5" customHeight="1">
      <c r="A79" s="35"/>
      <c r="B79" s="35"/>
      <c r="C79" s="35"/>
      <c r="D79" s="339"/>
      <c r="E79" s="334"/>
      <c r="F79" s="334"/>
      <c r="G79" s="334"/>
      <c r="H79" s="334"/>
      <c r="I79" s="334"/>
      <c r="J79" s="334"/>
      <c r="K79" s="334"/>
      <c r="L79" s="334"/>
      <c r="M79" s="25"/>
      <c r="N79" s="25"/>
      <c r="O79" s="334"/>
      <c r="P79" s="334"/>
      <c r="Q79" s="334"/>
      <c r="R79" s="340"/>
      <c r="S79" s="35"/>
      <c r="T79" s="334"/>
      <c r="U79" s="334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ht="13.5" customHeight="1">
      <c r="A80" s="35"/>
      <c r="B80" s="35"/>
      <c r="C80" s="35"/>
      <c r="D80" s="339"/>
      <c r="E80" s="334"/>
      <c r="F80" s="334"/>
      <c r="G80" s="334"/>
      <c r="H80" s="334"/>
      <c r="I80" s="334"/>
      <c r="J80" s="334"/>
      <c r="K80" s="334"/>
      <c r="L80" s="334"/>
      <c r="M80" s="25"/>
      <c r="N80" s="25"/>
      <c r="O80" s="334"/>
      <c r="P80" s="334"/>
      <c r="Q80" s="334"/>
      <c r="R80" s="340"/>
      <c r="S80" s="35"/>
      <c r="T80" s="334"/>
      <c r="U80" s="334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ht="13.5" customHeight="1">
      <c r="A81" s="35"/>
      <c r="B81" s="35"/>
      <c r="C81" s="35"/>
      <c r="D81" s="339"/>
      <c r="E81" s="334"/>
      <c r="F81" s="334"/>
      <c r="G81" s="334"/>
      <c r="H81" s="334"/>
      <c r="I81" s="334"/>
      <c r="J81" s="334"/>
      <c r="K81" s="334"/>
      <c r="L81" s="334"/>
      <c r="M81" s="25"/>
      <c r="N81" s="25"/>
      <c r="O81" s="334"/>
      <c r="P81" s="334"/>
      <c r="Q81" s="334"/>
      <c r="R81" s="340"/>
      <c r="S81" s="35"/>
      <c r="T81" s="334"/>
      <c r="U81" s="334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ht="13.5" customHeight="1">
      <c r="A82" s="35"/>
      <c r="B82" s="35"/>
      <c r="C82" s="35"/>
      <c r="D82" s="339"/>
      <c r="E82" s="334"/>
      <c r="F82" s="334"/>
      <c r="G82" s="334"/>
      <c r="H82" s="334"/>
      <c r="I82" s="334"/>
      <c r="J82" s="334"/>
      <c r="K82" s="334"/>
      <c r="L82" s="334"/>
      <c r="M82" s="25"/>
      <c r="N82" s="25"/>
      <c r="O82" s="334"/>
      <c r="P82" s="334"/>
      <c r="Q82" s="334"/>
      <c r="R82" s="340"/>
      <c r="S82" s="35"/>
      <c r="T82" s="334"/>
      <c r="U82" s="334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ht="13.5" customHeight="1">
      <c r="A83" s="35"/>
      <c r="B83" s="35"/>
      <c r="C83" s="35"/>
      <c r="D83" s="339"/>
      <c r="E83" s="334"/>
      <c r="F83" s="334"/>
      <c r="G83" s="334"/>
      <c r="H83" s="334"/>
      <c r="I83" s="334"/>
      <c r="J83" s="334"/>
      <c r="K83" s="334"/>
      <c r="L83" s="334"/>
      <c r="M83" s="25"/>
      <c r="N83" s="25"/>
      <c r="O83" s="334"/>
      <c r="P83" s="334"/>
      <c r="Q83" s="334"/>
      <c r="R83" s="340"/>
      <c r="S83" s="35"/>
      <c r="T83" s="334"/>
      <c r="U83" s="334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 ht="13.5" customHeight="1">
      <c r="A84" s="35"/>
      <c r="B84" s="35"/>
      <c r="C84" s="35"/>
      <c r="D84" s="339"/>
      <c r="E84" s="334"/>
      <c r="F84" s="334"/>
      <c r="G84" s="334"/>
      <c r="H84" s="334"/>
      <c r="I84" s="334"/>
      <c r="J84" s="334"/>
      <c r="K84" s="334"/>
      <c r="L84" s="334"/>
      <c r="M84" s="25"/>
      <c r="N84" s="25"/>
      <c r="O84" s="334"/>
      <c r="P84" s="334"/>
      <c r="Q84" s="334"/>
      <c r="R84" s="340"/>
      <c r="S84" s="35"/>
      <c r="T84" s="334"/>
      <c r="U84" s="334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 ht="13.5" customHeight="1">
      <c r="A85" s="35"/>
      <c r="B85" s="35"/>
      <c r="C85" s="35"/>
      <c r="D85" s="339"/>
      <c r="E85" s="334"/>
      <c r="F85" s="334"/>
      <c r="G85" s="334"/>
      <c r="H85" s="334"/>
      <c r="I85" s="334"/>
      <c r="J85" s="334"/>
      <c r="K85" s="334"/>
      <c r="L85" s="334"/>
      <c r="M85" s="25"/>
      <c r="N85" s="25"/>
      <c r="O85" s="334"/>
      <c r="P85" s="334"/>
      <c r="Q85" s="334"/>
      <c r="R85" s="340"/>
      <c r="S85" s="35"/>
      <c r="T85" s="334"/>
      <c r="U85" s="334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ht="13.5" customHeight="1">
      <c r="A86" s="35"/>
      <c r="B86" s="35"/>
      <c r="C86" s="35"/>
      <c r="D86" s="339"/>
      <c r="E86" s="334"/>
      <c r="F86" s="334"/>
      <c r="G86" s="334"/>
      <c r="H86" s="334"/>
      <c r="I86" s="334"/>
      <c r="J86" s="334"/>
      <c r="K86" s="334"/>
      <c r="L86" s="334"/>
      <c r="M86" s="25"/>
      <c r="N86" s="25"/>
      <c r="O86" s="334"/>
      <c r="P86" s="334"/>
      <c r="Q86" s="334"/>
      <c r="R86" s="340"/>
      <c r="S86" s="35"/>
      <c r="T86" s="334"/>
      <c r="U86" s="334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ht="13.5" customHeight="1">
      <c r="A87" s="35"/>
      <c r="B87" s="35"/>
      <c r="C87" s="35"/>
      <c r="D87" s="339"/>
      <c r="E87" s="334"/>
      <c r="F87" s="334"/>
      <c r="G87" s="334"/>
      <c r="H87" s="334"/>
      <c r="I87" s="334"/>
      <c r="J87" s="334"/>
      <c r="K87" s="334"/>
      <c r="L87" s="334"/>
      <c r="M87" s="25"/>
      <c r="N87" s="25"/>
      <c r="O87" s="334"/>
      <c r="P87" s="334"/>
      <c r="Q87" s="334"/>
      <c r="R87" s="340"/>
      <c r="S87" s="35"/>
      <c r="T87" s="334"/>
      <c r="U87" s="334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 ht="13.5" customHeight="1">
      <c r="A88" s="35"/>
      <c r="B88" s="35"/>
      <c r="C88" s="35"/>
      <c r="D88" s="339"/>
      <c r="E88" s="334"/>
      <c r="F88" s="334"/>
      <c r="G88" s="334"/>
      <c r="H88" s="334"/>
      <c r="I88" s="334"/>
      <c r="J88" s="334"/>
      <c r="K88" s="334"/>
      <c r="L88" s="334"/>
      <c r="M88" s="25"/>
      <c r="N88" s="25"/>
      <c r="O88" s="334"/>
      <c r="P88" s="334"/>
      <c r="Q88" s="334"/>
      <c r="R88" s="340"/>
      <c r="S88" s="35"/>
      <c r="T88" s="334"/>
      <c r="U88" s="334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</row>
    <row r="89" ht="13.5" customHeight="1">
      <c r="A89" s="35"/>
      <c r="B89" s="35"/>
      <c r="C89" s="35"/>
      <c r="D89" s="339"/>
      <c r="E89" s="334"/>
      <c r="F89" s="334"/>
      <c r="G89" s="334"/>
      <c r="H89" s="334"/>
      <c r="I89" s="334"/>
      <c r="J89" s="334"/>
      <c r="K89" s="334"/>
      <c r="L89" s="334"/>
      <c r="M89" s="25"/>
      <c r="N89" s="25"/>
      <c r="O89" s="334"/>
      <c r="P89" s="334"/>
      <c r="Q89" s="334"/>
      <c r="R89" s="340"/>
      <c r="S89" s="35"/>
      <c r="T89" s="334"/>
      <c r="U89" s="334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 ht="13.5" customHeight="1">
      <c r="A90" s="35"/>
      <c r="B90" s="35"/>
      <c r="C90" s="35"/>
      <c r="D90" s="339"/>
      <c r="E90" s="334"/>
      <c r="F90" s="334"/>
      <c r="G90" s="334"/>
      <c r="H90" s="334"/>
      <c r="I90" s="334"/>
      <c r="J90" s="334"/>
      <c r="K90" s="334"/>
      <c r="L90" s="334"/>
      <c r="M90" s="25"/>
      <c r="N90" s="25"/>
      <c r="O90" s="334"/>
      <c r="P90" s="334"/>
      <c r="Q90" s="334"/>
      <c r="R90" s="340"/>
      <c r="S90" s="35"/>
      <c r="T90" s="334"/>
      <c r="U90" s="334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</row>
    <row r="91" ht="13.5" customHeight="1">
      <c r="A91" s="35"/>
      <c r="B91" s="35"/>
      <c r="C91" s="35"/>
      <c r="D91" s="339"/>
      <c r="E91" s="334"/>
      <c r="F91" s="334"/>
      <c r="G91" s="334"/>
      <c r="H91" s="334"/>
      <c r="I91" s="334"/>
      <c r="J91" s="334"/>
      <c r="K91" s="334"/>
      <c r="L91" s="334"/>
      <c r="M91" s="25"/>
      <c r="N91" s="25"/>
      <c r="O91" s="334"/>
      <c r="P91" s="334"/>
      <c r="Q91" s="334"/>
      <c r="R91" s="340"/>
      <c r="S91" s="35"/>
      <c r="T91" s="334"/>
      <c r="U91" s="334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 ht="13.5" customHeight="1">
      <c r="A92" s="35"/>
      <c r="B92" s="35"/>
      <c r="C92" s="35"/>
      <c r="D92" s="339"/>
      <c r="E92" s="334"/>
      <c r="F92" s="334"/>
      <c r="G92" s="334"/>
      <c r="H92" s="334"/>
      <c r="I92" s="334"/>
      <c r="J92" s="334"/>
      <c r="K92" s="334"/>
      <c r="L92" s="334"/>
      <c r="M92" s="25"/>
      <c r="N92" s="25"/>
      <c r="O92" s="334"/>
      <c r="P92" s="334"/>
      <c r="Q92" s="334"/>
      <c r="R92" s="340"/>
      <c r="S92" s="35"/>
      <c r="T92" s="334"/>
      <c r="U92" s="334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 ht="13.5" customHeight="1">
      <c r="A93" s="35"/>
      <c r="B93" s="35"/>
      <c r="C93" s="35"/>
      <c r="D93" s="339"/>
      <c r="E93" s="334"/>
      <c r="F93" s="334"/>
      <c r="G93" s="334"/>
      <c r="H93" s="334"/>
      <c r="I93" s="334"/>
      <c r="J93" s="334"/>
      <c r="K93" s="334"/>
      <c r="L93" s="334"/>
      <c r="M93" s="25"/>
      <c r="N93" s="25"/>
      <c r="O93" s="334"/>
      <c r="P93" s="334"/>
      <c r="Q93" s="334"/>
      <c r="R93" s="340"/>
      <c r="S93" s="35"/>
      <c r="T93" s="334"/>
      <c r="U93" s="334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ht="13.5" customHeight="1">
      <c r="A94" s="35"/>
      <c r="B94" s="35"/>
      <c r="C94" s="35"/>
      <c r="D94" s="339"/>
      <c r="E94" s="334"/>
      <c r="F94" s="334"/>
      <c r="G94" s="334"/>
      <c r="H94" s="334"/>
      <c r="I94" s="334"/>
      <c r="J94" s="334"/>
      <c r="K94" s="334"/>
      <c r="L94" s="334"/>
      <c r="M94" s="25"/>
      <c r="N94" s="25"/>
      <c r="O94" s="334"/>
      <c r="P94" s="334"/>
      <c r="Q94" s="334"/>
      <c r="R94" s="340"/>
      <c r="S94" s="35"/>
      <c r="T94" s="334"/>
      <c r="U94" s="334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ht="13.5" customHeight="1">
      <c r="A95" s="35"/>
      <c r="B95" s="35"/>
      <c r="C95" s="35"/>
      <c r="D95" s="339"/>
      <c r="E95" s="334"/>
      <c r="F95" s="334"/>
      <c r="G95" s="334"/>
      <c r="H95" s="334"/>
      <c r="I95" s="334"/>
      <c r="J95" s="334"/>
      <c r="K95" s="334"/>
      <c r="L95" s="334"/>
      <c r="M95" s="25"/>
      <c r="N95" s="25"/>
      <c r="O95" s="334"/>
      <c r="P95" s="334"/>
      <c r="Q95" s="334"/>
      <c r="R95" s="340"/>
      <c r="S95" s="35"/>
      <c r="T95" s="334"/>
      <c r="U95" s="334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 ht="13.5" customHeight="1">
      <c r="A96" s="35"/>
      <c r="B96" s="35"/>
      <c r="C96" s="35"/>
      <c r="D96" s="339"/>
      <c r="E96" s="334"/>
      <c r="F96" s="334"/>
      <c r="G96" s="334"/>
      <c r="H96" s="334"/>
      <c r="I96" s="334"/>
      <c r="J96" s="334"/>
      <c r="K96" s="334"/>
      <c r="L96" s="334"/>
      <c r="M96" s="25"/>
      <c r="N96" s="25"/>
      <c r="O96" s="334"/>
      <c r="P96" s="334"/>
      <c r="Q96" s="334"/>
      <c r="R96" s="340"/>
      <c r="S96" s="35"/>
      <c r="T96" s="334"/>
      <c r="U96" s="334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 ht="13.5" customHeight="1">
      <c r="A97" s="35"/>
      <c r="B97" s="35"/>
      <c r="C97" s="35"/>
      <c r="D97" s="339"/>
      <c r="E97" s="334"/>
      <c r="F97" s="334"/>
      <c r="G97" s="334"/>
      <c r="H97" s="334"/>
      <c r="I97" s="334"/>
      <c r="J97" s="334"/>
      <c r="K97" s="334"/>
      <c r="L97" s="334"/>
      <c r="M97" s="25"/>
      <c r="N97" s="25"/>
      <c r="O97" s="334"/>
      <c r="P97" s="334"/>
      <c r="Q97" s="334"/>
      <c r="R97" s="340"/>
      <c r="S97" s="35"/>
      <c r="T97" s="334"/>
      <c r="U97" s="334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 ht="13.5" customHeight="1">
      <c r="A98" s="35"/>
      <c r="B98" s="35"/>
      <c r="C98" s="35"/>
      <c r="D98" s="339"/>
      <c r="E98" s="334"/>
      <c r="F98" s="334"/>
      <c r="G98" s="334"/>
      <c r="H98" s="334"/>
      <c r="I98" s="334"/>
      <c r="J98" s="334"/>
      <c r="K98" s="334"/>
      <c r="L98" s="334"/>
      <c r="M98" s="25"/>
      <c r="N98" s="25"/>
      <c r="O98" s="334"/>
      <c r="P98" s="334"/>
      <c r="Q98" s="334"/>
      <c r="R98" s="340"/>
      <c r="S98" s="35"/>
      <c r="T98" s="334"/>
      <c r="U98" s="334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ht="13.5" customHeight="1">
      <c r="A99" s="35"/>
      <c r="B99" s="35"/>
      <c r="C99" s="35"/>
      <c r="D99" s="339"/>
      <c r="E99" s="334"/>
      <c r="F99" s="334"/>
      <c r="G99" s="334"/>
      <c r="H99" s="334"/>
      <c r="I99" s="334"/>
      <c r="J99" s="334"/>
      <c r="K99" s="334"/>
      <c r="L99" s="334"/>
      <c r="M99" s="25"/>
      <c r="N99" s="25"/>
      <c r="O99" s="334"/>
      <c r="P99" s="334"/>
      <c r="Q99" s="334"/>
      <c r="R99" s="340"/>
      <c r="S99" s="35"/>
      <c r="T99" s="334"/>
      <c r="U99" s="334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ht="13.5" customHeight="1">
      <c r="A100" s="35"/>
      <c r="B100" s="35"/>
      <c r="C100" s="35"/>
      <c r="D100" s="339"/>
      <c r="E100" s="334"/>
      <c r="F100" s="334"/>
      <c r="G100" s="334"/>
      <c r="H100" s="334"/>
      <c r="I100" s="334"/>
      <c r="J100" s="334"/>
      <c r="K100" s="334"/>
      <c r="L100" s="334"/>
      <c r="M100" s="25"/>
      <c r="N100" s="25"/>
      <c r="O100" s="334"/>
      <c r="P100" s="334"/>
      <c r="Q100" s="334"/>
      <c r="R100" s="340"/>
      <c r="S100" s="35"/>
      <c r="T100" s="334"/>
      <c r="U100" s="334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ht="13.5" customHeight="1">
      <c r="A101" s="35"/>
      <c r="B101" s="35"/>
      <c r="C101" s="35"/>
      <c r="D101" s="339"/>
      <c r="E101" s="334"/>
      <c r="F101" s="334"/>
      <c r="G101" s="334"/>
      <c r="H101" s="334"/>
      <c r="I101" s="334"/>
      <c r="J101" s="334"/>
      <c r="K101" s="334"/>
      <c r="L101" s="334"/>
      <c r="M101" s="25"/>
      <c r="N101" s="25"/>
      <c r="O101" s="334"/>
      <c r="P101" s="334"/>
      <c r="Q101" s="334"/>
      <c r="R101" s="340"/>
      <c r="S101" s="35"/>
      <c r="T101" s="334"/>
      <c r="U101" s="334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ht="13.5" customHeight="1">
      <c r="A102" s="35"/>
      <c r="B102" s="35"/>
      <c r="C102" s="35"/>
      <c r="D102" s="339"/>
      <c r="E102" s="334"/>
      <c r="F102" s="334"/>
      <c r="G102" s="334"/>
      <c r="H102" s="334"/>
      <c r="I102" s="334"/>
      <c r="J102" s="334"/>
      <c r="K102" s="334"/>
      <c r="L102" s="334"/>
      <c r="M102" s="25"/>
      <c r="N102" s="25"/>
      <c r="O102" s="334"/>
      <c r="P102" s="334"/>
      <c r="Q102" s="334"/>
      <c r="R102" s="340"/>
      <c r="S102" s="35"/>
      <c r="T102" s="334"/>
      <c r="U102" s="334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ht="13.5" customHeight="1">
      <c r="A103" s="35"/>
      <c r="B103" s="35"/>
      <c r="C103" s="35"/>
      <c r="D103" s="339"/>
      <c r="E103" s="334"/>
      <c r="F103" s="334"/>
      <c r="G103" s="334"/>
      <c r="H103" s="334"/>
      <c r="I103" s="334"/>
      <c r="J103" s="334"/>
      <c r="K103" s="334"/>
      <c r="L103" s="334"/>
      <c r="M103" s="25"/>
      <c r="N103" s="25"/>
      <c r="O103" s="334"/>
      <c r="P103" s="334"/>
      <c r="Q103" s="334"/>
      <c r="R103" s="340"/>
      <c r="S103" s="35"/>
      <c r="T103" s="334"/>
      <c r="U103" s="334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ht="13.5" customHeight="1">
      <c r="A104" s="35"/>
      <c r="B104" s="35"/>
      <c r="C104" s="35"/>
      <c r="D104" s="339"/>
      <c r="E104" s="334"/>
      <c r="F104" s="334"/>
      <c r="G104" s="334"/>
      <c r="H104" s="334"/>
      <c r="I104" s="334"/>
      <c r="J104" s="334"/>
      <c r="K104" s="334"/>
      <c r="L104" s="334"/>
      <c r="M104" s="25"/>
      <c r="N104" s="25"/>
      <c r="O104" s="334"/>
      <c r="P104" s="334"/>
      <c r="Q104" s="334"/>
      <c r="R104" s="340"/>
      <c r="S104" s="35"/>
      <c r="T104" s="334"/>
      <c r="U104" s="334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ht="13.5" customHeight="1">
      <c r="A105" s="35"/>
      <c r="B105" s="35"/>
      <c r="C105" s="35"/>
      <c r="D105" s="339"/>
      <c r="E105" s="334"/>
      <c r="F105" s="334"/>
      <c r="G105" s="334"/>
      <c r="H105" s="334"/>
      <c r="I105" s="334"/>
      <c r="J105" s="334"/>
      <c r="K105" s="334"/>
      <c r="L105" s="334"/>
      <c r="M105" s="25"/>
      <c r="N105" s="25"/>
      <c r="O105" s="334"/>
      <c r="P105" s="334"/>
      <c r="Q105" s="334"/>
      <c r="R105" s="340"/>
      <c r="S105" s="35"/>
      <c r="T105" s="334"/>
      <c r="U105" s="334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ht="13.5" customHeight="1">
      <c r="A106" s="35"/>
      <c r="B106" s="35"/>
      <c r="C106" s="35"/>
      <c r="D106" s="339"/>
      <c r="E106" s="334"/>
      <c r="F106" s="334"/>
      <c r="G106" s="334"/>
      <c r="H106" s="334"/>
      <c r="I106" s="334"/>
      <c r="J106" s="334"/>
      <c r="K106" s="334"/>
      <c r="L106" s="334"/>
      <c r="M106" s="25"/>
      <c r="N106" s="25"/>
      <c r="O106" s="334"/>
      <c r="P106" s="334"/>
      <c r="Q106" s="334"/>
      <c r="R106" s="340"/>
      <c r="S106" s="35"/>
      <c r="T106" s="334"/>
      <c r="U106" s="334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ht="13.5" customHeight="1">
      <c r="A107" s="35"/>
      <c r="B107" s="35"/>
      <c r="C107" s="35"/>
      <c r="D107" s="339"/>
      <c r="E107" s="334"/>
      <c r="F107" s="334"/>
      <c r="G107" s="334"/>
      <c r="H107" s="334"/>
      <c r="I107" s="334"/>
      <c r="J107" s="334"/>
      <c r="K107" s="334"/>
      <c r="L107" s="334"/>
      <c r="M107" s="25"/>
      <c r="N107" s="25"/>
      <c r="O107" s="334"/>
      <c r="P107" s="334"/>
      <c r="Q107" s="334"/>
      <c r="R107" s="340"/>
      <c r="S107" s="35"/>
      <c r="T107" s="334"/>
      <c r="U107" s="334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ht="13.5" customHeight="1">
      <c r="A108" s="35"/>
      <c r="B108" s="35"/>
      <c r="C108" s="35"/>
      <c r="D108" s="339"/>
      <c r="E108" s="334"/>
      <c r="F108" s="334"/>
      <c r="G108" s="334"/>
      <c r="H108" s="334"/>
      <c r="I108" s="334"/>
      <c r="J108" s="334"/>
      <c r="K108" s="334"/>
      <c r="L108" s="334"/>
      <c r="M108" s="25"/>
      <c r="N108" s="25"/>
      <c r="O108" s="334"/>
      <c r="P108" s="334"/>
      <c r="Q108" s="334"/>
      <c r="R108" s="340"/>
      <c r="S108" s="35"/>
      <c r="T108" s="334"/>
      <c r="U108" s="334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 ht="13.5" customHeight="1">
      <c r="A109" s="35"/>
      <c r="B109" s="35"/>
      <c r="C109" s="35"/>
      <c r="D109" s="339"/>
      <c r="E109" s="334"/>
      <c r="F109" s="334"/>
      <c r="G109" s="334"/>
      <c r="H109" s="334"/>
      <c r="I109" s="334"/>
      <c r="J109" s="334"/>
      <c r="K109" s="334"/>
      <c r="L109" s="334"/>
      <c r="M109" s="25"/>
      <c r="N109" s="25"/>
      <c r="O109" s="334"/>
      <c r="P109" s="334"/>
      <c r="Q109" s="334"/>
      <c r="R109" s="340"/>
      <c r="S109" s="35"/>
      <c r="T109" s="334"/>
      <c r="U109" s="334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 ht="13.5" customHeight="1">
      <c r="A110" s="35"/>
      <c r="B110" s="35"/>
      <c r="C110" s="35"/>
      <c r="D110" s="339"/>
      <c r="E110" s="334"/>
      <c r="F110" s="334"/>
      <c r="G110" s="334"/>
      <c r="H110" s="334"/>
      <c r="I110" s="334"/>
      <c r="J110" s="334"/>
      <c r="K110" s="334"/>
      <c r="L110" s="334"/>
      <c r="M110" s="25"/>
      <c r="N110" s="25"/>
      <c r="O110" s="334"/>
      <c r="P110" s="334"/>
      <c r="Q110" s="334"/>
      <c r="R110" s="340"/>
      <c r="S110" s="35"/>
      <c r="T110" s="334"/>
      <c r="U110" s="334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ht="13.5" customHeight="1">
      <c r="A111" s="35"/>
      <c r="B111" s="35"/>
      <c r="C111" s="35"/>
      <c r="D111" s="339"/>
      <c r="E111" s="334"/>
      <c r="F111" s="334"/>
      <c r="G111" s="334"/>
      <c r="H111" s="334"/>
      <c r="I111" s="334"/>
      <c r="J111" s="334"/>
      <c r="K111" s="334"/>
      <c r="L111" s="334"/>
      <c r="M111" s="25"/>
      <c r="N111" s="25"/>
      <c r="O111" s="334"/>
      <c r="P111" s="334"/>
      <c r="Q111" s="334"/>
      <c r="R111" s="340"/>
      <c r="S111" s="35"/>
      <c r="T111" s="334"/>
      <c r="U111" s="334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 ht="13.5" customHeight="1">
      <c r="A112" s="35"/>
      <c r="B112" s="35"/>
      <c r="C112" s="35"/>
      <c r="D112" s="339"/>
      <c r="E112" s="334"/>
      <c r="F112" s="334"/>
      <c r="G112" s="334"/>
      <c r="H112" s="334"/>
      <c r="I112" s="334"/>
      <c r="J112" s="334"/>
      <c r="K112" s="334"/>
      <c r="L112" s="334"/>
      <c r="M112" s="25"/>
      <c r="N112" s="25"/>
      <c r="O112" s="334"/>
      <c r="P112" s="334"/>
      <c r="Q112" s="334"/>
      <c r="R112" s="340"/>
      <c r="S112" s="35"/>
      <c r="T112" s="334"/>
      <c r="U112" s="334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 ht="13.5" customHeight="1">
      <c r="A113" s="35"/>
      <c r="B113" s="35"/>
      <c r="C113" s="35"/>
      <c r="D113" s="339"/>
      <c r="E113" s="334"/>
      <c r="F113" s="334"/>
      <c r="G113" s="334"/>
      <c r="H113" s="334"/>
      <c r="I113" s="334"/>
      <c r="J113" s="334"/>
      <c r="K113" s="334"/>
      <c r="L113" s="334"/>
      <c r="M113" s="25"/>
      <c r="N113" s="25"/>
      <c r="O113" s="334"/>
      <c r="P113" s="334"/>
      <c r="Q113" s="334"/>
      <c r="R113" s="340"/>
      <c r="S113" s="35"/>
      <c r="T113" s="334"/>
      <c r="U113" s="334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ht="13.5" customHeight="1">
      <c r="A114" s="35"/>
      <c r="B114" s="35"/>
      <c r="C114" s="35"/>
      <c r="D114" s="339"/>
      <c r="E114" s="334"/>
      <c r="F114" s="334"/>
      <c r="G114" s="334"/>
      <c r="H114" s="334"/>
      <c r="I114" s="334"/>
      <c r="J114" s="334"/>
      <c r="K114" s="334"/>
      <c r="L114" s="334"/>
      <c r="M114" s="25"/>
      <c r="N114" s="25"/>
      <c r="O114" s="334"/>
      <c r="P114" s="334"/>
      <c r="Q114" s="334"/>
      <c r="R114" s="340"/>
      <c r="S114" s="35"/>
      <c r="T114" s="334"/>
      <c r="U114" s="334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ht="13.5" customHeight="1">
      <c r="A115" s="35"/>
      <c r="B115" s="35"/>
      <c r="C115" s="35"/>
      <c r="D115" s="339"/>
      <c r="E115" s="334"/>
      <c r="F115" s="334"/>
      <c r="G115" s="334"/>
      <c r="H115" s="334"/>
      <c r="I115" s="334"/>
      <c r="J115" s="334"/>
      <c r="K115" s="334"/>
      <c r="L115" s="334"/>
      <c r="M115" s="25"/>
      <c r="N115" s="25"/>
      <c r="O115" s="334"/>
      <c r="P115" s="334"/>
      <c r="Q115" s="334"/>
      <c r="R115" s="340"/>
      <c r="S115" s="35"/>
      <c r="T115" s="334"/>
      <c r="U115" s="334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ht="13.5" customHeight="1">
      <c r="A116" s="35"/>
      <c r="B116" s="35"/>
      <c r="C116" s="35"/>
      <c r="D116" s="339"/>
      <c r="E116" s="334"/>
      <c r="F116" s="334"/>
      <c r="G116" s="334"/>
      <c r="H116" s="334"/>
      <c r="I116" s="334"/>
      <c r="J116" s="334"/>
      <c r="K116" s="334"/>
      <c r="L116" s="334"/>
      <c r="M116" s="25"/>
      <c r="N116" s="25"/>
      <c r="O116" s="334"/>
      <c r="P116" s="334"/>
      <c r="Q116" s="334"/>
      <c r="R116" s="340"/>
      <c r="S116" s="35"/>
      <c r="T116" s="334"/>
      <c r="U116" s="334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 ht="13.5" customHeight="1">
      <c r="A117" s="35"/>
      <c r="B117" s="35"/>
      <c r="C117" s="35"/>
      <c r="D117" s="339"/>
      <c r="E117" s="334"/>
      <c r="F117" s="334"/>
      <c r="G117" s="334"/>
      <c r="H117" s="334"/>
      <c r="I117" s="334"/>
      <c r="J117" s="334"/>
      <c r="K117" s="334"/>
      <c r="L117" s="334"/>
      <c r="M117" s="25"/>
      <c r="N117" s="25"/>
      <c r="O117" s="334"/>
      <c r="P117" s="334"/>
      <c r="Q117" s="334"/>
      <c r="R117" s="340"/>
      <c r="S117" s="35"/>
      <c r="T117" s="334"/>
      <c r="U117" s="334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ht="13.5" customHeight="1">
      <c r="A118" s="35"/>
      <c r="B118" s="35"/>
      <c r="C118" s="35"/>
      <c r="D118" s="339"/>
      <c r="E118" s="334"/>
      <c r="F118" s="334"/>
      <c r="G118" s="334"/>
      <c r="H118" s="334"/>
      <c r="I118" s="334"/>
      <c r="J118" s="334"/>
      <c r="K118" s="334"/>
      <c r="L118" s="334"/>
      <c r="M118" s="25"/>
      <c r="N118" s="25"/>
      <c r="O118" s="334"/>
      <c r="P118" s="334"/>
      <c r="Q118" s="334"/>
      <c r="R118" s="340"/>
      <c r="S118" s="35"/>
      <c r="T118" s="334"/>
      <c r="U118" s="334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 ht="13.5" customHeight="1">
      <c r="A119" s="35"/>
      <c r="B119" s="35"/>
      <c r="C119" s="35"/>
      <c r="D119" s="339"/>
      <c r="E119" s="334"/>
      <c r="F119" s="334"/>
      <c r="G119" s="334"/>
      <c r="H119" s="334"/>
      <c r="I119" s="334"/>
      <c r="J119" s="334"/>
      <c r="K119" s="334"/>
      <c r="L119" s="334"/>
      <c r="M119" s="25"/>
      <c r="N119" s="25"/>
      <c r="O119" s="334"/>
      <c r="P119" s="334"/>
      <c r="Q119" s="334"/>
      <c r="R119" s="340"/>
      <c r="S119" s="35"/>
      <c r="T119" s="334"/>
      <c r="U119" s="334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 ht="13.5" customHeight="1">
      <c r="A120" s="35"/>
      <c r="B120" s="35"/>
      <c r="C120" s="35"/>
      <c r="D120" s="339"/>
      <c r="E120" s="334"/>
      <c r="F120" s="334"/>
      <c r="G120" s="334"/>
      <c r="H120" s="334"/>
      <c r="I120" s="334"/>
      <c r="J120" s="334"/>
      <c r="K120" s="334"/>
      <c r="L120" s="334"/>
      <c r="M120" s="25"/>
      <c r="N120" s="25"/>
      <c r="O120" s="334"/>
      <c r="P120" s="334"/>
      <c r="Q120" s="334"/>
      <c r="R120" s="340"/>
      <c r="S120" s="35"/>
      <c r="T120" s="334"/>
      <c r="U120" s="334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 ht="13.5" customHeight="1">
      <c r="A121" s="35"/>
      <c r="B121" s="35"/>
      <c r="C121" s="35"/>
      <c r="D121" s="339"/>
      <c r="E121" s="334"/>
      <c r="F121" s="334"/>
      <c r="G121" s="334"/>
      <c r="H121" s="334"/>
      <c r="I121" s="334"/>
      <c r="J121" s="334"/>
      <c r="K121" s="334"/>
      <c r="L121" s="334"/>
      <c r="M121" s="25"/>
      <c r="N121" s="25"/>
      <c r="O121" s="334"/>
      <c r="P121" s="334"/>
      <c r="Q121" s="334"/>
      <c r="R121" s="340"/>
      <c r="S121" s="35"/>
      <c r="T121" s="334"/>
      <c r="U121" s="334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ht="13.5" customHeight="1">
      <c r="A122" s="35"/>
      <c r="B122" s="35"/>
      <c r="C122" s="35"/>
      <c r="D122" s="339"/>
      <c r="E122" s="334"/>
      <c r="F122" s="334"/>
      <c r="G122" s="334"/>
      <c r="H122" s="334"/>
      <c r="I122" s="334"/>
      <c r="J122" s="334"/>
      <c r="K122" s="334"/>
      <c r="L122" s="334"/>
      <c r="M122" s="25"/>
      <c r="N122" s="25"/>
      <c r="O122" s="334"/>
      <c r="P122" s="334"/>
      <c r="Q122" s="334"/>
      <c r="R122" s="340"/>
      <c r="S122" s="35"/>
      <c r="T122" s="334"/>
      <c r="U122" s="334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 ht="13.5" customHeight="1">
      <c r="A123" s="35"/>
      <c r="B123" s="35"/>
      <c r="C123" s="35"/>
      <c r="D123" s="339"/>
      <c r="E123" s="334"/>
      <c r="F123" s="334"/>
      <c r="G123" s="334"/>
      <c r="H123" s="334"/>
      <c r="I123" s="334"/>
      <c r="J123" s="334"/>
      <c r="K123" s="334"/>
      <c r="L123" s="334"/>
      <c r="M123" s="25"/>
      <c r="N123" s="25"/>
      <c r="O123" s="334"/>
      <c r="P123" s="334"/>
      <c r="Q123" s="334"/>
      <c r="R123" s="340"/>
      <c r="S123" s="35"/>
      <c r="T123" s="334"/>
      <c r="U123" s="334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 ht="13.5" customHeight="1">
      <c r="A124" s="35"/>
      <c r="B124" s="35"/>
      <c r="C124" s="35"/>
      <c r="D124" s="339"/>
      <c r="E124" s="334"/>
      <c r="F124" s="334"/>
      <c r="G124" s="334"/>
      <c r="H124" s="334"/>
      <c r="I124" s="334"/>
      <c r="J124" s="334"/>
      <c r="K124" s="334"/>
      <c r="L124" s="334"/>
      <c r="M124" s="25"/>
      <c r="N124" s="25"/>
      <c r="O124" s="334"/>
      <c r="P124" s="334"/>
      <c r="Q124" s="334"/>
      <c r="R124" s="340"/>
      <c r="S124" s="35"/>
      <c r="T124" s="334"/>
      <c r="U124" s="334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 ht="13.5" customHeight="1">
      <c r="A125" s="35"/>
      <c r="B125" s="35"/>
      <c r="C125" s="35"/>
      <c r="D125" s="339"/>
      <c r="E125" s="334"/>
      <c r="F125" s="334"/>
      <c r="G125" s="334"/>
      <c r="H125" s="334"/>
      <c r="I125" s="334"/>
      <c r="J125" s="334"/>
      <c r="K125" s="334"/>
      <c r="L125" s="334"/>
      <c r="M125" s="25"/>
      <c r="N125" s="25"/>
      <c r="O125" s="334"/>
      <c r="P125" s="334"/>
      <c r="Q125" s="334"/>
      <c r="R125" s="340"/>
      <c r="S125" s="35"/>
      <c r="T125" s="334"/>
      <c r="U125" s="334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ht="13.5" customHeight="1">
      <c r="A126" s="35"/>
      <c r="B126" s="35"/>
      <c r="C126" s="35"/>
      <c r="D126" s="339"/>
      <c r="E126" s="334"/>
      <c r="F126" s="334"/>
      <c r="G126" s="334"/>
      <c r="H126" s="334"/>
      <c r="I126" s="334"/>
      <c r="J126" s="334"/>
      <c r="K126" s="334"/>
      <c r="L126" s="334"/>
      <c r="M126" s="25"/>
      <c r="N126" s="25"/>
      <c r="O126" s="334"/>
      <c r="P126" s="334"/>
      <c r="Q126" s="334"/>
      <c r="R126" s="340"/>
      <c r="S126" s="35"/>
      <c r="T126" s="334"/>
      <c r="U126" s="334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 ht="13.5" customHeight="1">
      <c r="A127" s="35"/>
      <c r="B127" s="35"/>
      <c r="C127" s="35"/>
      <c r="D127" s="339"/>
      <c r="E127" s="334"/>
      <c r="F127" s="334"/>
      <c r="G127" s="334"/>
      <c r="H127" s="334"/>
      <c r="I127" s="334"/>
      <c r="J127" s="334"/>
      <c r="K127" s="334"/>
      <c r="L127" s="334"/>
      <c r="M127" s="25"/>
      <c r="N127" s="25"/>
      <c r="O127" s="334"/>
      <c r="P127" s="334"/>
      <c r="Q127" s="334"/>
      <c r="R127" s="340"/>
      <c r="S127" s="35"/>
      <c r="T127" s="334"/>
      <c r="U127" s="334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ht="13.5" customHeight="1">
      <c r="A128" s="35"/>
      <c r="B128" s="35"/>
      <c r="C128" s="35"/>
      <c r="D128" s="339"/>
      <c r="E128" s="334"/>
      <c r="F128" s="334"/>
      <c r="G128" s="334"/>
      <c r="H128" s="334"/>
      <c r="I128" s="334"/>
      <c r="J128" s="334"/>
      <c r="K128" s="334"/>
      <c r="L128" s="334"/>
      <c r="M128" s="25"/>
      <c r="N128" s="25"/>
      <c r="O128" s="334"/>
      <c r="P128" s="334"/>
      <c r="Q128" s="334"/>
      <c r="R128" s="340"/>
      <c r="S128" s="35"/>
      <c r="T128" s="334"/>
      <c r="U128" s="334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ht="13.5" customHeight="1">
      <c r="A129" s="35"/>
      <c r="B129" s="35"/>
      <c r="C129" s="35"/>
      <c r="D129" s="339"/>
      <c r="E129" s="334"/>
      <c r="F129" s="334"/>
      <c r="G129" s="334"/>
      <c r="H129" s="334"/>
      <c r="I129" s="334"/>
      <c r="J129" s="334"/>
      <c r="K129" s="334"/>
      <c r="L129" s="334"/>
      <c r="M129" s="25"/>
      <c r="N129" s="25"/>
      <c r="O129" s="334"/>
      <c r="P129" s="334"/>
      <c r="Q129" s="334"/>
      <c r="R129" s="340"/>
      <c r="S129" s="35"/>
      <c r="T129" s="334"/>
      <c r="U129" s="334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 ht="13.5" customHeight="1">
      <c r="A130" s="35"/>
      <c r="B130" s="35"/>
      <c r="C130" s="35"/>
      <c r="D130" s="339"/>
      <c r="E130" s="334"/>
      <c r="F130" s="334"/>
      <c r="G130" s="334"/>
      <c r="H130" s="334"/>
      <c r="I130" s="334"/>
      <c r="J130" s="334"/>
      <c r="K130" s="334"/>
      <c r="L130" s="334"/>
      <c r="M130" s="25"/>
      <c r="N130" s="25"/>
      <c r="O130" s="334"/>
      <c r="P130" s="334"/>
      <c r="Q130" s="334"/>
      <c r="R130" s="340"/>
      <c r="S130" s="35"/>
      <c r="T130" s="334"/>
      <c r="U130" s="334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 ht="13.5" customHeight="1">
      <c r="A131" s="35"/>
      <c r="B131" s="35"/>
      <c r="C131" s="35"/>
      <c r="D131" s="339"/>
      <c r="E131" s="334"/>
      <c r="F131" s="334"/>
      <c r="G131" s="334"/>
      <c r="H131" s="334"/>
      <c r="I131" s="334"/>
      <c r="J131" s="334"/>
      <c r="K131" s="334"/>
      <c r="L131" s="334"/>
      <c r="M131" s="25"/>
      <c r="N131" s="25"/>
      <c r="O131" s="334"/>
      <c r="P131" s="334"/>
      <c r="Q131" s="334"/>
      <c r="R131" s="340"/>
      <c r="S131" s="35"/>
      <c r="T131" s="334"/>
      <c r="U131" s="334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ht="13.5" customHeight="1">
      <c r="A132" s="35"/>
      <c r="B132" s="35"/>
      <c r="C132" s="35"/>
      <c r="D132" s="339"/>
      <c r="E132" s="334"/>
      <c r="F132" s="334"/>
      <c r="G132" s="334"/>
      <c r="H132" s="334"/>
      <c r="I132" s="334"/>
      <c r="J132" s="334"/>
      <c r="K132" s="334"/>
      <c r="L132" s="334"/>
      <c r="M132" s="25"/>
      <c r="N132" s="25"/>
      <c r="O132" s="334"/>
      <c r="P132" s="334"/>
      <c r="Q132" s="334"/>
      <c r="R132" s="340"/>
      <c r="S132" s="35"/>
      <c r="T132" s="334"/>
      <c r="U132" s="334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 ht="13.5" customHeight="1">
      <c r="A133" s="35"/>
      <c r="B133" s="35"/>
      <c r="C133" s="35"/>
      <c r="D133" s="339"/>
      <c r="E133" s="334"/>
      <c r="F133" s="334"/>
      <c r="G133" s="334"/>
      <c r="H133" s="334"/>
      <c r="I133" s="334"/>
      <c r="J133" s="334"/>
      <c r="K133" s="334"/>
      <c r="L133" s="334"/>
      <c r="M133" s="25"/>
      <c r="N133" s="25"/>
      <c r="O133" s="334"/>
      <c r="P133" s="334"/>
      <c r="Q133" s="334"/>
      <c r="R133" s="340"/>
      <c r="S133" s="35"/>
      <c r="T133" s="334"/>
      <c r="U133" s="334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 ht="13.5" customHeight="1">
      <c r="A134" s="35"/>
      <c r="B134" s="35"/>
      <c r="C134" s="35"/>
      <c r="D134" s="339"/>
      <c r="E134" s="334"/>
      <c r="F134" s="334"/>
      <c r="G134" s="334"/>
      <c r="H134" s="334"/>
      <c r="I134" s="334"/>
      <c r="J134" s="334"/>
      <c r="K134" s="334"/>
      <c r="L134" s="334"/>
      <c r="M134" s="25"/>
      <c r="N134" s="25"/>
      <c r="O134" s="334"/>
      <c r="P134" s="334"/>
      <c r="Q134" s="334"/>
      <c r="R134" s="340"/>
      <c r="S134" s="35"/>
      <c r="T134" s="334"/>
      <c r="U134" s="334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ht="13.5" customHeight="1">
      <c r="A135" s="35"/>
      <c r="B135" s="35"/>
      <c r="C135" s="35"/>
      <c r="D135" s="339"/>
      <c r="E135" s="334"/>
      <c r="F135" s="334"/>
      <c r="G135" s="334"/>
      <c r="H135" s="334"/>
      <c r="I135" s="334"/>
      <c r="J135" s="334"/>
      <c r="K135" s="334"/>
      <c r="L135" s="334"/>
      <c r="M135" s="25"/>
      <c r="N135" s="25"/>
      <c r="O135" s="334"/>
      <c r="P135" s="334"/>
      <c r="Q135" s="334"/>
      <c r="R135" s="340"/>
      <c r="S135" s="35"/>
      <c r="T135" s="334"/>
      <c r="U135" s="334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ht="13.5" customHeight="1">
      <c r="A136" s="35"/>
      <c r="B136" s="35"/>
      <c r="C136" s="35"/>
      <c r="D136" s="339"/>
      <c r="E136" s="334"/>
      <c r="F136" s="334"/>
      <c r="G136" s="334"/>
      <c r="H136" s="334"/>
      <c r="I136" s="334"/>
      <c r="J136" s="334"/>
      <c r="K136" s="334"/>
      <c r="L136" s="334"/>
      <c r="M136" s="25"/>
      <c r="N136" s="25"/>
      <c r="O136" s="334"/>
      <c r="P136" s="334"/>
      <c r="Q136" s="334"/>
      <c r="R136" s="340"/>
      <c r="S136" s="35"/>
      <c r="T136" s="334"/>
      <c r="U136" s="334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ht="13.5" customHeight="1">
      <c r="A137" s="35"/>
      <c r="B137" s="35"/>
      <c r="C137" s="35"/>
      <c r="D137" s="339"/>
      <c r="E137" s="334"/>
      <c r="F137" s="334"/>
      <c r="G137" s="334"/>
      <c r="H137" s="334"/>
      <c r="I137" s="334"/>
      <c r="J137" s="334"/>
      <c r="K137" s="334"/>
      <c r="L137" s="334"/>
      <c r="M137" s="25"/>
      <c r="N137" s="25"/>
      <c r="O137" s="334"/>
      <c r="P137" s="334"/>
      <c r="Q137" s="334"/>
      <c r="R137" s="340"/>
      <c r="S137" s="35"/>
      <c r="T137" s="334"/>
      <c r="U137" s="334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 ht="13.5" customHeight="1">
      <c r="A138" s="35"/>
      <c r="B138" s="35"/>
      <c r="C138" s="35"/>
      <c r="D138" s="339"/>
      <c r="E138" s="334"/>
      <c r="F138" s="334"/>
      <c r="G138" s="334"/>
      <c r="H138" s="334"/>
      <c r="I138" s="334"/>
      <c r="J138" s="334"/>
      <c r="K138" s="334"/>
      <c r="L138" s="334"/>
      <c r="M138" s="25"/>
      <c r="N138" s="25"/>
      <c r="O138" s="334"/>
      <c r="P138" s="334"/>
      <c r="Q138" s="334"/>
      <c r="R138" s="340"/>
      <c r="S138" s="35"/>
      <c r="T138" s="334"/>
      <c r="U138" s="334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ht="13.5" customHeight="1">
      <c r="A139" s="35"/>
      <c r="B139" s="35"/>
      <c r="C139" s="35"/>
      <c r="D139" s="339"/>
      <c r="E139" s="334"/>
      <c r="F139" s="334"/>
      <c r="G139" s="334"/>
      <c r="H139" s="334"/>
      <c r="I139" s="334"/>
      <c r="J139" s="334"/>
      <c r="K139" s="334"/>
      <c r="L139" s="334"/>
      <c r="M139" s="25"/>
      <c r="N139" s="25"/>
      <c r="O139" s="334"/>
      <c r="P139" s="334"/>
      <c r="Q139" s="334"/>
      <c r="R139" s="340"/>
      <c r="S139" s="35"/>
      <c r="T139" s="334"/>
      <c r="U139" s="334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 ht="13.5" customHeight="1">
      <c r="A140" s="35"/>
      <c r="B140" s="35"/>
      <c r="C140" s="35"/>
      <c r="D140" s="339"/>
      <c r="E140" s="334"/>
      <c r="F140" s="334"/>
      <c r="G140" s="334"/>
      <c r="H140" s="334"/>
      <c r="I140" s="334"/>
      <c r="J140" s="334"/>
      <c r="K140" s="334"/>
      <c r="L140" s="334"/>
      <c r="M140" s="25"/>
      <c r="N140" s="25"/>
      <c r="O140" s="334"/>
      <c r="P140" s="334"/>
      <c r="Q140" s="334"/>
      <c r="R140" s="340"/>
      <c r="S140" s="35"/>
      <c r="T140" s="334"/>
      <c r="U140" s="334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 ht="13.5" customHeight="1">
      <c r="A141" s="35"/>
      <c r="B141" s="35"/>
      <c r="C141" s="35"/>
      <c r="D141" s="339"/>
      <c r="E141" s="334"/>
      <c r="F141" s="334"/>
      <c r="G141" s="334"/>
      <c r="H141" s="334"/>
      <c r="I141" s="334"/>
      <c r="J141" s="334"/>
      <c r="K141" s="334"/>
      <c r="L141" s="334"/>
      <c r="M141" s="25"/>
      <c r="N141" s="25"/>
      <c r="O141" s="334"/>
      <c r="P141" s="334"/>
      <c r="Q141" s="334"/>
      <c r="R141" s="340"/>
      <c r="S141" s="35"/>
      <c r="T141" s="334"/>
      <c r="U141" s="334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ht="13.5" customHeight="1">
      <c r="A142" s="35"/>
      <c r="B142" s="35"/>
      <c r="C142" s="35"/>
      <c r="D142" s="339"/>
      <c r="E142" s="334"/>
      <c r="F142" s="334"/>
      <c r="G142" s="334"/>
      <c r="H142" s="334"/>
      <c r="I142" s="334"/>
      <c r="J142" s="334"/>
      <c r="K142" s="334"/>
      <c r="L142" s="334"/>
      <c r="M142" s="25"/>
      <c r="N142" s="25"/>
      <c r="O142" s="334"/>
      <c r="P142" s="334"/>
      <c r="Q142" s="334"/>
      <c r="R142" s="340"/>
      <c r="S142" s="35"/>
      <c r="T142" s="334"/>
      <c r="U142" s="334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ht="13.5" customHeight="1">
      <c r="A143" s="35"/>
      <c r="B143" s="35"/>
      <c r="C143" s="35"/>
      <c r="D143" s="339"/>
      <c r="E143" s="334"/>
      <c r="F143" s="334"/>
      <c r="G143" s="334"/>
      <c r="H143" s="334"/>
      <c r="I143" s="334"/>
      <c r="J143" s="334"/>
      <c r="K143" s="334"/>
      <c r="L143" s="334"/>
      <c r="M143" s="25"/>
      <c r="N143" s="25"/>
      <c r="O143" s="334"/>
      <c r="P143" s="334"/>
      <c r="Q143" s="334"/>
      <c r="R143" s="340"/>
      <c r="S143" s="35"/>
      <c r="T143" s="334"/>
      <c r="U143" s="334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ht="13.5" customHeight="1">
      <c r="A144" s="35"/>
      <c r="B144" s="35"/>
      <c r="C144" s="35"/>
      <c r="D144" s="339"/>
      <c r="E144" s="334"/>
      <c r="F144" s="334"/>
      <c r="G144" s="334"/>
      <c r="H144" s="334"/>
      <c r="I144" s="334"/>
      <c r="J144" s="334"/>
      <c r="K144" s="334"/>
      <c r="L144" s="334"/>
      <c r="M144" s="25"/>
      <c r="N144" s="25"/>
      <c r="O144" s="334"/>
      <c r="P144" s="334"/>
      <c r="Q144" s="334"/>
      <c r="R144" s="340"/>
      <c r="S144" s="35"/>
      <c r="T144" s="334"/>
      <c r="U144" s="334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 ht="13.5" customHeight="1">
      <c r="A145" s="35"/>
      <c r="B145" s="35"/>
      <c r="C145" s="35"/>
      <c r="D145" s="339"/>
      <c r="E145" s="334"/>
      <c r="F145" s="334"/>
      <c r="G145" s="334"/>
      <c r="H145" s="334"/>
      <c r="I145" s="334"/>
      <c r="J145" s="334"/>
      <c r="K145" s="334"/>
      <c r="L145" s="334"/>
      <c r="M145" s="25"/>
      <c r="N145" s="25"/>
      <c r="O145" s="334"/>
      <c r="P145" s="334"/>
      <c r="Q145" s="334"/>
      <c r="R145" s="340"/>
      <c r="S145" s="35"/>
      <c r="T145" s="334"/>
      <c r="U145" s="334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 ht="13.5" customHeight="1">
      <c r="A146" s="35"/>
      <c r="B146" s="35"/>
      <c r="C146" s="35"/>
      <c r="D146" s="339"/>
      <c r="E146" s="334"/>
      <c r="F146" s="334"/>
      <c r="G146" s="334"/>
      <c r="H146" s="334"/>
      <c r="I146" s="334"/>
      <c r="J146" s="334"/>
      <c r="K146" s="334"/>
      <c r="L146" s="334"/>
      <c r="M146" s="25"/>
      <c r="N146" s="25"/>
      <c r="O146" s="334"/>
      <c r="P146" s="334"/>
      <c r="Q146" s="334"/>
      <c r="R146" s="340"/>
      <c r="S146" s="35"/>
      <c r="T146" s="334"/>
      <c r="U146" s="334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 ht="13.5" customHeight="1">
      <c r="A147" s="35"/>
      <c r="B147" s="35"/>
      <c r="C147" s="35"/>
      <c r="D147" s="339"/>
      <c r="E147" s="334"/>
      <c r="F147" s="334"/>
      <c r="G147" s="334"/>
      <c r="H147" s="334"/>
      <c r="I147" s="334"/>
      <c r="J147" s="334"/>
      <c r="K147" s="334"/>
      <c r="L147" s="334"/>
      <c r="M147" s="25"/>
      <c r="N147" s="25"/>
      <c r="O147" s="334"/>
      <c r="P147" s="334"/>
      <c r="Q147" s="334"/>
      <c r="R147" s="340"/>
      <c r="S147" s="35"/>
      <c r="T147" s="334"/>
      <c r="U147" s="334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 ht="13.5" customHeight="1">
      <c r="A148" s="35"/>
      <c r="B148" s="35"/>
      <c r="C148" s="35"/>
      <c r="D148" s="339"/>
      <c r="E148" s="334"/>
      <c r="F148" s="334"/>
      <c r="G148" s="334"/>
      <c r="H148" s="334"/>
      <c r="I148" s="334"/>
      <c r="J148" s="334"/>
      <c r="K148" s="334"/>
      <c r="L148" s="334"/>
      <c r="M148" s="25"/>
      <c r="N148" s="25"/>
      <c r="O148" s="334"/>
      <c r="P148" s="334"/>
      <c r="Q148" s="334"/>
      <c r="R148" s="340"/>
      <c r="S148" s="35"/>
      <c r="T148" s="334"/>
      <c r="U148" s="334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 ht="13.5" customHeight="1">
      <c r="A149" s="35"/>
      <c r="B149" s="35"/>
      <c r="C149" s="35"/>
      <c r="D149" s="339"/>
      <c r="E149" s="334"/>
      <c r="F149" s="334"/>
      <c r="G149" s="334"/>
      <c r="H149" s="334"/>
      <c r="I149" s="334"/>
      <c r="J149" s="334"/>
      <c r="K149" s="334"/>
      <c r="L149" s="334"/>
      <c r="M149" s="25"/>
      <c r="N149" s="25"/>
      <c r="O149" s="334"/>
      <c r="P149" s="334"/>
      <c r="Q149" s="334"/>
      <c r="R149" s="340"/>
      <c r="S149" s="35"/>
      <c r="T149" s="334"/>
      <c r="U149" s="334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 ht="13.5" customHeight="1">
      <c r="A150" s="35"/>
      <c r="B150" s="35"/>
      <c r="C150" s="35"/>
      <c r="D150" s="339"/>
      <c r="E150" s="334"/>
      <c r="F150" s="334"/>
      <c r="G150" s="334"/>
      <c r="H150" s="334"/>
      <c r="I150" s="334"/>
      <c r="J150" s="334"/>
      <c r="K150" s="334"/>
      <c r="L150" s="334"/>
      <c r="M150" s="25"/>
      <c r="N150" s="25"/>
      <c r="O150" s="334"/>
      <c r="P150" s="334"/>
      <c r="Q150" s="334"/>
      <c r="R150" s="340"/>
      <c r="S150" s="35"/>
      <c r="T150" s="334"/>
      <c r="U150" s="334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 ht="13.5" customHeight="1">
      <c r="A151" s="35"/>
      <c r="B151" s="35"/>
      <c r="C151" s="35"/>
      <c r="D151" s="339"/>
      <c r="E151" s="334"/>
      <c r="F151" s="334"/>
      <c r="G151" s="334"/>
      <c r="H151" s="334"/>
      <c r="I151" s="334"/>
      <c r="J151" s="334"/>
      <c r="K151" s="334"/>
      <c r="L151" s="334"/>
      <c r="M151" s="25"/>
      <c r="N151" s="25"/>
      <c r="O151" s="334"/>
      <c r="P151" s="334"/>
      <c r="Q151" s="334"/>
      <c r="R151" s="340"/>
      <c r="S151" s="35"/>
      <c r="T151" s="334"/>
      <c r="U151" s="334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 ht="13.5" customHeight="1">
      <c r="A152" s="35"/>
      <c r="B152" s="35"/>
      <c r="C152" s="35"/>
      <c r="D152" s="339"/>
      <c r="E152" s="334"/>
      <c r="F152" s="334"/>
      <c r="G152" s="334"/>
      <c r="H152" s="334"/>
      <c r="I152" s="334"/>
      <c r="J152" s="334"/>
      <c r="K152" s="334"/>
      <c r="L152" s="334"/>
      <c r="M152" s="25"/>
      <c r="N152" s="25"/>
      <c r="O152" s="334"/>
      <c r="P152" s="334"/>
      <c r="Q152" s="334"/>
      <c r="R152" s="340"/>
      <c r="S152" s="35"/>
      <c r="T152" s="334"/>
      <c r="U152" s="334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 ht="13.5" customHeight="1">
      <c r="A153" s="35"/>
      <c r="B153" s="35"/>
      <c r="C153" s="35"/>
      <c r="D153" s="339"/>
      <c r="E153" s="334"/>
      <c r="F153" s="334"/>
      <c r="G153" s="334"/>
      <c r="H153" s="334"/>
      <c r="I153" s="334"/>
      <c r="J153" s="334"/>
      <c r="K153" s="334"/>
      <c r="L153" s="334"/>
      <c r="M153" s="25"/>
      <c r="N153" s="25"/>
      <c r="O153" s="334"/>
      <c r="P153" s="334"/>
      <c r="Q153" s="334"/>
      <c r="R153" s="340"/>
      <c r="S153" s="35"/>
      <c r="T153" s="334"/>
      <c r="U153" s="334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ht="13.5" customHeight="1">
      <c r="A154" s="35"/>
      <c r="B154" s="35"/>
      <c r="C154" s="35"/>
      <c r="D154" s="339"/>
      <c r="E154" s="334"/>
      <c r="F154" s="334"/>
      <c r="G154" s="334"/>
      <c r="H154" s="334"/>
      <c r="I154" s="334"/>
      <c r="J154" s="334"/>
      <c r="K154" s="334"/>
      <c r="L154" s="334"/>
      <c r="M154" s="25"/>
      <c r="N154" s="25"/>
      <c r="O154" s="334"/>
      <c r="P154" s="334"/>
      <c r="Q154" s="334"/>
      <c r="R154" s="340"/>
      <c r="S154" s="35"/>
      <c r="T154" s="334"/>
      <c r="U154" s="334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 ht="13.5" customHeight="1">
      <c r="A155" s="35"/>
      <c r="B155" s="35"/>
      <c r="C155" s="35"/>
      <c r="D155" s="339"/>
      <c r="E155" s="334"/>
      <c r="F155" s="334"/>
      <c r="G155" s="334"/>
      <c r="H155" s="334"/>
      <c r="I155" s="334"/>
      <c r="J155" s="334"/>
      <c r="K155" s="334"/>
      <c r="L155" s="334"/>
      <c r="M155" s="25"/>
      <c r="N155" s="25"/>
      <c r="O155" s="334"/>
      <c r="P155" s="334"/>
      <c r="Q155" s="334"/>
      <c r="R155" s="340"/>
      <c r="S155" s="35"/>
      <c r="T155" s="334"/>
      <c r="U155" s="334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ht="13.5" customHeight="1">
      <c r="A156" s="35"/>
      <c r="B156" s="35"/>
      <c r="C156" s="35"/>
      <c r="D156" s="339"/>
      <c r="E156" s="334"/>
      <c r="F156" s="334"/>
      <c r="G156" s="334"/>
      <c r="H156" s="334"/>
      <c r="I156" s="334"/>
      <c r="J156" s="334"/>
      <c r="K156" s="334"/>
      <c r="L156" s="334"/>
      <c r="M156" s="25"/>
      <c r="N156" s="25"/>
      <c r="O156" s="334"/>
      <c r="P156" s="334"/>
      <c r="Q156" s="334"/>
      <c r="R156" s="340"/>
      <c r="S156" s="35"/>
      <c r="T156" s="334"/>
      <c r="U156" s="334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ht="13.5" customHeight="1">
      <c r="A157" s="35"/>
      <c r="B157" s="35"/>
      <c r="C157" s="35"/>
      <c r="D157" s="339"/>
      <c r="E157" s="334"/>
      <c r="F157" s="334"/>
      <c r="G157" s="334"/>
      <c r="H157" s="334"/>
      <c r="I157" s="334"/>
      <c r="J157" s="334"/>
      <c r="K157" s="334"/>
      <c r="L157" s="334"/>
      <c r="M157" s="25"/>
      <c r="N157" s="25"/>
      <c r="O157" s="334"/>
      <c r="P157" s="334"/>
      <c r="Q157" s="334"/>
      <c r="R157" s="340"/>
      <c r="S157" s="35"/>
      <c r="T157" s="334"/>
      <c r="U157" s="334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ht="13.5" customHeight="1">
      <c r="A158" s="35"/>
      <c r="B158" s="35"/>
      <c r="C158" s="35"/>
      <c r="D158" s="339"/>
      <c r="E158" s="334"/>
      <c r="F158" s="334"/>
      <c r="G158" s="334"/>
      <c r="H158" s="334"/>
      <c r="I158" s="334"/>
      <c r="J158" s="334"/>
      <c r="K158" s="334"/>
      <c r="L158" s="334"/>
      <c r="M158" s="25"/>
      <c r="N158" s="25"/>
      <c r="O158" s="334"/>
      <c r="P158" s="334"/>
      <c r="Q158" s="334"/>
      <c r="R158" s="340"/>
      <c r="S158" s="35"/>
      <c r="T158" s="334"/>
      <c r="U158" s="334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ht="13.5" customHeight="1">
      <c r="A159" s="35"/>
      <c r="B159" s="35"/>
      <c r="C159" s="35"/>
      <c r="D159" s="339"/>
      <c r="E159" s="334"/>
      <c r="F159" s="334"/>
      <c r="G159" s="334"/>
      <c r="H159" s="334"/>
      <c r="I159" s="334"/>
      <c r="J159" s="334"/>
      <c r="K159" s="334"/>
      <c r="L159" s="334"/>
      <c r="M159" s="25"/>
      <c r="N159" s="25"/>
      <c r="O159" s="334"/>
      <c r="P159" s="334"/>
      <c r="Q159" s="334"/>
      <c r="R159" s="340"/>
      <c r="S159" s="35"/>
      <c r="T159" s="334"/>
      <c r="U159" s="334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 ht="13.5" customHeight="1">
      <c r="A160" s="35"/>
      <c r="B160" s="35"/>
      <c r="C160" s="35"/>
      <c r="D160" s="339"/>
      <c r="E160" s="334"/>
      <c r="F160" s="334"/>
      <c r="G160" s="334"/>
      <c r="H160" s="334"/>
      <c r="I160" s="334"/>
      <c r="J160" s="334"/>
      <c r="K160" s="334"/>
      <c r="L160" s="334"/>
      <c r="M160" s="25"/>
      <c r="N160" s="25"/>
      <c r="O160" s="334"/>
      <c r="P160" s="334"/>
      <c r="Q160" s="334"/>
      <c r="R160" s="340"/>
      <c r="S160" s="35"/>
      <c r="T160" s="334"/>
      <c r="U160" s="334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 ht="13.5" customHeight="1">
      <c r="A161" s="35"/>
      <c r="B161" s="35"/>
      <c r="C161" s="35"/>
      <c r="D161" s="339"/>
      <c r="E161" s="334"/>
      <c r="F161" s="334"/>
      <c r="G161" s="334"/>
      <c r="H161" s="334"/>
      <c r="I161" s="334"/>
      <c r="J161" s="334"/>
      <c r="K161" s="334"/>
      <c r="L161" s="334"/>
      <c r="M161" s="25"/>
      <c r="N161" s="25"/>
      <c r="O161" s="334"/>
      <c r="P161" s="334"/>
      <c r="Q161" s="334"/>
      <c r="R161" s="340"/>
      <c r="S161" s="35"/>
      <c r="T161" s="334"/>
      <c r="U161" s="334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 ht="13.5" customHeight="1">
      <c r="A162" s="35"/>
      <c r="B162" s="35"/>
      <c r="C162" s="35"/>
      <c r="D162" s="339"/>
      <c r="E162" s="334"/>
      <c r="F162" s="334"/>
      <c r="G162" s="334"/>
      <c r="H162" s="334"/>
      <c r="I162" s="334"/>
      <c r="J162" s="334"/>
      <c r="K162" s="334"/>
      <c r="L162" s="334"/>
      <c r="M162" s="25"/>
      <c r="N162" s="25"/>
      <c r="O162" s="334"/>
      <c r="P162" s="334"/>
      <c r="Q162" s="334"/>
      <c r="R162" s="340"/>
      <c r="S162" s="35"/>
      <c r="T162" s="334"/>
      <c r="U162" s="334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 ht="13.5" customHeight="1">
      <c r="A163" s="35"/>
      <c r="B163" s="35"/>
      <c r="C163" s="35"/>
      <c r="D163" s="339"/>
      <c r="E163" s="334"/>
      <c r="F163" s="334"/>
      <c r="G163" s="334"/>
      <c r="H163" s="334"/>
      <c r="I163" s="334"/>
      <c r="J163" s="334"/>
      <c r="K163" s="334"/>
      <c r="L163" s="334"/>
      <c r="M163" s="25"/>
      <c r="N163" s="25"/>
      <c r="O163" s="334"/>
      <c r="P163" s="334"/>
      <c r="Q163" s="334"/>
      <c r="R163" s="340"/>
      <c r="S163" s="35"/>
      <c r="T163" s="334"/>
      <c r="U163" s="334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 ht="13.5" customHeight="1">
      <c r="A164" s="35"/>
      <c r="B164" s="35"/>
      <c r="C164" s="35"/>
      <c r="D164" s="339"/>
      <c r="E164" s="334"/>
      <c r="F164" s="334"/>
      <c r="G164" s="334"/>
      <c r="H164" s="334"/>
      <c r="I164" s="334"/>
      <c r="J164" s="334"/>
      <c r="K164" s="334"/>
      <c r="L164" s="334"/>
      <c r="M164" s="25"/>
      <c r="N164" s="25"/>
      <c r="O164" s="334"/>
      <c r="P164" s="334"/>
      <c r="Q164" s="334"/>
      <c r="R164" s="340"/>
      <c r="S164" s="35"/>
      <c r="T164" s="334"/>
      <c r="U164" s="334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 ht="13.5" customHeight="1">
      <c r="A165" s="35"/>
      <c r="B165" s="35"/>
      <c r="C165" s="35"/>
      <c r="D165" s="339"/>
      <c r="E165" s="334"/>
      <c r="F165" s="334"/>
      <c r="G165" s="334"/>
      <c r="H165" s="334"/>
      <c r="I165" s="334"/>
      <c r="J165" s="334"/>
      <c r="K165" s="334"/>
      <c r="L165" s="334"/>
      <c r="M165" s="25"/>
      <c r="N165" s="25"/>
      <c r="O165" s="334"/>
      <c r="P165" s="334"/>
      <c r="Q165" s="334"/>
      <c r="R165" s="340"/>
      <c r="S165" s="35"/>
      <c r="T165" s="334"/>
      <c r="U165" s="334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 ht="13.5" customHeight="1">
      <c r="A166" s="35"/>
      <c r="B166" s="35"/>
      <c r="C166" s="35"/>
      <c r="D166" s="339"/>
      <c r="E166" s="334"/>
      <c r="F166" s="334"/>
      <c r="G166" s="334"/>
      <c r="H166" s="334"/>
      <c r="I166" s="334"/>
      <c r="J166" s="334"/>
      <c r="K166" s="334"/>
      <c r="L166" s="334"/>
      <c r="M166" s="25"/>
      <c r="N166" s="25"/>
      <c r="O166" s="334"/>
      <c r="P166" s="334"/>
      <c r="Q166" s="334"/>
      <c r="R166" s="340"/>
      <c r="S166" s="35"/>
      <c r="T166" s="334"/>
      <c r="U166" s="334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 ht="13.5" customHeight="1">
      <c r="A167" s="35"/>
      <c r="B167" s="35"/>
      <c r="C167" s="35"/>
      <c r="D167" s="339"/>
      <c r="E167" s="334"/>
      <c r="F167" s="334"/>
      <c r="G167" s="334"/>
      <c r="H167" s="334"/>
      <c r="I167" s="334"/>
      <c r="J167" s="334"/>
      <c r="K167" s="334"/>
      <c r="L167" s="334"/>
      <c r="M167" s="25"/>
      <c r="N167" s="25"/>
      <c r="O167" s="334"/>
      <c r="P167" s="334"/>
      <c r="Q167" s="334"/>
      <c r="R167" s="340"/>
      <c r="S167" s="35"/>
      <c r="T167" s="334"/>
      <c r="U167" s="334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 ht="13.5" customHeight="1">
      <c r="A168" s="35"/>
      <c r="B168" s="35"/>
      <c r="C168" s="35"/>
      <c r="D168" s="339"/>
      <c r="E168" s="334"/>
      <c r="F168" s="334"/>
      <c r="G168" s="334"/>
      <c r="H168" s="334"/>
      <c r="I168" s="334"/>
      <c r="J168" s="334"/>
      <c r="K168" s="334"/>
      <c r="L168" s="334"/>
      <c r="M168" s="25"/>
      <c r="N168" s="25"/>
      <c r="O168" s="334"/>
      <c r="P168" s="334"/>
      <c r="Q168" s="334"/>
      <c r="R168" s="340"/>
      <c r="S168" s="35"/>
      <c r="T168" s="334"/>
      <c r="U168" s="334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 ht="13.5" customHeight="1">
      <c r="A169" s="35"/>
      <c r="B169" s="35"/>
      <c r="C169" s="35"/>
      <c r="D169" s="339"/>
      <c r="E169" s="334"/>
      <c r="F169" s="334"/>
      <c r="G169" s="334"/>
      <c r="H169" s="334"/>
      <c r="I169" s="334"/>
      <c r="J169" s="334"/>
      <c r="K169" s="334"/>
      <c r="L169" s="334"/>
      <c r="M169" s="25"/>
      <c r="N169" s="25"/>
      <c r="O169" s="334"/>
      <c r="P169" s="334"/>
      <c r="Q169" s="334"/>
      <c r="R169" s="340"/>
      <c r="S169" s="35"/>
      <c r="T169" s="334"/>
      <c r="U169" s="334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 ht="13.5" customHeight="1">
      <c r="A170" s="35"/>
      <c r="B170" s="35"/>
      <c r="C170" s="35"/>
      <c r="D170" s="339"/>
      <c r="E170" s="334"/>
      <c r="F170" s="334"/>
      <c r="G170" s="334"/>
      <c r="H170" s="334"/>
      <c r="I170" s="334"/>
      <c r="J170" s="334"/>
      <c r="K170" s="334"/>
      <c r="L170" s="334"/>
      <c r="M170" s="25"/>
      <c r="N170" s="25"/>
      <c r="O170" s="334"/>
      <c r="P170" s="334"/>
      <c r="Q170" s="334"/>
      <c r="R170" s="340"/>
      <c r="S170" s="35"/>
      <c r="T170" s="334"/>
      <c r="U170" s="334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 ht="13.5" customHeight="1">
      <c r="A171" s="35"/>
      <c r="B171" s="35"/>
      <c r="C171" s="35"/>
      <c r="D171" s="339"/>
      <c r="E171" s="334"/>
      <c r="F171" s="334"/>
      <c r="G171" s="334"/>
      <c r="H171" s="334"/>
      <c r="I171" s="334"/>
      <c r="J171" s="334"/>
      <c r="K171" s="334"/>
      <c r="L171" s="334"/>
      <c r="M171" s="25"/>
      <c r="N171" s="25"/>
      <c r="O171" s="334"/>
      <c r="P171" s="334"/>
      <c r="Q171" s="334"/>
      <c r="R171" s="340"/>
      <c r="S171" s="35"/>
      <c r="T171" s="334"/>
      <c r="U171" s="334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 ht="13.5" customHeight="1">
      <c r="A172" s="35"/>
      <c r="B172" s="35"/>
      <c r="C172" s="35"/>
      <c r="D172" s="339"/>
      <c r="E172" s="334"/>
      <c r="F172" s="334"/>
      <c r="G172" s="334"/>
      <c r="H172" s="334"/>
      <c r="I172" s="334"/>
      <c r="J172" s="334"/>
      <c r="K172" s="334"/>
      <c r="L172" s="334"/>
      <c r="M172" s="25"/>
      <c r="N172" s="25"/>
      <c r="O172" s="334"/>
      <c r="P172" s="334"/>
      <c r="Q172" s="334"/>
      <c r="R172" s="340"/>
      <c r="S172" s="35"/>
      <c r="T172" s="334"/>
      <c r="U172" s="334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 ht="13.5" customHeight="1">
      <c r="A173" s="35"/>
      <c r="B173" s="35"/>
      <c r="C173" s="35"/>
      <c r="D173" s="339"/>
      <c r="E173" s="334"/>
      <c r="F173" s="334"/>
      <c r="G173" s="334"/>
      <c r="H173" s="334"/>
      <c r="I173" s="334"/>
      <c r="J173" s="334"/>
      <c r="K173" s="334"/>
      <c r="L173" s="334"/>
      <c r="M173" s="25"/>
      <c r="N173" s="25"/>
      <c r="O173" s="334"/>
      <c r="P173" s="334"/>
      <c r="Q173" s="334"/>
      <c r="R173" s="340"/>
      <c r="S173" s="35"/>
      <c r="T173" s="334"/>
      <c r="U173" s="334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 ht="13.5" customHeight="1">
      <c r="A174" s="35"/>
      <c r="B174" s="35"/>
      <c r="C174" s="35"/>
      <c r="D174" s="339"/>
      <c r="E174" s="334"/>
      <c r="F174" s="334"/>
      <c r="G174" s="334"/>
      <c r="H174" s="334"/>
      <c r="I174" s="334"/>
      <c r="J174" s="334"/>
      <c r="K174" s="334"/>
      <c r="L174" s="334"/>
      <c r="M174" s="25"/>
      <c r="N174" s="25"/>
      <c r="O174" s="334"/>
      <c r="P174" s="334"/>
      <c r="Q174" s="334"/>
      <c r="R174" s="340"/>
      <c r="S174" s="35"/>
      <c r="T174" s="334"/>
      <c r="U174" s="334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ht="13.5" customHeight="1">
      <c r="A175" s="35"/>
      <c r="B175" s="35"/>
      <c r="C175" s="35"/>
      <c r="D175" s="339"/>
      <c r="E175" s="334"/>
      <c r="F175" s="334"/>
      <c r="G175" s="334"/>
      <c r="H175" s="334"/>
      <c r="I175" s="334"/>
      <c r="J175" s="334"/>
      <c r="K175" s="334"/>
      <c r="L175" s="334"/>
      <c r="M175" s="25"/>
      <c r="N175" s="25"/>
      <c r="O175" s="334"/>
      <c r="P175" s="334"/>
      <c r="Q175" s="334"/>
      <c r="R175" s="340"/>
      <c r="S175" s="35"/>
      <c r="T175" s="334"/>
      <c r="U175" s="334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ht="13.5" customHeight="1">
      <c r="A176" s="35"/>
      <c r="B176" s="35"/>
      <c r="C176" s="35"/>
      <c r="D176" s="339"/>
      <c r="E176" s="334"/>
      <c r="F176" s="334"/>
      <c r="G176" s="334"/>
      <c r="H176" s="334"/>
      <c r="I176" s="334"/>
      <c r="J176" s="334"/>
      <c r="K176" s="334"/>
      <c r="L176" s="334"/>
      <c r="M176" s="25"/>
      <c r="N176" s="25"/>
      <c r="O176" s="334"/>
      <c r="P176" s="334"/>
      <c r="Q176" s="334"/>
      <c r="R176" s="340"/>
      <c r="S176" s="35"/>
      <c r="T176" s="334"/>
      <c r="U176" s="334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ht="13.5" customHeight="1">
      <c r="A177" s="35"/>
      <c r="B177" s="35"/>
      <c r="C177" s="35"/>
      <c r="D177" s="339"/>
      <c r="E177" s="334"/>
      <c r="F177" s="334"/>
      <c r="G177" s="334"/>
      <c r="H177" s="334"/>
      <c r="I177" s="334"/>
      <c r="J177" s="334"/>
      <c r="K177" s="334"/>
      <c r="L177" s="334"/>
      <c r="M177" s="25"/>
      <c r="N177" s="25"/>
      <c r="O177" s="334"/>
      <c r="P177" s="334"/>
      <c r="Q177" s="334"/>
      <c r="R177" s="340"/>
      <c r="S177" s="35"/>
      <c r="T177" s="334"/>
      <c r="U177" s="334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 ht="13.5" customHeight="1">
      <c r="A178" s="35"/>
      <c r="B178" s="35"/>
      <c r="C178" s="35"/>
      <c r="D178" s="339"/>
      <c r="E178" s="334"/>
      <c r="F178" s="334"/>
      <c r="G178" s="334"/>
      <c r="H178" s="334"/>
      <c r="I178" s="334"/>
      <c r="J178" s="334"/>
      <c r="K178" s="334"/>
      <c r="L178" s="334"/>
      <c r="M178" s="25"/>
      <c r="N178" s="25"/>
      <c r="O178" s="334"/>
      <c r="P178" s="334"/>
      <c r="Q178" s="334"/>
      <c r="R178" s="340"/>
      <c r="S178" s="35"/>
      <c r="T178" s="334"/>
      <c r="U178" s="334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 ht="13.5" customHeight="1">
      <c r="A179" s="35"/>
      <c r="B179" s="35"/>
      <c r="C179" s="35"/>
      <c r="D179" s="339"/>
      <c r="E179" s="334"/>
      <c r="F179" s="334"/>
      <c r="G179" s="334"/>
      <c r="H179" s="334"/>
      <c r="I179" s="334"/>
      <c r="J179" s="334"/>
      <c r="K179" s="334"/>
      <c r="L179" s="334"/>
      <c r="M179" s="25"/>
      <c r="N179" s="25"/>
      <c r="O179" s="334"/>
      <c r="P179" s="334"/>
      <c r="Q179" s="334"/>
      <c r="R179" s="340"/>
      <c r="S179" s="35"/>
      <c r="T179" s="334"/>
      <c r="U179" s="334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</row>
    <row r="180" ht="13.5" customHeight="1">
      <c r="A180" s="35"/>
      <c r="B180" s="35"/>
      <c r="C180" s="35"/>
      <c r="D180" s="339"/>
      <c r="E180" s="334"/>
      <c r="F180" s="334"/>
      <c r="G180" s="334"/>
      <c r="H180" s="334"/>
      <c r="I180" s="334"/>
      <c r="J180" s="334"/>
      <c r="K180" s="334"/>
      <c r="L180" s="334"/>
      <c r="M180" s="25"/>
      <c r="N180" s="25"/>
      <c r="O180" s="334"/>
      <c r="P180" s="334"/>
      <c r="Q180" s="334"/>
      <c r="R180" s="340"/>
      <c r="S180" s="35"/>
      <c r="T180" s="334"/>
      <c r="U180" s="334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 ht="13.5" customHeight="1">
      <c r="A181" s="35"/>
      <c r="B181" s="35"/>
      <c r="C181" s="35"/>
      <c r="D181" s="339"/>
      <c r="E181" s="334"/>
      <c r="F181" s="334"/>
      <c r="G181" s="334"/>
      <c r="H181" s="334"/>
      <c r="I181" s="334"/>
      <c r="J181" s="334"/>
      <c r="K181" s="334"/>
      <c r="L181" s="334"/>
      <c r="M181" s="25"/>
      <c r="N181" s="25"/>
      <c r="O181" s="334"/>
      <c r="P181" s="334"/>
      <c r="Q181" s="334"/>
      <c r="R181" s="340"/>
      <c r="S181" s="35"/>
      <c r="T181" s="334"/>
      <c r="U181" s="334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ht="13.5" customHeight="1">
      <c r="A182" s="35"/>
      <c r="B182" s="35"/>
      <c r="C182" s="35"/>
      <c r="D182" s="339"/>
      <c r="E182" s="334"/>
      <c r="F182" s="334"/>
      <c r="G182" s="334"/>
      <c r="H182" s="334"/>
      <c r="I182" s="334"/>
      <c r="J182" s="334"/>
      <c r="K182" s="334"/>
      <c r="L182" s="334"/>
      <c r="M182" s="25"/>
      <c r="N182" s="25"/>
      <c r="O182" s="334"/>
      <c r="P182" s="334"/>
      <c r="Q182" s="334"/>
      <c r="R182" s="340"/>
      <c r="S182" s="35"/>
      <c r="T182" s="334"/>
      <c r="U182" s="334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ht="13.5" customHeight="1">
      <c r="A183" s="35"/>
      <c r="B183" s="35"/>
      <c r="C183" s="35"/>
      <c r="D183" s="339"/>
      <c r="E183" s="334"/>
      <c r="F183" s="334"/>
      <c r="G183" s="334"/>
      <c r="H183" s="334"/>
      <c r="I183" s="334"/>
      <c r="J183" s="334"/>
      <c r="K183" s="334"/>
      <c r="L183" s="334"/>
      <c r="M183" s="25"/>
      <c r="N183" s="25"/>
      <c r="O183" s="334"/>
      <c r="P183" s="334"/>
      <c r="Q183" s="334"/>
      <c r="R183" s="340"/>
      <c r="S183" s="35"/>
      <c r="T183" s="334"/>
      <c r="U183" s="334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 ht="13.5" customHeight="1">
      <c r="A184" s="35"/>
      <c r="B184" s="35"/>
      <c r="C184" s="35"/>
      <c r="D184" s="339"/>
      <c r="E184" s="334"/>
      <c r="F184" s="334"/>
      <c r="G184" s="334"/>
      <c r="H184" s="334"/>
      <c r="I184" s="334"/>
      <c r="J184" s="334"/>
      <c r="K184" s="334"/>
      <c r="L184" s="334"/>
      <c r="M184" s="25"/>
      <c r="N184" s="25"/>
      <c r="O184" s="334"/>
      <c r="P184" s="334"/>
      <c r="Q184" s="334"/>
      <c r="R184" s="340"/>
      <c r="S184" s="35"/>
      <c r="T184" s="334"/>
      <c r="U184" s="334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 ht="13.5" customHeight="1">
      <c r="A185" s="35"/>
      <c r="B185" s="35"/>
      <c r="C185" s="35"/>
      <c r="D185" s="339"/>
      <c r="E185" s="334"/>
      <c r="F185" s="334"/>
      <c r="G185" s="334"/>
      <c r="H185" s="334"/>
      <c r="I185" s="334"/>
      <c r="J185" s="334"/>
      <c r="K185" s="334"/>
      <c r="L185" s="334"/>
      <c r="M185" s="25"/>
      <c r="N185" s="25"/>
      <c r="O185" s="334"/>
      <c r="P185" s="334"/>
      <c r="Q185" s="334"/>
      <c r="R185" s="340"/>
      <c r="S185" s="35"/>
      <c r="T185" s="334"/>
      <c r="U185" s="334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ht="13.5" customHeight="1">
      <c r="A186" s="35"/>
      <c r="B186" s="35"/>
      <c r="C186" s="35"/>
      <c r="D186" s="339"/>
      <c r="E186" s="334"/>
      <c r="F186" s="334"/>
      <c r="G186" s="334"/>
      <c r="H186" s="334"/>
      <c r="I186" s="334"/>
      <c r="J186" s="334"/>
      <c r="K186" s="334"/>
      <c r="L186" s="334"/>
      <c r="M186" s="25"/>
      <c r="N186" s="25"/>
      <c r="O186" s="334"/>
      <c r="P186" s="334"/>
      <c r="Q186" s="334"/>
      <c r="R186" s="340"/>
      <c r="S186" s="35"/>
      <c r="T186" s="334"/>
      <c r="U186" s="334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ht="13.5" customHeight="1">
      <c r="A187" s="35"/>
      <c r="B187" s="35"/>
      <c r="C187" s="35"/>
      <c r="D187" s="339"/>
      <c r="E187" s="334"/>
      <c r="F187" s="334"/>
      <c r="G187" s="334"/>
      <c r="H187" s="334"/>
      <c r="I187" s="334"/>
      <c r="J187" s="334"/>
      <c r="K187" s="334"/>
      <c r="L187" s="334"/>
      <c r="M187" s="25"/>
      <c r="N187" s="25"/>
      <c r="O187" s="334"/>
      <c r="P187" s="334"/>
      <c r="Q187" s="334"/>
      <c r="R187" s="340"/>
      <c r="S187" s="35"/>
      <c r="T187" s="334"/>
      <c r="U187" s="334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ht="13.5" customHeight="1">
      <c r="A188" s="35"/>
      <c r="B188" s="35"/>
      <c r="C188" s="35"/>
      <c r="D188" s="339"/>
      <c r="E188" s="334"/>
      <c r="F188" s="334"/>
      <c r="G188" s="334"/>
      <c r="H188" s="334"/>
      <c r="I188" s="334"/>
      <c r="J188" s="334"/>
      <c r="K188" s="334"/>
      <c r="L188" s="334"/>
      <c r="M188" s="25"/>
      <c r="N188" s="25"/>
      <c r="O188" s="334"/>
      <c r="P188" s="334"/>
      <c r="Q188" s="334"/>
      <c r="R188" s="340"/>
      <c r="S188" s="35"/>
      <c r="T188" s="334"/>
      <c r="U188" s="334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ht="13.5" customHeight="1">
      <c r="A189" s="35"/>
      <c r="B189" s="35"/>
      <c r="C189" s="35"/>
      <c r="D189" s="339"/>
      <c r="E189" s="334"/>
      <c r="F189" s="334"/>
      <c r="G189" s="334"/>
      <c r="H189" s="334"/>
      <c r="I189" s="334"/>
      <c r="J189" s="334"/>
      <c r="K189" s="334"/>
      <c r="L189" s="334"/>
      <c r="M189" s="25"/>
      <c r="N189" s="25"/>
      <c r="O189" s="334"/>
      <c r="P189" s="334"/>
      <c r="Q189" s="334"/>
      <c r="R189" s="340"/>
      <c r="S189" s="35"/>
      <c r="T189" s="334"/>
      <c r="U189" s="334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ht="13.5" customHeight="1">
      <c r="A190" s="35"/>
      <c r="B190" s="35"/>
      <c r="C190" s="35"/>
      <c r="D190" s="339"/>
      <c r="E190" s="334"/>
      <c r="F190" s="334"/>
      <c r="G190" s="334"/>
      <c r="H190" s="334"/>
      <c r="I190" s="334"/>
      <c r="J190" s="334"/>
      <c r="K190" s="334"/>
      <c r="L190" s="334"/>
      <c r="M190" s="25"/>
      <c r="N190" s="25"/>
      <c r="O190" s="334"/>
      <c r="P190" s="334"/>
      <c r="Q190" s="334"/>
      <c r="R190" s="340"/>
      <c r="S190" s="35"/>
      <c r="T190" s="334"/>
      <c r="U190" s="334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 ht="13.5" customHeight="1">
      <c r="A191" s="35"/>
      <c r="B191" s="35"/>
      <c r="C191" s="35"/>
      <c r="D191" s="339"/>
      <c r="E191" s="334"/>
      <c r="F191" s="334"/>
      <c r="G191" s="334"/>
      <c r="H191" s="334"/>
      <c r="I191" s="334"/>
      <c r="J191" s="334"/>
      <c r="K191" s="334"/>
      <c r="L191" s="334"/>
      <c r="M191" s="25"/>
      <c r="N191" s="25"/>
      <c r="O191" s="334"/>
      <c r="P191" s="334"/>
      <c r="Q191" s="334"/>
      <c r="R191" s="340"/>
      <c r="S191" s="35"/>
      <c r="T191" s="334"/>
      <c r="U191" s="334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 ht="13.5" customHeight="1">
      <c r="A192" s="35"/>
      <c r="B192" s="35"/>
      <c r="C192" s="35"/>
      <c r="D192" s="339"/>
      <c r="E192" s="334"/>
      <c r="F192" s="334"/>
      <c r="G192" s="334"/>
      <c r="H192" s="334"/>
      <c r="I192" s="334"/>
      <c r="J192" s="334"/>
      <c r="K192" s="334"/>
      <c r="L192" s="334"/>
      <c r="M192" s="25"/>
      <c r="N192" s="25"/>
      <c r="O192" s="334"/>
      <c r="P192" s="334"/>
      <c r="Q192" s="334"/>
      <c r="R192" s="340"/>
      <c r="S192" s="35"/>
      <c r="T192" s="334"/>
      <c r="U192" s="334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 ht="13.5" customHeight="1">
      <c r="A193" s="35"/>
      <c r="B193" s="35"/>
      <c r="C193" s="35"/>
      <c r="D193" s="339"/>
      <c r="E193" s="334"/>
      <c r="F193" s="334"/>
      <c r="G193" s="334"/>
      <c r="H193" s="334"/>
      <c r="I193" s="334"/>
      <c r="J193" s="334"/>
      <c r="K193" s="334"/>
      <c r="L193" s="334"/>
      <c r="M193" s="25"/>
      <c r="N193" s="25"/>
      <c r="O193" s="334"/>
      <c r="P193" s="334"/>
      <c r="Q193" s="334"/>
      <c r="R193" s="340"/>
      <c r="S193" s="35"/>
      <c r="T193" s="334"/>
      <c r="U193" s="334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 ht="13.5" customHeight="1">
      <c r="A194" s="35"/>
      <c r="B194" s="35"/>
      <c r="C194" s="35"/>
      <c r="D194" s="339"/>
      <c r="E194" s="334"/>
      <c r="F194" s="334"/>
      <c r="G194" s="334"/>
      <c r="H194" s="334"/>
      <c r="I194" s="334"/>
      <c r="J194" s="334"/>
      <c r="K194" s="334"/>
      <c r="L194" s="334"/>
      <c r="M194" s="25"/>
      <c r="N194" s="25"/>
      <c r="O194" s="334"/>
      <c r="P194" s="334"/>
      <c r="Q194" s="334"/>
      <c r="R194" s="340"/>
      <c r="S194" s="35"/>
      <c r="T194" s="334"/>
      <c r="U194" s="334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 ht="13.5" customHeight="1">
      <c r="A195" s="35"/>
      <c r="B195" s="35"/>
      <c r="C195" s="35"/>
      <c r="D195" s="339"/>
      <c r="E195" s="334"/>
      <c r="F195" s="334"/>
      <c r="G195" s="334"/>
      <c r="H195" s="334"/>
      <c r="I195" s="334"/>
      <c r="J195" s="334"/>
      <c r="K195" s="334"/>
      <c r="L195" s="334"/>
      <c r="M195" s="25"/>
      <c r="N195" s="25"/>
      <c r="O195" s="334"/>
      <c r="P195" s="334"/>
      <c r="Q195" s="334"/>
      <c r="R195" s="340"/>
      <c r="S195" s="35"/>
      <c r="T195" s="334"/>
      <c r="U195" s="334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 ht="13.5" customHeight="1">
      <c r="A196" s="35"/>
      <c r="B196" s="35"/>
      <c r="C196" s="35"/>
      <c r="D196" s="339"/>
      <c r="E196" s="334"/>
      <c r="F196" s="334"/>
      <c r="G196" s="334"/>
      <c r="H196" s="334"/>
      <c r="I196" s="334"/>
      <c r="J196" s="334"/>
      <c r="K196" s="334"/>
      <c r="L196" s="334"/>
      <c r="M196" s="25"/>
      <c r="N196" s="25"/>
      <c r="O196" s="334"/>
      <c r="P196" s="334"/>
      <c r="Q196" s="334"/>
      <c r="R196" s="340"/>
      <c r="S196" s="35"/>
      <c r="T196" s="334"/>
      <c r="U196" s="334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 ht="13.5" customHeight="1">
      <c r="A197" s="35"/>
      <c r="B197" s="35"/>
      <c r="C197" s="35"/>
      <c r="D197" s="339"/>
      <c r="E197" s="334"/>
      <c r="F197" s="334"/>
      <c r="G197" s="334"/>
      <c r="H197" s="334"/>
      <c r="I197" s="334"/>
      <c r="J197" s="334"/>
      <c r="K197" s="334"/>
      <c r="L197" s="334"/>
      <c r="M197" s="25"/>
      <c r="N197" s="25"/>
      <c r="O197" s="334"/>
      <c r="P197" s="334"/>
      <c r="Q197" s="334"/>
      <c r="R197" s="340"/>
      <c r="S197" s="35"/>
      <c r="T197" s="334"/>
      <c r="U197" s="334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ht="13.5" customHeight="1">
      <c r="A198" s="35"/>
      <c r="B198" s="35"/>
      <c r="C198" s="35"/>
      <c r="D198" s="339"/>
      <c r="E198" s="334"/>
      <c r="F198" s="334"/>
      <c r="G198" s="334"/>
      <c r="H198" s="334"/>
      <c r="I198" s="334"/>
      <c r="J198" s="334"/>
      <c r="K198" s="334"/>
      <c r="L198" s="334"/>
      <c r="M198" s="25"/>
      <c r="N198" s="25"/>
      <c r="O198" s="334"/>
      <c r="P198" s="334"/>
      <c r="Q198" s="334"/>
      <c r="R198" s="340"/>
      <c r="S198" s="35"/>
      <c r="T198" s="334"/>
      <c r="U198" s="334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 ht="13.5" customHeight="1">
      <c r="A199" s="35"/>
      <c r="B199" s="35"/>
      <c r="C199" s="35"/>
      <c r="D199" s="339"/>
      <c r="E199" s="334"/>
      <c r="F199" s="334"/>
      <c r="G199" s="334"/>
      <c r="H199" s="334"/>
      <c r="I199" s="334"/>
      <c r="J199" s="334"/>
      <c r="K199" s="334"/>
      <c r="L199" s="334"/>
      <c r="M199" s="25"/>
      <c r="N199" s="25"/>
      <c r="O199" s="334"/>
      <c r="P199" s="334"/>
      <c r="Q199" s="334"/>
      <c r="R199" s="340"/>
      <c r="S199" s="35"/>
      <c r="T199" s="334"/>
      <c r="U199" s="334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 ht="13.5" customHeight="1">
      <c r="A200" s="35"/>
      <c r="B200" s="35"/>
      <c r="C200" s="35"/>
      <c r="D200" s="339"/>
      <c r="E200" s="334"/>
      <c r="F200" s="334"/>
      <c r="G200" s="334"/>
      <c r="H200" s="334"/>
      <c r="I200" s="334"/>
      <c r="J200" s="334"/>
      <c r="K200" s="334"/>
      <c r="L200" s="334"/>
      <c r="M200" s="25"/>
      <c r="N200" s="25"/>
      <c r="O200" s="334"/>
      <c r="P200" s="334"/>
      <c r="Q200" s="334"/>
      <c r="R200" s="340"/>
      <c r="S200" s="35"/>
      <c r="T200" s="334"/>
      <c r="U200" s="334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 ht="13.5" customHeight="1">
      <c r="A201" s="35"/>
      <c r="B201" s="35"/>
      <c r="C201" s="35"/>
      <c r="D201" s="339"/>
      <c r="E201" s="334"/>
      <c r="F201" s="334"/>
      <c r="G201" s="334"/>
      <c r="H201" s="334"/>
      <c r="I201" s="334"/>
      <c r="J201" s="334"/>
      <c r="K201" s="334"/>
      <c r="L201" s="334"/>
      <c r="M201" s="25"/>
      <c r="N201" s="25"/>
      <c r="O201" s="334"/>
      <c r="P201" s="334"/>
      <c r="Q201" s="334"/>
      <c r="R201" s="340"/>
      <c r="S201" s="35"/>
      <c r="T201" s="334"/>
      <c r="U201" s="334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</row>
    <row r="202" ht="13.5" customHeight="1">
      <c r="A202" s="35"/>
      <c r="B202" s="35"/>
      <c r="C202" s="35"/>
      <c r="D202" s="339"/>
      <c r="E202" s="334"/>
      <c r="F202" s="334"/>
      <c r="G202" s="334"/>
      <c r="H202" s="334"/>
      <c r="I202" s="334"/>
      <c r="J202" s="334"/>
      <c r="K202" s="334"/>
      <c r="L202" s="334"/>
      <c r="M202" s="25"/>
      <c r="N202" s="25"/>
      <c r="O202" s="334"/>
      <c r="P202" s="334"/>
      <c r="Q202" s="334"/>
      <c r="R202" s="340"/>
      <c r="S202" s="35"/>
      <c r="T202" s="334"/>
      <c r="U202" s="334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ht="13.5" customHeight="1">
      <c r="A203" s="35"/>
      <c r="B203" s="35"/>
      <c r="C203" s="35"/>
      <c r="D203" s="339"/>
      <c r="E203" s="334"/>
      <c r="F203" s="334"/>
      <c r="G203" s="334"/>
      <c r="H203" s="334"/>
      <c r="I203" s="334"/>
      <c r="J203" s="334"/>
      <c r="K203" s="334"/>
      <c r="L203" s="334"/>
      <c r="M203" s="25"/>
      <c r="N203" s="25"/>
      <c r="O203" s="334"/>
      <c r="P203" s="334"/>
      <c r="Q203" s="334"/>
      <c r="R203" s="340"/>
      <c r="S203" s="35"/>
      <c r="T203" s="334"/>
      <c r="U203" s="334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 ht="13.5" customHeight="1">
      <c r="A204" s="35"/>
      <c r="B204" s="35"/>
      <c r="C204" s="35"/>
      <c r="D204" s="339"/>
      <c r="E204" s="334"/>
      <c r="F204" s="334"/>
      <c r="G204" s="334"/>
      <c r="H204" s="334"/>
      <c r="I204" s="334"/>
      <c r="J204" s="334"/>
      <c r="K204" s="334"/>
      <c r="L204" s="334"/>
      <c r="M204" s="25"/>
      <c r="N204" s="25"/>
      <c r="O204" s="334"/>
      <c r="P204" s="334"/>
      <c r="Q204" s="334"/>
      <c r="R204" s="340"/>
      <c r="S204" s="35"/>
      <c r="T204" s="334"/>
      <c r="U204" s="334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 ht="13.5" customHeight="1">
      <c r="A205" s="35"/>
      <c r="B205" s="35"/>
      <c r="C205" s="35"/>
      <c r="D205" s="339"/>
      <c r="E205" s="334"/>
      <c r="F205" s="334"/>
      <c r="G205" s="334"/>
      <c r="H205" s="334"/>
      <c r="I205" s="334"/>
      <c r="J205" s="334"/>
      <c r="K205" s="334"/>
      <c r="L205" s="334"/>
      <c r="M205" s="25"/>
      <c r="N205" s="25"/>
      <c r="O205" s="334"/>
      <c r="P205" s="334"/>
      <c r="Q205" s="334"/>
      <c r="R205" s="340"/>
      <c r="S205" s="35"/>
      <c r="T205" s="334"/>
      <c r="U205" s="334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 ht="13.5" customHeight="1">
      <c r="A206" s="35"/>
      <c r="B206" s="35"/>
      <c r="C206" s="35"/>
      <c r="D206" s="339"/>
      <c r="E206" s="334"/>
      <c r="F206" s="334"/>
      <c r="G206" s="334"/>
      <c r="H206" s="334"/>
      <c r="I206" s="334"/>
      <c r="J206" s="334"/>
      <c r="K206" s="334"/>
      <c r="L206" s="334"/>
      <c r="M206" s="25"/>
      <c r="N206" s="25"/>
      <c r="O206" s="334"/>
      <c r="P206" s="334"/>
      <c r="Q206" s="334"/>
      <c r="R206" s="340"/>
      <c r="S206" s="35"/>
      <c r="T206" s="334"/>
      <c r="U206" s="334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 ht="13.5" customHeight="1">
      <c r="A207" s="35"/>
      <c r="B207" s="35"/>
      <c r="C207" s="35"/>
      <c r="D207" s="339"/>
      <c r="E207" s="334"/>
      <c r="F207" s="334"/>
      <c r="G207" s="334"/>
      <c r="H207" s="334"/>
      <c r="I207" s="334"/>
      <c r="J207" s="334"/>
      <c r="K207" s="334"/>
      <c r="L207" s="334"/>
      <c r="M207" s="25"/>
      <c r="N207" s="25"/>
      <c r="O207" s="334"/>
      <c r="P207" s="334"/>
      <c r="Q207" s="334"/>
      <c r="R207" s="340"/>
      <c r="S207" s="35"/>
      <c r="T207" s="334"/>
      <c r="U207" s="334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 ht="13.5" customHeight="1">
      <c r="A208" s="35"/>
      <c r="B208" s="35"/>
      <c r="C208" s="35"/>
      <c r="D208" s="339"/>
      <c r="E208" s="334"/>
      <c r="F208" s="334"/>
      <c r="G208" s="334"/>
      <c r="H208" s="334"/>
      <c r="I208" s="334"/>
      <c r="J208" s="334"/>
      <c r="K208" s="334"/>
      <c r="L208" s="334"/>
      <c r="M208" s="25"/>
      <c r="N208" s="25"/>
      <c r="O208" s="334"/>
      <c r="P208" s="334"/>
      <c r="Q208" s="334"/>
      <c r="R208" s="340"/>
      <c r="S208" s="35"/>
      <c r="T208" s="334"/>
      <c r="U208" s="334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 ht="13.5" customHeight="1">
      <c r="A209" s="35"/>
      <c r="B209" s="35"/>
      <c r="C209" s="35"/>
      <c r="D209" s="339"/>
      <c r="E209" s="334"/>
      <c r="F209" s="334"/>
      <c r="G209" s="334"/>
      <c r="H209" s="334"/>
      <c r="I209" s="334"/>
      <c r="J209" s="334"/>
      <c r="K209" s="334"/>
      <c r="L209" s="334"/>
      <c r="M209" s="25"/>
      <c r="N209" s="25"/>
      <c r="O209" s="334"/>
      <c r="P209" s="334"/>
      <c r="Q209" s="334"/>
      <c r="R209" s="340"/>
      <c r="S209" s="35"/>
      <c r="T209" s="334"/>
      <c r="U209" s="334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</row>
    <row r="210" ht="13.5" customHeight="1">
      <c r="A210" s="35"/>
      <c r="B210" s="35"/>
      <c r="C210" s="35"/>
      <c r="D210" s="339"/>
      <c r="E210" s="334"/>
      <c r="F210" s="334"/>
      <c r="G210" s="334"/>
      <c r="H210" s="334"/>
      <c r="I210" s="334"/>
      <c r="J210" s="334"/>
      <c r="K210" s="334"/>
      <c r="L210" s="334"/>
      <c r="M210" s="25"/>
      <c r="N210" s="25"/>
      <c r="O210" s="334"/>
      <c r="P210" s="334"/>
      <c r="Q210" s="334"/>
      <c r="R210" s="340"/>
      <c r="S210" s="35"/>
      <c r="T210" s="334"/>
      <c r="U210" s="334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 ht="13.5" customHeight="1">
      <c r="A211" s="35"/>
      <c r="B211" s="35"/>
      <c r="C211" s="35"/>
      <c r="D211" s="339"/>
      <c r="E211" s="334"/>
      <c r="F211" s="334"/>
      <c r="G211" s="334"/>
      <c r="H211" s="334"/>
      <c r="I211" s="334"/>
      <c r="J211" s="334"/>
      <c r="K211" s="334"/>
      <c r="L211" s="334"/>
      <c r="M211" s="25"/>
      <c r="N211" s="25"/>
      <c r="O211" s="334"/>
      <c r="P211" s="334"/>
      <c r="Q211" s="334"/>
      <c r="R211" s="340"/>
      <c r="S211" s="35"/>
      <c r="T211" s="334"/>
      <c r="U211" s="334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 ht="13.5" customHeight="1">
      <c r="A212" s="35"/>
      <c r="B212" s="35"/>
      <c r="C212" s="35"/>
      <c r="D212" s="339"/>
      <c r="E212" s="334"/>
      <c r="F212" s="334"/>
      <c r="G212" s="334"/>
      <c r="H212" s="334"/>
      <c r="I212" s="334"/>
      <c r="J212" s="334"/>
      <c r="K212" s="334"/>
      <c r="L212" s="334"/>
      <c r="M212" s="25"/>
      <c r="N212" s="25"/>
      <c r="O212" s="334"/>
      <c r="P212" s="334"/>
      <c r="Q212" s="334"/>
      <c r="R212" s="340"/>
      <c r="S212" s="35"/>
      <c r="T212" s="334"/>
      <c r="U212" s="334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 ht="13.5" customHeight="1">
      <c r="A213" s="35"/>
      <c r="B213" s="35"/>
      <c r="C213" s="35"/>
      <c r="D213" s="339"/>
      <c r="E213" s="334"/>
      <c r="F213" s="334"/>
      <c r="G213" s="334"/>
      <c r="H213" s="334"/>
      <c r="I213" s="334"/>
      <c r="J213" s="334"/>
      <c r="K213" s="334"/>
      <c r="L213" s="334"/>
      <c r="M213" s="25"/>
      <c r="N213" s="25"/>
      <c r="O213" s="334"/>
      <c r="P213" s="334"/>
      <c r="Q213" s="334"/>
      <c r="R213" s="340"/>
      <c r="S213" s="35"/>
      <c r="T213" s="334"/>
      <c r="U213" s="334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</row>
    <row r="214" ht="13.5" customHeight="1">
      <c r="A214" s="35"/>
      <c r="B214" s="35"/>
      <c r="C214" s="35"/>
      <c r="D214" s="339"/>
      <c r="E214" s="334"/>
      <c r="F214" s="334"/>
      <c r="G214" s="334"/>
      <c r="H214" s="334"/>
      <c r="I214" s="334"/>
      <c r="J214" s="334"/>
      <c r="K214" s="334"/>
      <c r="L214" s="334"/>
      <c r="M214" s="25"/>
      <c r="N214" s="25"/>
      <c r="O214" s="334"/>
      <c r="P214" s="334"/>
      <c r="Q214" s="334"/>
      <c r="R214" s="340"/>
      <c r="S214" s="35"/>
      <c r="T214" s="334"/>
      <c r="U214" s="334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ht="13.5" customHeight="1">
      <c r="A215" s="35"/>
      <c r="B215" s="35"/>
      <c r="C215" s="35"/>
      <c r="D215" s="339"/>
      <c r="E215" s="334"/>
      <c r="F215" s="334"/>
      <c r="G215" s="334"/>
      <c r="H215" s="334"/>
      <c r="I215" s="334"/>
      <c r="J215" s="334"/>
      <c r="K215" s="334"/>
      <c r="L215" s="334"/>
      <c r="M215" s="25"/>
      <c r="N215" s="25"/>
      <c r="O215" s="334"/>
      <c r="P215" s="334"/>
      <c r="Q215" s="334"/>
      <c r="R215" s="340"/>
      <c r="S215" s="35"/>
      <c r="T215" s="334"/>
      <c r="U215" s="334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</row>
    <row r="216" ht="13.5" customHeight="1">
      <c r="A216" s="35"/>
      <c r="B216" s="35"/>
      <c r="C216" s="35"/>
      <c r="D216" s="339"/>
      <c r="E216" s="334"/>
      <c r="F216" s="334"/>
      <c r="G216" s="334"/>
      <c r="H216" s="334"/>
      <c r="I216" s="334"/>
      <c r="J216" s="334"/>
      <c r="K216" s="334"/>
      <c r="L216" s="334"/>
      <c r="M216" s="25"/>
      <c r="N216" s="25"/>
      <c r="O216" s="334"/>
      <c r="P216" s="334"/>
      <c r="Q216" s="334"/>
      <c r="R216" s="340"/>
      <c r="S216" s="35"/>
      <c r="T216" s="334"/>
      <c r="U216" s="334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 ht="13.5" customHeight="1">
      <c r="A217" s="35"/>
      <c r="B217" s="35"/>
      <c r="C217" s="35"/>
      <c r="D217" s="339"/>
      <c r="E217" s="334"/>
      <c r="F217" s="334"/>
      <c r="G217" s="334"/>
      <c r="H217" s="334"/>
      <c r="I217" s="334"/>
      <c r="J217" s="334"/>
      <c r="K217" s="334"/>
      <c r="L217" s="334"/>
      <c r="M217" s="25"/>
      <c r="N217" s="25"/>
      <c r="O217" s="334"/>
      <c r="P217" s="334"/>
      <c r="Q217" s="334"/>
      <c r="R217" s="340"/>
      <c r="S217" s="35"/>
      <c r="T217" s="334"/>
      <c r="U217" s="334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 ht="13.5" customHeight="1">
      <c r="A218" s="35"/>
      <c r="B218" s="35"/>
      <c r="C218" s="35"/>
      <c r="D218" s="339"/>
      <c r="E218" s="334"/>
      <c r="F218" s="334"/>
      <c r="G218" s="334"/>
      <c r="H218" s="334"/>
      <c r="I218" s="334"/>
      <c r="J218" s="334"/>
      <c r="K218" s="334"/>
      <c r="L218" s="334"/>
      <c r="M218" s="25"/>
      <c r="N218" s="25"/>
      <c r="O218" s="334"/>
      <c r="P218" s="334"/>
      <c r="Q218" s="334"/>
      <c r="R218" s="340"/>
      <c r="S218" s="35"/>
      <c r="T218" s="334"/>
      <c r="U218" s="334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 ht="13.5" customHeight="1">
      <c r="A219" s="35"/>
      <c r="B219" s="35"/>
      <c r="C219" s="35"/>
      <c r="D219" s="339"/>
      <c r="E219" s="334"/>
      <c r="F219" s="334"/>
      <c r="G219" s="334"/>
      <c r="H219" s="334"/>
      <c r="I219" s="334"/>
      <c r="J219" s="334"/>
      <c r="K219" s="334"/>
      <c r="L219" s="334"/>
      <c r="M219" s="25"/>
      <c r="N219" s="25"/>
      <c r="O219" s="334"/>
      <c r="P219" s="334"/>
      <c r="Q219" s="334"/>
      <c r="R219" s="340"/>
      <c r="S219" s="35"/>
      <c r="T219" s="334"/>
      <c r="U219" s="334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 ht="13.5" customHeight="1">
      <c r="A220" s="35"/>
      <c r="B220" s="35"/>
      <c r="C220" s="35"/>
      <c r="D220" s="339"/>
      <c r="E220" s="334"/>
      <c r="F220" s="334"/>
      <c r="G220" s="334"/>
      <c r="H220" s="334"/>
      <c r="I220" s="334"/>
      <c r="J220" s="334"/>
      <c r="K220" s="334"/>
      <c r="L220" s="334"/>
      <c r="M220" s="25"/>
      <c r="N220" s="25"/>
      <c r="O220" s="334"/>
      <c r="P220" s="334"/>
      <c r="Q220" s="334"/>
      <c r="R220" s="340"/>
      <c r="S220" s="35"/>
      <c r="T220" s="334"/>
      <c r="U220" s="334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 ht="13.5" customHeight="1">
      <c r="A221" s="35"/>
      <c r="B221" s="35"/>
      <c r="C221" s="35"/>
      <c r="D221" s="339"/>
      <c r="E221" s="334"/>
      <c r="F221" s="334"/>
      <c r="G221" s="334"/>
      <c r="H221" s="334"/>
      <c r="I221" s="334"/>
      <c r="J221" s="334"/>
      <c r="K221" s="334"/>
      <c r="L221" s="334"/>
      <c r="M221" s="25"/>
      <c r="N221" s="25"/>
      <c r="O221" s="334"/>
      <c r="P221" s="334"/>
      <c r="Q221" s="334"/>
      <c r="R221" s="340"/>
      <c r="S221" s="35"/>
      <c r="T221" s="334"/>
      <c r="U221" s="334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 ht="13.5" customHeight="1">
      <c r="A222" s="35"/>
      <c r="B222" s="35"/>
      <c r="C222" s="35"/>
      <c r="D222" s="339"/>
      <c r="E222" s="334"/>
      <c r="F222" s="334"/>
      <c r="G222" s="334"/>
      <c r="H222" s="334"/>
      <c r="I222" s="334"/>
      <c r="J222" s="334"/>
      <c r="K222" s="334"/>
      <c r="L222" s="334"/>
      <c r="M222" s="25"/>
      <c r="N222" s="25"/>
      <c r="O222" s="334"/>
      <c r="P222" s="334"/>
      <c r="Q222" s="334"/>
      <c r="R222" s="340"/>
      <c r="S222" s="35"/>
      <c r="T222" s="334"/>
      <c r="U222" s="334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 ht="13.5" customHeight="1">
      <c r="A223" s="35"/>
      <c r="B223" s="35"/>
      <c r="C223" s="35"/>
      <c r="D223" s="339"/>
      <c r="E223" s="334"/>
      <c r="F223" s="334"/>
      <c r="G223" s="334"/>
      <c r="H223" s="334"/>
      <c r="I223" s="334"/>
      <c r="J223" s="334"/>
      <c r="K223" s="334"/>
      <c r="L223" s="334"/>
      <c r="M223" s="25"/>
      <c r="N223" s="25"/>
      <c r="O223" s="334"/>
      <c r="P223" s="334"/>
      <c r="Q223" s="334"/>
      <c r="R223" s="340"/>
      <c r="S223" s="35"/>
      <c r="T223" s="334"/>
      <c r="U223" s="334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 ht="13.5" customHeight="1">
      <c r="A224" s="35"/>
      <c r="B224" s="35"/>
      <c r="C224" s="35"/>
      <c r="D224" s="339"/>
      <c r="E224" s="334"/>
      <c r="F224" s="334"/>
      <c r="G224" s="334"/>
      <c r="H224" s="334"/>
      <c r="I224" s="334"/>
      <c r="J224" s="334"/>
      <c r="K224" s="334"/>
      <c r="L224" s="334"/>
      <c r="M224" s="25"/>
      <c r="N224" s="25"/>
      <c r="O224" s="334"/>
      <c r="P224" s="334"/>
      <c r="Q224" s="334"/>
      <c r="R224" s="340"/>
      <c r="S224" s="35"/>
      <c r="T224" s="334"/>
      <c r="U224" s="334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 ht="13.5" customHeight="1">
      <c r="A225" s="35"/>
      <c r="B225" s="35"/>
      <c r="C225" s="35"/>
      <c r="D225" s="339"/>
      <c r="E225" s="334"/>
      <c r="F225" s="334"/>
      <c r="G225" s="334"/>
      <c r="H225" s="334"/>
      <c r="I225" s="334"/>
      <c r="J225" s="334"/>
      <c r="K225" s="334"/>
      <c r="L225" s="334"/>
      <c r="M225" s="25"/>
      <c r="N225" s="25"/>
      <c r="O225" s="334"/>
      <c r="P225" s="334"/>
      <c r="Q225" s="334"/>
      <c r="R225" s="340"/>
      <c r="S225" s="35"/>
      <c r="T225" s="334"/>
      <c r="U225" s="334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 ht="13.5" customHeight="1">
      <c r="A226" s="35"/>
      <c r="B226" s="35"/>
      <c r="C226" s="35"/>
      <c r="D226" s="339"/>
      <c r="E226" s="334"/>
      <c r="F226" s="334"/>
      <c r="G226" s="334"/>
      <c r="H226" s="334"/>
      <c r="I226" s="334"/>
      <c r="J226" s="334"/>
      <c r="K226" s="334"/>
      <c r="L226" s="334"/>
      <c r="M226" s="25"/>
      <c r="N226" s="25"/>
      <c r="O226" s="334"/>
      <c r="P226" s="334"/>
      <c r="Q226" s="334"/>
      <c r="R226" s="340"/>
      <c r="S226" s="35"/>
      <c r="T226" s="334"/>
      <c r="U226" s="334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 ht="15.75" customHeight="1">
      <c r="A227" s="247"/>
      <c r="B227" s="247"/>
      <c r="C227" s="247"/>
      <c r="D227" s="247"/>
      <c r="E227" s="247"/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47"/>
    </row>
    <row r="228" ht="15.75" customHeight="1">
      <c r="A228" s="247"/>
      <c r="B228" s="247"/>
      <c r="C228" s="247"/>
      <c r="D228" s="247"/>
      <c r="E228" s="247"/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</row>
    <row r="229" ht="15.75" customHeight="1">
      <c r="A229" s="247"/>
      <c r="B229" s="247"/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47"/>
    </row>
    <row r="230" ht="15.75" customHeight="1">
      <c r="A230" s="247"/>
      <c r="B230" s="247"/>
      <c r="C230" s="247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47"/>
    </row>
    <row r="231" ht="15.75" customHeight="1">
      <c r="A231" s="247"/>
      <c r="B231" s="247"/>
      <c r="C231" s="247"/>
      <c r="D231" s="247"/>
      <c r="E231" s="247"/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47"/>
    </row>
    <row r="232" ht="15.75" customHeight="1">
      <c r="A232" s="247"/>
      <c r="B232" s="247"/>
      <c r="C232" s="247"/>
      <c r="D232" s="247"/>
      <c r="E232" s="247"/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47"/>
    </row>
    <row r="233" ht="15.75" customHeight="1">
      <c r="A233" s="247"/>
      <c r="B233" s="247"/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47"/>
    </row>
    <row r="234" ht="15.75" customHeight="1">
      <c r="A234" s="247"/>
      <c r="B234" s="247"/>
      <c r="C234" s="247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47"/>
    </row>
    <row r="235" ht="15.75" customHeight="1">
      <c r="A235" s="247"/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</row>
    <row r="236" ht="15.75" customHeight="1">
      <c r="A236" s="247"/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47"/>
    </row>
    <row r="237" ht="15.75" customHeight="1">
      <c r="A237" s="247"/>
      <c r="B237" s="247"/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</row>
    <row r="238" ht="15.75" customHeight="1">
      <c r="A238" s="247"/>
      <c r="B238" s="247"/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47"/>
    </row>
    <row r="239" ht="15.75" customHeight="1">
      <c r="A239" s="247"/>
      <c r="B239" s="247"/>
      <c r="C239" s="247"/>
      <c r="D239" s="247"/>
      <c r="E239" s="247"/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47"/>
    </row>
    <row r="240" ht="15.75" customHeight="1">
      <c r="A240" s="247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</row>
    <row r="241" ht="15.75" customHeight="1">
      <c r="A241" s="247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</row>
    <row r="242" ht="15.75" customHeight="1">
      <c r="A242" s="247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</row>
    <row r="243" ht="15.75" customHeight="1">
      <c r="A243" s="247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</row>
    <row r="244" ht="15.75" customHeight="1">
      <c r="A244" s="247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</row>
    <row r="245" ht="15.75" customHeight="1">
      <c r="A245" s="247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</row>
    <row r="246" ht="15.75" customHeight="1">
      <c r="A246" s="247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</row>
    <row r="247" ht="15.75" customHeight="1">
      <c r="A247" s="247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</row>
    <row r="248" ht="15.75" customHeight="1">
      <c r="A248" s="247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</row>
    <row r="249" ht="15.75" customHeight="1">
      <c r="A249" s="247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</row>
    <row r="250" ht="15.75" customHeight="1">
      <c r="A250" s="247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</row>
    <row r="251" ht="15.75" customHeight="1">
      <c r="A251" s="247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</row>
    <row r="252" ht="15.75" customHeight="1">
      <c r="A252" s="247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</row>
    <row r="253" ht="15.75" customHeight="1">
      <c r="A253" s="247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</row>
    <row r="254" ht="15.75" customHeight="1">
      <c r="A254" s="247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</row>
    <row r="255" ht="15.75" customHeight="1">
      <c r="A255" s="247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</row>
    <row r="256" ht="15.75" customHeight="1">
      <c r="A256" s="247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</row>
    <row r="257" ht="15.75" customHeight="1">
      <c r="A257" s="247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</row>
    <row r="258" ht="15.75" customHeight="1">
      <c r="A258" s="247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</row>
    <row r="259" ht="15.75" customHeight="1">
      <c r="A259" s="247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</row>
    <row r="260" ht="15.75" customHeight="1">
      <c r="A260" s="247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</row>
    <row r="261" ht="15.75" customHeight="1">
      <c r="A261" s="247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</row>
    <row r="262" ht="15.75" customHeight="1">
      <c r="A262" s="247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</row>
    <row r="263" ht="15.75" customHeight="1">
      <c r="A263" s="247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</row>
    <row r="264" ht="15.75" customHeight="1">
      <c r="A264" s="247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</row>
    <row r="265" ht="15.75" customHeight="1">
      <c r="A265" s="247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</row>
    <row r="266" ht="15.75" customHeight="1">
      <c r="A266" s="247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</row>
    <row r="267" ht="15.75" customHeight="1">
      <c r="A267" s="247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</row>
    <row r="268" ht="15.75" customHeight="1">
      <c r="A268" s="247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</row>
    <row r="269" ht="15.75" customHeight="1">
      <c r="A269" s="247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</row>
    <row r="270" ht="15.75" customHeight="1">
      <c r="A270" s="247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</row>
    <row r="271" ht="15.75" customHeight="1">
      <c r="A271" s="247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</row>
    <row r="272" ht="15.75" customHeight="1">
      <c r="A272" s="247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</row>
    <row r="273" ht="15.75" customHeight="1">
      <c r="A273" s="247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</row>
    <row r="274" ht="15.75" customHeight="1">
      <c r="A274" s="247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</row>
    <row r="275" ht="15.75" customHeight="1">
      <c r="A275" s="247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</row>
    <row r="276" ht="15.75" customHeight="1">
      <c r="A276" s="247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</row>
    <row r="277" ht="15.75" customHeight="1">
      <c r="A277" s="247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</row>
    <row r="278" ht="15.75" customHeight="1">
      <c r="A278" s="247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</row>
    <row r="279" ht="15.75" customHeight="1">
      <c r="A279" s="247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</row>
    <row r="280" ht="15.75" customHeight="1">
      <c r="A280" s="247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</row>
    <row r="281" ht="15.75" customHeight="1">
      <c r="A281" s="247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</row>
    <row r="282" ht="15.75" customHeight="1">
      <c r="A282" s="247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</row>
    <row r="283" ht="15.75" customHeight="1">
      <c r="A283" s="247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</row>
    <row r="284" ht="15.75" customHeight="1">
      <c r="A284" s="247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</row>
    <row r="285" ht="15.75" customHeight="1">
      <c r="A285" s="247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</row>
    <row r="286" ht="15.75" customHeight="1">
      <c r="A286" s="247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</row>
    <row r="287" ht="15.75" customHeight="1">
      <c r="A287" s="247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</row>
    <row r="288" ht="15.75" customHeight="1">
      <c r="A288" s="247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</row>
    <row r="289" ht="15.75" customHeight="1">
      <c r="A289" s="247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</row>
    <row r="290" ht="15.75" customHeight="1">
      <c r="A290" s="247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</row>
    <row r="291" ht="15.75" customHeight="1">
      <c r="A291" s="247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</row>
    <row r="292" ht="15.75" customHeight="1">
      <c r="A292" s="247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</row>
    <row r="293" ht="15.75" customHeight="1">
      <c r="A293" s="247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</row>
    <row r="294" ht="15.75" customHeight="1">
      <c r="A294" s="247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</row>
    <row r="295" ht="15.75" customHeight="1">
      <c r="A295" s="247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</row>
    <row r="296" ht="15.75" customHeight="1">
      <c r="A296" s="247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</row>
    <row r="297" ht="15.75" customHeight="1">
      <c r="A297" s="247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</row>
    <row r="298" ht="15.75" customHeight="1">
      <c r="A298" s="247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</row>
    <row r="299" ht="15.75" customHeight="1">
      <c r="A299" s="247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</row>
    <row r="300" ht="15.75" customHeight="1">
      <c r="A300" s="247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</row>
    <row r="301" ht="15.75" customHeight="1">
      <c r="A301" s="247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</row>
    <row r="302" ht="15.75" customHeight="1">
      <c r="A302" s="247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</row>
    <row r="303" ht="15.75" customHeight="1">
      <c r="A303" s="247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</row>
    <row r="304" ht="15.75" customHeight="1">
      <c r="A304" s="247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</row>
    <row r="305" ht="15.75" customHeight="1">
      <c r="A305" s="247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</row>
    <row r="306" ht="15.75" customHeight="1">
      <c r="A306" s="247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</row>
    <row r="307" ht="15.75" customHeight="1">
      <c r="A307" s="247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</row>
    <row r="308" ht="15.75" customHeight="1">
      <c r="A308" s="247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</row>
    <row r="309" ht="15.75" customHeight="1">
      <c r="A309" s="247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</row>
    <row r="310" ht="15.75" customHeight="1">
      <c r="A310" s="247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</row>
    <row r="311" ht="15.75" customHeight="1">
      <c r="A311" s="247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</row>
    <row r="312" ht="15.75" customHeight="1">
      <c r="A312" s="247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</row>
    <row r="313" ht="15.75" customHeight="1">
      <c r="A313" s="247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</row>
    <row r="314" ht="15.75" customHeight="1">
      <c r="A314" s="247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</row>
    <row r="315" ht="15.75" customHeight="1">
      <c r="A315" s="247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</row>
    <row r="316" ht="15.75" customHeight="1">
      <c r="A316" s="247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</row>
    <row r="317" ht="15.75" customHeight="1">
      <c r="A317" s="247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</row>
    <row r="318" ht="15.75" customHeight="1">
      <c r="A318" s="247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</row>
    <row r="319" ht="15.75" customHeight="1">
      <c r="A319" s="247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</row>
    <row r="320" ht="15.75" customHeight="1">
      <c r="A320" s="247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</row>
    <row r="321" ht="15.75" customHeight="1">
      <c r="A321" s="247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</row>
    <row r="322" ht="15.75" customHeight="1">
      <c r="A322" s="247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</row>
    <row r="323" ht="15.75" customHeight="1">
      <c r="A323" s="247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</row>
    <row r="324" ht="15.75" customHeight="1">
      <c r="A324" s="247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</row>
    <row r="325" ht="15.75" customHeight="1">
      <c r="A325" s="247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</row>
    <row r="326" ht="15.75" customHeight="1">
      <c r="A326" s="247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</row>
    <row r="327" ht="15.75" customHeight="1">
      <c r="A327" s="247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</row>
    <row r="328" ht="15.75" customHeight="1">
      <c r="A328" s="247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</row>
    <row r="329" ht="15.75" customHeight="1">
      <c r="A329" s="247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</row>
    <row r="330" ht="15.75" customHeight="1">
      <c r="A330" s="247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</row>
    <row r="331" ht="15.75" customHeight="1">
      <c r="A331" s="247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</row>
    <row r="332" ht="15.75" customHeight="1">
      <c r="A332" s="247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</row>
    <row r="333" ht="15.75" customHeight="1">
      <c r="A333" s="247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</row>
    <row r="334" ht="15.75" customHeight="1">
      <c r="A334" s="247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</row>
    <row r="335" ht="15.75" customHeight="1">
      <c r="A335" s="247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</row>
    <row r="336" ht="15.75" customHeight="1">
      <c r="A336" s="247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</row>
    <row r="337" ht="15.75" customHeight="1">
      <c r="A337" s="247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</row>
    <row r="338" ht="15.75" customHeight="1">
      <c r="A338" s="247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</row>
    <row r="339" ht="15.75" customHeight="1">
      <c r="A339" s="247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</row>
    <row r="340" ht="15.75" customHeight="1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</row>
    <row r="341" ht="15.75" customHeight="1">
      <c r="A341" s="247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</row>
    <row r="342" ht="15.75" customHeight="1">
      <c r="A342" s="247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</row>
    <row r="343" ht="15.75" customHeight="1">
      <c r="A343" s="247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</row>
    <row r="344" ht="15.75" customHeight="1">
      <c r="A344" s="247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</row>
    <row r="345" ht="15.75" customHeight="1">
      <c r="A345" s="247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</row>
    <row r="346" ht="15.75" customHeight="1">
      <c r="A346" s="247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</row>
    <row r="347" ht="15.75" customHeight="1">
      <c r="A347" s="247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</row>
    <row r="348" ht="15.75" customHeight="1">
      <c r="A348" s="247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</row>
    <row r="349" ht="15.75" customHeight="1">
      <c r="A349" s="247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</row>
    <row r="350" ht="15.75" customHeight="1">
      <c r="A350" s="247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</row>
    <row r="351" ht="15.75" customHeight="1">
      <c r="A351" s="247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</row>
    <row r="352" ht="15.75" customHeight="1">
      <c r="A352" s="247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</row>
    <row r="353" ht="15.75" customHeight="1">
      <c r="A353" s="247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</row>
    <row r="354" ht="15.75" customHeight="1">
      <c r="A354" s="247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</row>
    <row r="355" ht="15.75" customHeight="1">
      <c r="A355" s="247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</row>
    <row r="356" ht="15.75" customHeight="1">
      <c r="A356" s="247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</row>
    <row r="357" ht="15.75" customHeight="1">
      <c r="A357" s="247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</row>
    <row r="358" ht="15.75" customHeight="1">
      <c r="A358" s="247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</row>
    <row r="359" ht="15.75" customHeight="1">
      <c r="A359" s="247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</row>
    <row r="360" ht="15.75" customHeight="1">
      <c r="A360" s="247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</row>
    <row r="361" ht="15.75" customHeight="1">
      <c r="A361" s="247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</row>
    <row r="362" ht="15.75" customHeight="1">
      <c r="A362" s="247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</row>
    <row r="363" ht="15.75" customHeight="1">
      <c r="A363" s="247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</row>
    <row r="364" ht="15.75" customHeight="1">
      <c r="A364" s="247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</row>
    <row r="365" ht="15.75" customHeight="1">
      <c r="A365" s="247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</row>
    <row r="366" ht="15.75" customHeight="1">
      <c r="A366" s="247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</row>
    <row r="367" ht="15.75" customHeight="1">
      <c r="A367" s="247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</row>
    <row r="368" ht="15.75" customHeight="1">
      <c r="A368" s="247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</row>
    <row r="369" ht="15.75" customHeight="1">
      <c r="A369" s="247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</row>
    <row r="370" ht="15.75" customHeight="1">
      <c r="A370" s="247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</row>
    <row r="371" ht="15.75" customHeight="1">
      <c r="A371" s="247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</row>
    <row r="372" ht="15.75" customHeight="1">
      <c r="A372" s="247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</row>
    <row r="373" ht="15.75" customHeight="1">
      <c r="A373" s="247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</row>
    <row r="374" ht="15.75" customHeight="1">
      <c r="A374" s="247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</row>
    <row r="375" ht="15.75" customHeight="1">
      <c r="A375" s="247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</row>
    <row r="376" ht="15.75" customHeight="1">
      <c r="A376" s="247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</row>
    <row r="377" ht="15.75" customHeight="1">
      <c r="A377" s="247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</row>
    <row r="378" ht="15.75" customHeight="1">
      <c r="A378" s="247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</row>
    <row r="379" ht="15.75" customHeight="1">
      <c r="A379" s="247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</row>
    <row r="380" ht="15.75" customHeight="1">
      <c r="A380" s="247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</row>
    <row r="381" ht="15.75" customHeight="1">
      <c r="A381" s="247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</row>
    <row r="382" ht="15.75" customHeight="1">
      <c r="A382" s="247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</row>
    <row r="383" ht="15.75" customHeight="1">
      <c r="A383" s="247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</row>
    <row r="384" ht="15.75" customHeight="1">
      <c r="A384" s="247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</row>
    <row r="385" ht="15.75" customHeight="1">
      <c r="A385" s="247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</row>
    <row r="386" ht="15.75" customHeight="1">
      <c r="A386" s="247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</row>
    <row r="387" ht="15.75" customHeight="1">
      <c r="A387" s="247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</row>
    <row r="388" ht="15.75" customHeight="1">
      <c r="A388" s="247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</row>
    <row r="389" ht="15.75" customHeight="1">
      <c r="A389" s="247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</row>
    <row r="390" ht="15.75" customHeight="1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</row>
    <row r="391" ht="15.75" customHeight="1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</row>
    <row r="392" ht="15.75" customHeight="1">
      <c r="A392" s="247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</row>
    <row r="393" ht="15.75" customHeight="1">
      <c r="A393" s="247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</row>
    <row r="394" ht="15.75" customHeight="1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</row>
    <row r="395" ht="15.75" customHeight="1">
      <c r="A395" s="247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</row>
    <row r="396" ht="15.75" customHeight="1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</row>
    <row r="397" ht="15.75" customHeight="1">
      <c r="A397" s="247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</row>
    <row r="398" ht="15.75" customHeight="1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</row>
    <row r="399" ht="15.75" customHeight="1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</row>
    <row r="400" ht="15.75" customHeight="1">
      <c r="A400" s="247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</row>
    <row r="401" ht="15.75" customHeight="1">
      <c r="A401" s="247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</row>
    <row r="402" ht="15.75" customHeight="1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</row>
    <row r="403" ht="15.75" customHeight="1">
      <c r="A403" s="247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</row>
    <row r="404" ht="15.75" customHeight="1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</row>
    <row r="405" ht="15.75" customHeight="1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</row>
    <row r="406" ht="15.75" customHeight="1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</row>
    <row r="407" ht="15.75" customHeight="1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</row>
    <row r="408" ht="15.75" customHeight="1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</row>
    <row r="409" ht="15.75" customHeight="1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</row>
    <row r="410" ht="15.75" customHeight="1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</row>
    <row r="411" ht="15.75" customHeight="1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</row>
    <row r="412" ht="15.75" customHeight="1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</row>
    <row r="413" ht="15.75" customHeight="1">
      <c r="A413" s="247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</row>
    <row r="414" ht="15.75" customHeight="1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</row>
    <row r="415" ht="15.75" customHeight="1">
      <c r="A415" s="247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</row>
    <row r="416" ht="15.75" customHeight="1">
      <c r="A416" s="247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</row>
    <row r="417" ht="15.75" customHeight="1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</row>
    <row r="418" ht="15.75" customHeight="1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</row>
    <row r="419" ht="15.75" customHeight="1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</row>
    <row r="420" ht="15.75" customHeight="1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</row>
    <row r="421" ht="15.75" customHeight="1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</row>
    <row r="422" ht="15.75" customHeight="1">
      <c r="A422" s="247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</row>
    <row r="423" ht="15.75" customHeight="1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</row>
    <row r="424" ht="15.75" customHeight="1">
      <c r="A424" s="247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</row>
    <row r="425" ht="15.75" customHeight="1">
      <c r="A425" s="247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</row>
    <row r="426" ht="15.75" customHeight="1">
      <c r="A426" s="247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</row>
    <row r="427" ht="15.75" customHeight="1">
      <c r="A427" s="247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</row>
    <row r="428" ht="15.75" customHeight="1">
      <c r="A428" s="247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</row>
    <row r="429" ht="15.75" customHeight="1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</row>
    <row r="430" ht="15.75" customHeight="1">
      <c r="A430" s="247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</row>
    <row r="431" ht="15.75" customHeight="1">
      <c r="A431" s="247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</row>
    <row r="432" ht="15.75" customHeight="1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</row>
    <row r="433" ht="15.75" customHeight="1">
      <c r="A433" s="247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</row>
    <row r="434" ht="15.75" customHeight="1">
      <c r="A434" s="247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</row>
    <row r="435" ht="15.75" customHeight="1">
      <c r="A435" s="247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</row>
    <row r="436" ht="15.75" customHeight="1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</row>
    <row r="437" ht="15.75" customHeight="1">
      <c r="A437" s="247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</row>
    <row r="438" ht="15.75" customHeight="1">
      <c r="A438" s="247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</row>
    <row r="439" ht="15.75" customHeight="1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</row>
    <row r="440" ht="15.75" customHeight="1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</row>
    <row r="441" ht="15.75" customHeight="1">
      <c r="A441" s="247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</row>
    <row r="442" ht="15.75" customHeight="1">
      <c r="A442" s="247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</row>
    <row r="443" ht="15.75" customHeight="1">
      <c r="A443" s="247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</row>
    <row r="444" ht="15.75" customHeight="1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</row>
    <row r="445" ht="15.75" customHeight="1">
      <c r="A445" s="247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</row>
    <row r="446" ht="15.75" customHeight="1">
      <c r="A446" s="247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</row>
    <row r="447" ht="15.75" customHeight="1">
      <c r="A447" s="247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</row>
    <row r="448" ht="15.75" customHeight="1">
      <c r="A448" s="247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</row>
    <row r="449" ht="15.75" customHeight="1">
      <c r="A449" s="247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</row>
    <row r="450" ht="15.75" customHeight="1">
      <c r="A450" s="247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</row>
    <row r="451" ht="15.75" customHeight="1">
      <c r="A451" s="247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</row>
    <row r="452" ht="15.75" customHeight="1">
      <c r="A452" s="247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</row>
    <row r="453" ht="15.75" customHeight="1">
      <c r="A453" s="247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</row>
    <row r="454" ht="15.75" customHeight="1">
      <c r="A454" s="247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</row>
    <row r="455" ht="15.75" customHeight="1">
      <c r="A455" s="247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</row>
    <row r="456" ht="15.75" customHeight="1">
      <c r="A456" s="247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</row>
    <row r="457" ht="15.75" customHeight="1">
      <c r="A457" s="247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</row>
    <row r="458" ht="15.75" customHeight="1">
      <c r="A458" s="247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</row>
    <row r="459" ht="15.75" customHeight="1">
      <c r="A459" s="247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</row>
    <row r="460" ht="15.75" customHeight="1">
      <c r="A460" s="247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</row>
    <row r="461" ht="15.75" customHeight="1">
      <c r="A461" s="247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</row>
    <row r="462" ht="15.75" customHeight="1">
      <c r="A462" s="247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</row>
    <row r="463" ht="15.75" customHeight="1">
      <c r="A463" s="247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</row>
    <row r="464" ht="15.75" customHeight="1">
      <c r="A464" s="247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</row>
    <row r="465" ht="15.75" customHeight="1">
      <c r="A465" s="247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</row>
    <row r="466" ht="15.75" customHeight="1">
      <c r="A466" s="247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</row>
    <row r="467" ht="15.75" customHeight="1">
      <c r="A467" s="247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</row>
    <row r="468" ht="15.75" customHeight="1">
      <c r="A468" s="247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</row>
    <row r="469" ht="15.75" customHeight="1">
      <c r="A469" s="247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</row>
    <row r="470" ht="15.75" customHeight="1">
      <c r="A470" s="247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</row>
    <row r="471" ht="15.75" customHeight="1">
      <c r="A471" s="247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</row>
    <row r="472" ht="15.75" customHeight="1">
      <c r="A472" s="247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</row>
    <row r="473" ht="15.75" customHeight="1">
      <c r="A473" s="247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</row>
    <row r="474" ht="15.75" customHeight="1">
      <c r="A474" s="247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</row>
    <row r="475" ht="15.75" customHeight="1">
      <c r="A475" s="247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</row>
    <row r="476" ht="15.75" customHeight="1">
      <c r="A476" s="247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</row>
    <row r="477" ht="15.75" customHeight="1">
      <c r="A477" s="247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</row>
    <row r="478" ht="15.75" customHeight="1">
      <c r="A478" s="247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</row>
    <row r="479" ht="15.75" customHeight="1">
      <c r="A479" s="247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</row>
    <row r="480" ht="15.75" customHeight="1">
      <c r="A480" s="247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</row>
    <row r="481" ht="15.75" customHeight="1">
      <c r="A481" s="247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</row>
    <row r="482" ht="15.75" customHeight="1">
      <c r="A482" s="247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</row>
    <row r="483" ht="15.75" customHeight="1">
      <c r="A483" s="247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</row>
    <row r="484" ht="15.75" customHeight="1">
      <c r="A484" s="247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</row>
    <row r="485" ht="15.75" customHeight="1">
      <c r="A485" s="247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</row>
    <row r="486" ht="15.75" customHeight="1">
      <c r="A486" s="247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</row>
    <row r="487" ht="15.75" customHeight="1">
      <c r="A487" s="247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</row>
    <row r="488" ht="15.75" customHeight="1">
      <c r="A488" s="247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</row>
    <row r="489" ht="15.75" customHeight="1">
      <c r="A489" s="247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</row>
    <row r="490" ht="15.75" customHeight="1">
      <c r="A490" s="247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</row>
    <row r="491" ht="15.75" customHeight="1">
      <c r="A491" s="247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</row>
    <row r="492" ht="15.75" customHeight="1">
      <c r="A492" s="247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</row>
    <row r="493" ht="15.75" customHeight="1">
      <c r="A493" s="247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</row>
    <row r="494" ht="15.75" customHeight="1">
      <c r="A494" s="247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</row>
    <row r="495" ht="15.75" customHeight="1">
      <c r="A495" s="247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</row>
    <row r="496" ht="15.75" customHeight="1">
      <c r="A496" s="247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</row>
    <row r="497" ht="15.75" customHeight="1">
      <c r="A497" s="247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</row>
    <row r="498" ht="15.75" customHeight="1">
      <c r="A498" s="247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</row>
    <row r="499" ht="15.75" customHeight="1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</row>
    <row r="500" ht="15.75" customHeight="1">
      <c r="A500" s="247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</row>
    <row r="501" ht="15.75" customHeight="1">
      <c r="A501" s="247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</row>
    <row r="502" ht="15.75" customHeight="1">
      <c r="A502" s="247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</row>
    <row r="503" ht="15.75" customHeight="1">
      <c r="A503" s="247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</row>
    <row r="504" ht="15.75" customHeight="1">
      <c r="A504" s="247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</row>
    <row r="505" ht="15.75" customHeight="1">
      <c r="A505" s="247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</row>
    <row r="506" ht="15.75" customHeight="1">
      <c r="A506" s="247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</row>
    <row r="507" ht="15.75" customHeight="1">
      <c r="A507" s="247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</row>
    <row r="508" ht="15.75" customHeight="1">
      <c r="A508" s="247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</row>
    <row r="509" ht="15.75" customHeight="1">
      <c r="A509" s="247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</row>
    <row r="510" ht="15.75" customHeight="1">
      <c r="A510" s="247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</row>
    <row r="511" ht="15.75" customHeight="1">
      <c r="A511" s="247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</row>
    <row r="512" ht="15.75" customHeight="1">
      <c r="A512" s="247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</row>
    <row r="513" ht="15.75" customHeight="1">
      <c r="A513" s="247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</row>
    <row r="514" ht="15.75" customHeight="1">
      <c r="A514" s="247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</row>
    <row r="515" ht="15.75" customHeight="1">
      <c r="A515" s="247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</row>
    <row r="516" ht="15.75" customHeight="1">
      <c r="A516" s="247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</row>
    <row r="517" ht="15.75" customHeight="1">
      <c r="A517" s="247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</row>
    <row r="518" ht="15.75" customHeight="1">
      <c r="A518" s="247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</row>
    <row r="519" ht="15.75" customHeight="1">
      <c r="A519" s="247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</row>
    <row r="520" ht="15.75" customHeight="1">
      <c r="A520" s="247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</row>
    <row r="521" ht="15.75" customHeight="1">
      <c r="A521" s="247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</row>
    <row r="522" ht="15.75" customHeight="1">
      <c r="A522" s="247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</row>
    <row r="523" ht="15.75" customHeight="1">
      <c r="A523" s="247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</row>
    <row r="524" ht="15.75" customHeight="1">
      <c r="A524" s="247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</row>
    <row r="525" ht="15.75" customHeight="1">
      <c r="A525" s="247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</row>
    <row r="526" ht="15.75" customHeight="1">
      <c r="A526" s="247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</row>
    <row r="527" ht="15.75" customHeight="1">
      <c r="A527" s="247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</row>
    <row r="528" ht="15.75" customHeight="1">
      <c r="A528" s="247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</row>
    <row r="529" ht="15.75" customHeight="1">
      <c r="A529" s="247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</row>
    <row r="530" ht="15.75" customHeight="1">
      <c r="A530" s="247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</row>
    <row r="531" ht="15.75" customHeight="1">
      <c r="A531" s="247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</row>
    <row r="532" ht="15.75" customHeight="1">
      <c r="A532" s="247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</row>
    <row r="533" ht="15.75" customHeight="1">
      <c r="A533" s="247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</row>
    <row r="534" ht="15.75" customHeight="1">
      <c r="A534" s="247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</row>
    <row r="535" ht="15.75" customHeight="1">
      <c r="A535" s="247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</row>
    <row r="536" ht="15.75" customHeight="1">
      <c r="A536" s="247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</row>
    <row r="537" ht="15.75" customHeight="1">
      <c r="A537" s="247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</row>
    <row r="538" ht="15.75" customHeight="1">
      <c r="A538" s="247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</row>
    <row r="539" ht="15.75" customHeight="1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</row>
    <row r="540" ht="15.75" customHeight="1">
      <c r="A540" s="247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</row>
    <row r="541" ht="15.75" customHeight="1">
      <c r="A541" s="247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</row>
    <row r="542" ht="15.75" customHeight="1">
      <c r="A542" s="247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</row>
    <row r="543" ht="15.75" customHeight="1">
      <c r="A543" s="247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</row>
    <row r="544" ht="15.75" customHeight="1">
      <c r="A544" s="247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</row>
    <row r="545" ht="15.75" customHeight="1">
      <c r="A545" s="247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</row>
    <row r="546" ht="15.75" customHeight="1">
      <c r="A546" s="247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</row>
    <row r="547" ht="15.75" customHeight="1">
      <c r="A547" s="247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</row>
    <row r="548" ht="15.75" customHeight="1">
      <c r="A548" s="247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</row>
    <row r="549" ht="15.75" customHeight="1">
      <c r="A549" s="247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</row>
    <row r="550" ht="15.75" customHeight="1">
      <c r="A550" s="247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</row>
    <row r="551" ht="15.75" customHeight="1">
      <c r="A551" s="247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</row>
    <row r="552" ht="15.75" customHeight="1">
      <c r="A552" s="247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</row>
    <row r="553" ht="15.75" customHeight="1">
      <c r="A553" s="247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</row>
    <row r="554" ht="15.75" customHeight="1">
      <c r="A554" s="247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</row>
    <row r="555" ht="15.75" customHeight="1">
      <c r="A555" s="247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</row>
    <row r="556" ht="15.75" customHeight="1">
      <c r="A556" s="247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</row>
    <row r="557" ht="15.75" customHeight="1">
      <c r="A557" s="247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</row>
    <row r="558" ht="15.75" customHeight="1">
      <c r="A558" s="247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</row>
    <row r="559" ht="15.75" customHeight="1">
      <c r="A559" s="247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</row>
    <row r="560" ht="15.75" customHeight="1">
      <c r="A560" s="247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</row>
    <row r="561" ht="15.75" customHeight="1">
      <c r="A561" s="247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</row>
    <row r="562" ht="15.75" customHeight="1">
      <c r="A562" s="247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</row>
    <row r="563" ht="15.75" customHeight="1">
      <c r="A563" s="247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</row>
    <row r="564" ht="15.75" customHeight="1">
      <c r="A564" s="247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</row>
    <row r="565" ht="15.75" customHeight="1">
      <c r="A565" s="247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</row>
    <row r="566" ht="15.75" customHeight="1">
      <c r="A566" s="247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</row>
    <row r="567" ht="15.75" customHeight="1">
      <c r="A567" s="247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</row>
    <row r="568" ht="15.75" customHeight="1">
      <c r="A568" s="247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</row>
    <row r="569" ht="15.75" customHeight="1">
      <c r="A569" s="247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</row>
    <row r="570" ht="15.75" customHeight="1">
      <c r="A570" s="247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</row>
    <row r="571" ht="15.75" customHeight="1">
      <c r="A571" s="247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</row>
    <row r="572" ht="15.75" customHeight="1">
      <c r="A572" s="247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</row>
    <row r="573" ht="15.75" customHeight="1">
      <c r="A573" s="247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</row>
    <row r="574" ht="15.75" customHeight="1">
      <c r="A574" s="247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</row>
    <row r="575" ht="15.75" customHeight="1">
      <c r="A575" s="247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</row>
    <row r="576" ht="15.75" customHeight="1">
      <c r="A576" s="247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</row>
    <row r="577" ht="15.75" customHeight="1">
      <c r="A577" s="247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</row>
    <row r="578" ht="15.75" customHeight="1">
      <c r="A578" s="247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</row>
    <row r="579" ht="15.75" customHeight="1">
      <c r="A579" s="247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</row>
    <row r="580" ht="15.75" customHeight="1">
      <c r="A580" s="247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</row>
    <row r="581" ht="15.75" customHeight="1">
      <c r="A581" s="247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</row>
    <row r="582" ht="15.75" customHeight="1">
      <c r="A582" s="247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</row>
    <row r="583" ht="15.75" customHeight="1">
      <c r="A583" s="247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</row>
    <row r="584" ht="15.75" customHeight="1">
      <c r="A584" s="247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</row>
    <row r="585" ht="15.75" customHeight="1">
      <c r="A585" s="247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</row>
    <row r="586" ht="15.75" customHeight="1">
      <c r="A586" s="247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</row>
    <row r="587" ht="15.75" customHeight="1">
      <c r="A587" s="247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</row>
    <row r="588" ht="15.75" customHeight="1">
      <c r="A588" s="247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</row>
    <row r="589" ht="15.75" customHeight="1">
      <c r="A589" s="247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</row>
    <row r="590" ht="15.75" customHeight="1">
      <c r="A590" s="247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</row>
    <row r="591" ht="15.75" customHeight="1">
      <c r="A591" s="247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</row>
    <row r="592" ht="15.75" customHeight="1">
      <c r="A592" s="247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</row>
    <row r="593" ht="15.75" customHeight="1">
      <c r="A593" s="247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</row>
    <row r="594" ht="15.75" customHeight="1">
      <c r="A594" s="247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</row>
    <row r="595" ht="15.75" customHeight="1">
      <c r="A595" s="247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</row>
    <row r="596" ht="15.75" customHeight="1">
      <c r="A596" s="247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</row>
    <row r="597" ht="15.75" customHeight="1">
      <c r="A597" s="247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</row>
    <row r="598" ht="15.75" customHeight="1">
      <c r="A598" s="247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</row>
    <row r="599" ht="15.75" customHeight="1">
      <c r="A599" s="247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</row>
    <row r="600" ht="15.75" customHeight="1">
      <c r="A600" s="247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</row>
    <row r="601" ht="15.75" customHeight="1">
      <c r="A601" s="247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</row>
    <row r="602" ht="15.75" customHeight="1">
      <c r="A602" s="247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</row>
    <row r="603" ht="15.75" customHeight="1">
      <c r="A603" s="247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</row>
    <row r="604" ht="15.75" customHeight="1">
      <c r="A604" s="247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</row>
    <row r="605" ht="15.75" customHeight="1">
      <c r="A605" s="247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</row>
    <row r="606" ht="15.75" customHeight="1">
      <c r="A606" s="247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</row>
    <row r="607" ht="15.75" customHeight="1">
      <c r="A607" s="247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</row>
    <row r="608" ht="15.75" customHeight="1">
      <c r="A608" s="247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</row>
    <row r="609" ht="15.75" customHeight="1">
      <c r="A609" s="247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</row>
    <row r="610" ht="15.75" customHeight="1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</row>
    <row r="611" ht="15.75" customHeight="1">
      <c r="A611" s="247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</row>
    <row r="612" ht="15.75" customHeight="1">
      <c r="A612" s="247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</row>
    <row r="613" ht="15.75" customHeight="1">
      <c r="A613" s="247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</row>
    <row r="614" ht="15.75" customHeight="1">
      <c r="A614" s="247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</row>
    <row r="615" ht="15.75" customHeight="1">
      <c r="A615" s="247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</row>
    <row r="616" ht="15.75" customHeight="1">
      <c r="A616" s="247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</row>
    <row r="617" ht="15.75" customHeight="1">
      <c r="A617" s="247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</row>
    <row r="618" ht="15.75" customHeight="1">
      <c r="A618" s="247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</row>
    <row r="619" ht="15.75" customHeight="1">
      <c r="A619" s="247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</row>
    <row r="620" ht="15.75" customHeight="1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</row>
    <row r="621" ht="15.75" customHeight="1">
      <c r="A621" s="247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</row>
    <row r="622" ht="15.75" customHeight="1">
      <c r="A622" s="247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</row>
    <row r="623" ht="15.75" customHeight="1">
      <c r="A623" s="247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</row>
    <row r="624" ht="15.75" customHeight="1">
      <c r="A624" s="247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</row>
    <row r="625" ht="15.75" customHeight="1">
      <c r="A625" s="247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</row>
    <row r="626" ht="15.75" customHeight="1">
      <c r="A626" s="247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</row>
    <row r="627" ht="15.75" customHeight="1">
      <c r="A627" s="247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</row>
    <row r="628" ht="15.75" customHeight="1">
      <c r="A628" s="247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</row>
    <row r="629" ht="15.75" customHeight="1">
      <c r="A629" s="247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</row>
    <row r="630" ht="15.75" customHeight="1">
      <c r="A630" s="247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</row>
    <row r="631" ht="15.75" customHeight="1">
      <c r="A631" s="247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</row>
    <row r="632" ht="15.75" customHeight="1">
      <c r="A632" s="247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</row>
    <row r="633" ht="15.75" customHeight="1">
      <c r="A633" s="247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</row>
    <row r="634" ht="15.75" customHeight="1">
      <c r="A634" s="247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</row>
    <row r="635" ht="15.75" customHeight="1">
      <c r="A635" s="247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</row>
    <row r="636" ht="15.75" customHeight="1">
      <c r="A636" s="247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</row>
    <row r="637" ht="15.75" customHeight="1">
      <c r="A637" s="247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</row>
    <row r="638" ht="15.75" customHeight="1">
      <c r="A638" s="247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</row>
    <row r="639" ht="15.75" customHeight="1">
      <c r="A639" s="247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</row>
    <row r="640" ht="15.75" customHeight="1">
      <c r="A640" s="247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</row>
    <row r="641" ht="15.75" customHeight="1">
      <c r="A641" s="247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</row>
    <row r="642" ht="15.75" customHeight="1">
      <c r="A642" s="247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</row>
    <row r="643" ht="15.75" customHeight="1">
      <c r="A643" s="247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</row>
    <row r="644" ht="15.75" customHeight="1">
      <c r="A644" s="247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</row>
    <row r="645" ht="15.75" customHeight="1">
      <c r="A645" s="247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</row>
    <row r="646" ht="15.75" customHeight="1">
      <c r="A646" s="247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</row>
    <row r="647" ht="15.75" customHeight="1">
      <c r="A647" s="247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</row>
    <row r="648" ht="15.75" customHeight="1">
      <c r="A648" s="247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</row>
    <row r="649" ht="15.75" customHeight="1">
      <c r="A649" s="247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</row>
    <row r="650" ht="15.75" customHeight="1">
      <c r="A650" s="247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</row>
    <row r="651" ht="15.75" customHeight="1">
      <c r="A651" s="247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</row>
    <row r="652" ht="15.75" customHeight="1">
      <c r="A652" s="247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</row>
    <row r="653" ht="15.75" customHeight="1">
      <c r="A653" s="247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</row>
    <row r="654" ht="15.75" customHeight="1">
      <c r="A654" s="247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</row>
    <row r="655" ht="15.75" customHeight="1">
      <c r="A655" s="247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</row>
    <row r="656" ht="15.75" customHeight="1">
      <c r="A656" s="247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</row>
    <row r="657" ht="15.75" customHeight="1">
      <c r="A657" s="247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</row>
    <row r="658" ht="15.75" customHeight="1">
      <c r="A658" s="247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</row>
    <row r="659" ht="15.75" customHeight="1">
      <c r="A659" s="247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</row>
    <row r="660" ht="15.75" customHeight="1">
      <c r="A660" s="247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</row>
    <row r="661" ht="15.75" customHeight="1">
      <c r="A661" s="247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</row>
    <row r="662" ht="15.75" customHeight="1">
      <c r="A662" s="247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</row>
    <row r="663" ht="15.75" customHeight="1">
      <c r="A663" s="247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</row>
    <row r="664" ht="15.75" customHeight="1">
      <c r="A664" s="247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</row>
    <row r="665" ht="15.75" customHeight="1">
      <c r="A665" s="247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</row>
    <row r="666" ht="15.75" customHeight="1">
      <c r="A666" s="247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</row>
    <row r="667" ht="15.75" customHeight="1">
      <c r="A667" s="247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</row>
    <row r="668" ht="15.75" customHeight="1">
      <c r="A668" s="247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</row>
    <row r="669" ht="15.75" customHeight="1">
      <c r="A669" s="247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</row>
    <row r="670" ht="15.75" customHeight="1">
      <c r="A670" s="247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</row>
    <row r="671" ht="15.75" customHeight="1">
      <c r="A671" s="247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</row>
    <row r="672" ht="15.75" customHeight="1">
      <c r="A672" s="247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</row>
    <row r="673" ht="15.75" customHeight="1">
      <c r="A673" s="247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</row>
    <row r="674" ht="15.75" customHeight="1">
      <c r="A674" s="247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</row>
    <row r="675" ht="15.75" customHeight="1">
      <c r="A675" s="247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</row>
    <row r="676" ht="15.75" customHeight="1">
      <c r="A676" s="247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</row>
    <row r="677" ht="15.75" customHeight="1">
      <c r="A677" s="247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</row>
    <row r="678" ht="15.75" customHeight="1">
      <c r="A678" s="247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</row>
    <row r="679" ht="15.75" customHeight="1">
      <c r="A679" s="247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</row>
    <row r="680" ht="15.75" customHeight="1">
      <c r="A680" s="247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</row>
    <row r="681" ht="15.75" customHeight="1">
      <c r="A681" s="247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</row>
    <row r="682" ht="15.75" customHeight="1">
      <c r="A682" s="247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</row>
    <row r="683" ht="15.75" customHeight="1">
      <c r="A683" s="247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</row>
    <row r="684" ht="15.75" customHeight="1">
      <c r="A684" s="247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</row>
    <row r="685" ht="15.75" customHeight="1">
      <c r="A685" s="247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</row>
    <row r="686" ht="15.75" customHeight="1">
      <c r="A686" s="247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</row>
    <row r="687" ht="15.75" customHeight="1">
      <c r="A687" s="247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</row>
    <row r="688" ht="15.75" customHeight="1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</row>
    <row r="689" ht="15.75" customHeight="1">
      <c r="A689" s="247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</row>
    <row r="690" ht="15.75" customHeight="1">
      <c r="A690" s="247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</row>
    <row r="691" ht="15.75" customHeight="1">
      <c r="A691" s="247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</row>
    <row r="692" ht="15.75" customHeight="1">
      <c r="A692" s="247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</row>
    <row r="693" ht="15.75" customHeight="1">
      <c r="A693" s="247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</row>
    <row r="694" ht="15.75" customHeight="1">
      <c r="A694" s="247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</row>
    <row r="695" ht="15.75" customHeight="1">
      <c r="A695" s="247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</row>
    <row r="696" ht="15.75" customHeight="1">
      <c r="A696" s="247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</row>
    <row r="697" ht="15.75" customHeight="1">
      <c r="A697" s="247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</row>
    <row r="698" ht="15.75" customHeight="1">
      <c r="A698" s="247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</row>
    <row r="699" ht="15.75" customHeight="1">
      <c r="A699" s="247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</row>
    <row r="700" ht="15.75" customHeight="1">
      <c r="A700" s="247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</row>
    <row r="701" ht="15.75" customHeight="1">
      <c r="A701" s="247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</row>
    <row r="702" ht="15.75" customHeight="1">
      <c r="A702" s="247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</row>
    <row r="703" ht="15.75" customHeight="1">
      <c r="A703" s="247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</row>
    <row r="704" ht="15.75" customHeight="1">
      <c r="A704" s="247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</row>
    <row r="705" ht="15.75" customHeight="1">
      <c r="A705" s="247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</row>
    <row r="706" ht="15.75" customHeight="1">
      <c r="A706" s="247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</row>
    <row r="707" ht="15.75" customHeight="1">
      <c r="A707" s="247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</row>
    <row r="708" ht="15.75" customHeight="1">
      <c r="A708" s="247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</row>
    <row r="709" ht="15.75" customHeight="1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</row>
    <row r="710" ht="15.75" customHeight="1">
      <c r="A710" s="247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</row>
    <row r="711" ht="15.75" customHeight="1">
      <c r="A711" s="247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</row>
    <row r="712" ht="15.75" customHeight="1">
      <c r="A712" s="247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</row>
    <row r="713" ht="15.75" customHeight="1">
      <c r="A713" s="247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</row>
    <row r="714" ht="15.75" customHeight="1">
      <c r="A714" s="247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</row>
    <row r="715" ht="15.75" customHeight="1">
      <c r="A715" s="247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</row>
    <row r="716" ht="15.75" customHeight="1">
      <c r="A716" s="247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</row>
    <row r="717" ht="15.75" customHeight="1">
      <c r="A717" s="247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</row>
    <row r="718" ht="15.75" customHeight="1">
      <c r="A718" s="247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</row>
    <row r="719" ht="15.75" customHeight="1">
      <c r="A719" s="247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</row>
    <row r="720" ht="15.75" customHeight="1">
      <c r="A720" s="247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</row>
    <row r="721" ht="15.75" customHeight="1">
      <c r="A721" s="247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</row>
    <row r="722" ht="15.75" customHeight="1">
      <c r="A722" s="247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</row>
    <row r="723" ht="15.75" customHeight="1">
      <c r="A723" s="247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</row>
    <row r="724" ht="15.75" customHeight="1">
      <c r="A724" s="247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</row>
    <row r="725" ht="15.75" customHeight="1">
      <c r="A725" s="247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</row>
    <row r="726" ht="15.75" customHeight="1">
      <c r="A726" s="247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</row>
    <row r="727" ht="15.75" customHeight="1">
      <c r="A727" s="247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</row>
    <row r="728" ht="15.75" customHeight="1">
      <c r="A728" s="247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</row>
    <row r="729" ht="15.75" customHeight="1">
      <c r="A729" s="247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</row>
    <row r="730" ht="15.75" customHeight="1">
      <c r="A730" s="247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</row>
    <row r="731" ht="15.75" customHeight="1">
      <c r="A731" s="247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</row>
    <row r="732" ht="15.75" customHeight="1">
      <c r="A732" s="247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</row>
    <row r="733" ht="15.75" customHeight="1">
      <c r="A733" s="247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</row>
    <row r="734" ht="15.75" customHeight="1">
      <c r="A734" s="247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</row>
    <row r="735" ht="15.75" customHeight="1">
      <c r="A735" s="247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</row>
    <row r="736" ht="15.75" customHeight="1">
      <c r="A736" s="247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</row>
    <row r="737" ht="15.75" customHeight="1">
      <c r="A737" s="247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</row>
    <row r="738" ht="15.75" customHeight="1">
      <c r="A738" s="247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</row>
    <row r="739" ht="15.75" customHeight="1">
      <c r="A739" s="247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</row>
    <row r="740" ht="15.75" customHeight="1">
      <c r="A740" s="247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</row>
    <row r="741" ht="15.75" customHeight="1">
      <c r="A741" s="247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</row>
    <row r="742" ht="15.75" customHeight="1">
      <c r="A742" s="247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</row>
    <row r="743" ht="15.75" customHeight="1">
      <c r="A743" s="247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</row>
    <row r="744" ht="15.75" customHeight="1">
      <c r="A744" s="247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</row>
    <row r="745" ht="15.75" customHeight="1">
      <c r="A745" s="247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</row>
    <row r="746" ht="15.75" customHeight="1">
      <c r="A746" s="247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</row>
    <row r="747" ht="15.75" customHeight="1">
      <c r="A747" s="247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</row>
    <row r="748" ht="15.75" customHeight="1">
      <c r="A748" s="247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</row>
    <row r="749" ht="15.75" customHeight="1">
      <c r="A749" s="247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</row>
    <row r="750" ht="15.75" customHeight="1">
      <c r="A750" s="247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</row>
    <row r="751" ht="15.75" customHeight="1">
      <c r="A751" s="247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</row>
    <row r="752" ht="15.75" customHeight="1">
      <c r="A752" s="247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</row>
    <row r="753" ht="15.75" customHeight="1">
      <c r="A753" s="247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</row>
    <row r="754" ht="15.75" customHeight="1">
      <c r="A754" s="247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</row>
    <row r="755" ht="15.75" customHeight="1">
      <c r="A755" s="247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</row>
    <row r="756" ht="15.75" customHeight="1">
      <c r="A756" s="247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</row>
    <row r="757" ht="15.75" customHeight="1">
      <c r="A757" s="247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</row>
    <row r="758" ht="15.75" customHeight="1">
      <c r="A758" s="247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</row>
    <row r="759" ht="15.75" customHeight="1">
      <c r="A759" s="247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</row>
    <row r="760" ht="15.75" customHeight="1">
      <c r="A760" s="247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</row>
    <row r="761" ht="15.75" customHeight="1">
      <c r="A761" s="247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</row>
    <row r="762" ht="15.75" customHeight="1">
      <c r="A762" s="247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</row>
    <row r="763" ht="15.75" customHeight="1">
      <c r="A763" s="247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</row>
    <row r="764" ht="15.75" customHeight="1">
      <c r="A764" s="247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</row>
    <row r="765" ht="15.75" customHeight="1">
      <c r="A765" s="247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</row>
    <row r="766" ht="15.75" customHeight="1">
      <c r="A766" s="247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</row>
    <row r="767" ht="15.75" customHeight="1">
      <c r="A767" s="247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</row>
    <row r="768" ht="15.75" customHeight="1">
      <c r="A768" s="247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</row>
    <row r="769" ht="15.75" customHeight="1">
      <c r="A769" s="247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</row>
    <row r="770" ht="15.75" customHeight="1">
      <c r="A770" s="247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</row>
    <row r="771" ht="15.75" customHeight="1">
      <c r="A771" s="247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</row>
    <row r="772" ht="15.75" customHeight="1">
      <c r="A772" s="247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</row>
    <row r="773" ht="15.75" customHeight="1">
      <c r="A773" s="247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</row>
    <row r="774" ht="15.75" customHeight="1">
      <c r="A774" s="247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</row>
    <row r="775" ht="15.75" customHeight="1">
      <c r="A775" s="247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</row>
    <row r="776" ht="15.75" customHeight="1">
      <c r="A776" s="247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</row>
    <row r="777" ht="15.75" customHeight="1">
      <c r="A777" s="247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</row>
    <row r="778" ht="15.75" customHeight="1">
      <c r="A778" s="247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</row>
    <row r="779" ht="15.75" customHeight="1">
      <c r="A779" s="247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</row>
    <row r="780" ht="15.75" customHeight="1">
      <c r="A780" s="247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</row>
    <row r="781" ht="15.75" customHeight="1">
      <c r="A781" s="247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</row>
    <row r="782" ht="15.75" customHeight="1">
      <c r="A782" s="247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</row>
    <row r="783" ht="15.75" customHeight="1">
      <c r="A783" s="247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</row>
    <row r="784" ht="15.75" customHeight="1">
      <c r="A784" s="247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</row>
    <row r="785" ht="15.75" customHeight="1">
      <c r="A785" s="247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</row>
    <row r="786" ht="15.75" customHeight="1">
      <c r="A786" s="247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</row>
    <row r="787" ht="15.75" customHeight="1">
      <c r="A787" s="247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</row>
    <row r="788" ht="15.75" customHeight="1">
      <c r="A788" s="247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</row>
    <row r="789" ht="15.75" customHeight="1">
      <c r="A789" s="247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</row>
    <row r="790" ht="15.75" customHeight="1">
      <c r="A790" s="247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</row>
    <row r="791" ht="15.75" customHeight="1">
      <c r="A791" s="247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</row>
    <row r="792" ht="15.75" customHeight="1">
      <c r="A792" s="247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</row>
    <row r="793" ht="15.75" customHeight="1">
      <c r="A793" s="247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</row>
    <row r="794" ht="15.75" customHeight="1">
      <c r="A794" s="247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</row>
    <row r="795" ht="15.75" customHeight="1">
      <c r="A795" s="247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</row>
    <row r="796" ht="15.75" customHeight="1">
      <c r="A796" s="247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</row>
    <row r="797" ht="15.75" customHeight="1">
      <c r="A797" s="247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</row>
    <row r="798" ht="15.75" customHeight="1">
      <c r="A798" s="247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</row>
    <row r="799" ht="15.75" customHeight="1">
      <c r="A799" s="247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</row>
    <row r="800" ht="15.75" customHeight="1">
      <c r="A800" s="247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</row>
    <row r="801" ht="15.75" customHeight="1">
      <c r="A801" s="247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</row>
    <row r="802" ht="15.75" customHeight="1">
      <c r="A802" s="247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</row>
    <row r="803" ht="15.75" customHeight="1">
      <c r="A803" s="247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</row>
    <row r="804" ht="15.75" customHeight="1">
      <c r="A804" s="247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</row>
    <row r="805" ht="15.75" customHeight="1">
      <c r="A805" s="247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</row>
    <row r="806" ht="15.75" customHeight="1">
      <c r="A806" s="247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</row>
    <row r="807" ht="15.75" customHeight="1">
      <c r="A807" s="247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</row>
    <row r="808" ht="15.75" customHeight="1">
      <c r="A808" s="247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</row>
    <row r="809" ht="15.75" customHeight="1">
      <c r="A809" s="247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</row>
    <row r="810" ht="15.75" customHeight="1">
      <c r="A810" s="247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</row>
    <row r="811" ht="15.75" customHeight="1">
      <c r="A811" s="247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</row>
    <row r="812" ht="15.75" customHeight="1">
      <c r="A812" s="247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</row>
    <row r="813" ht="15.75" customHeight="1">
      <c r="A813" s="247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</row>
    <row r="814" ht="15.75" customHeight="1">
      <c r="A814" s="247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</row>
    <row r="815" ht="15.75" customHeight="1">
      <c r="A815" s="247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</row>
    <row r="816" ht="15.75" customHeight="1">
      <c r="A816" s="247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</row>
    <row r="817" ht="15.75" customHeight="1">
      <c r="A817" s="247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</row>
    <row r="818" ht="15.75" customHeight="1">
      <c r="A818" s="247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</row>
    <row r="819" ht="15.75" customHeight="1">
      <c r="A819" s="247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</row>
    <row r="820" ht="15.75" customHeight="1">
      <c r="A820" s="247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</row>
    <row r="821" ht="15.75" customHeight="1">
      <c r="A821" s="247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</row>
    <row r="822" ht="15.75" customHeight="1">
      <c r="A822" s="247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</row>
    <row r="823" ht="15.75" customHeight="1">
      <c r="A823" s="247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</row>
    <row r="824" ht="15.75" customHeight="1">
      <c r="A824" s="247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</row>
    <row r="825" ht="15.75" customHeight="1">
      <c r="A825" s="247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</row>
    <row r="826" ht="15.75" customHeight="1">
      <c r="A826" s="247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</row>
    <row r="827" ht="15.75" customHeight="1">
      <c r="A827" s="247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</row>
    <row r="828" ht="15.75" customHeight="1">
      <c r="A828" s="247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</row>
    <row r="829" ht="15.75" customHeight="1">
      <c r="A829" s="247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</row>
    <row r="830" ht="15.75" customHeight="1">
      <c r="A830" s="247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</row>
    <row r="831" ht="15.75" customHeight="1">
      <c r="A831" s="247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</row>
    <row r="832" ht="15.75" customHeight="1">
      <c r="A832" s="247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</row>
    <row r="833" ht="15.75" customHeight="1">
      <c r="A833" s="247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</row>
    <row r="834" ht="15.75" customHeight="1">
      <c r="A834" s="247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</row>
    <row r="835" ht="15.75" customHeight="1">
      <c r="A835" s="247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</row>
    <row r="836" ht="15.75" customHeight="1">
      <c r="A836" s="247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</row>
    <row r="837" ht="15.75" customHeight="1">
      <c r="A837" s="247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</row>
    <row r="838" ht="15.75" customHeight="1">
      <c r="A838" s="247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</row>
    <row r="839" ht="15.75" customHeight="1">
      <c r="A839" s="247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</row>
    <row r="840" ht="15.75" customHeight="1">
      <c r="A840" s="247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</row>
    <row r="841" ht="15.75" customHeight="1">
      <c r="A841" s="247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</row>
    <row r="842" ht="15.75" customHeight="1">
      <c r="A842" s="247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</row>
    <row r="843" ht="15.75" customHeight="1">
      <c r="A843" s="247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</row>
    <row r="844" ht="15.75" customHeight="1">
      <c r="A844" s="247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</row>
    <row r="845" ht="15.75" customHeight="1">
      <c r="A845" s="247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</row>
    <row r="846" ht="15.75" customHeight="1">
      <c r="A846" s="247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</row>
    <row r="847" ht="15.75" customHeight="1">
      <c r="A847" s="247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</row>
    <row r="848" ht="15.75" customHeight="1">
      <c r="A848" s="247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</row>
    <row r="849" ht="15.75" customHeight="1">
      <c r="A849" s="247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</row>
    <row r="850" ht="15.75" customHeight="1">
      <c r="A850" s="247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</row>
    <row r="851" ht="15.75" customHeight="1">
      <c r="A851" s="247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</row>
    <row r="852" ht="15.75" customHeight="1">
      <c r="A852" s="247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</row>
    <row r="853" ht="15.75" customHeight="1">
      <c r="A853" s="247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</row>
    <row r="854" ht="15.75" customHeight="1">
      <c r="A854" s="247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</row>
    <row r="855" ht="15.75" customHeight="1">
      <c r="A855" s="247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</row>
    <row r="856" ht="15.75" customHeight="1">
      <c r="A856" s="247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</row>
    <row r="857" ht="15.75" customHeight="1">
      <c r="A857" s="247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</row>
    <row r="858" ht="15.75" customHeight="1">
      <c r="A858" s="247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</row>
    <row r="859" ht="15.75" customHeight="1">
      <c r="A859" s="247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</row>
    <row r="860" ht="15.75" customHeight="1">
      <c r="A860" s="247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</row>
    <row r="861" ht="15.75" customHeight="1">
      <c r="A861" s="247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</row>
    <row r="862" ht="15.75" customHeight="1">
      <c r="A862" s="247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</row>
    <row r="863" ht="15.75" customHeight="1">
      <c r="A863" s="247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</row>
    <row r="864" ht="15.75" customHeight="1">
      <c r="A864" s="247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</row>
    <row r="865" ht="15.75" customHeight="1">
      <c r="A865" s="247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</row>
    <row r="866" ht="15.75" customHeight="1">
      <c r="A866" s="247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</row>
    <row r="867" ht="15.75" customHeight="1">
      <c r="A867" s="247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</row>
    <row r="868" ht="15.75" customHeight="1">
      <c r="A868" s="247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</row>
    <row r="869" ht="15.75" customHeight="1">
      <c r="A869" s="247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</row>
    <row r="870" ht="15.75" customHeight="1">
      <c r="A870" s="247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</row>
    <row r="871" ht="15.75" customHeight="1">
      <c r="A871" s="247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</row>
    <row r="872" ht="15.75" customHeight="1">
      <c r="A872" s="247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</row>
    <row r="873" ht="15.75" customHeight="1">
      <c r="A873" s="247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</row>
    <row r="874" ht="15.75" customHeight="1">
      <c r="A874" s="247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</row>
    <row r="875" ht="15.75" customHeight="1">
      <c r="A875" s="247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</row>
    <row r="876" ht="15.75" customHeight="1">
      <c r="A876" s="247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</row>
    <row r="877" ht="15.75" customHeight="1">
      <c r="A877" s="247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</row>
    <row r="878" ht="15.75" customHeight="1">
      <c r="A878" s="247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</row>
    <row r="879" ht="15.75" customHeight="1">
      <c r="A879" s="247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</row>
    <row r="880" ht="15.75" customHeight="1">
      <c r="A880" s="247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</row>
    <row r="881" ht="15.75" customHeight="1">
      <c r="A881" s="247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</row>
    <row r="882" ht="15.75" customHeight="1">
      <c r="A882" s="247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</row>
    <row r="883" ht="15.75" customHeight="1">
      <c r="A883" s="247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</row>
    <row r="884" ht="15.75" customHeight="1">
      <c r="A884" s="247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</row>
    <row r="885" ht="15.75" customHeight="1">
      <c r="A885" s="247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</row>
    <row r="886" ht="15.75" customHeight="1">
      <c r="A886" s="247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</row>
    <row r="887" ht="15.75" customHeight="1">
      <c r="A887" s="247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</row>
    <row r="888" ht="15.75" customHeight="1">
      <c r="A888" s="247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</row>
    <row r="889" ht="15.75" customHeight="1">
      <c r="A889" s="247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</row>
    <row r="890" ht="15.75" customHeight="1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</row>
    <row r="891" ht="15.75" customHeight="1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</row>
    <row r="892" ht="15.75" customHeight="1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</row>
    <row r="893" ht="15.75" customHeight="1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</row>
    <row r="894" ht="15.75" customHeight="1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</row>
    <row r="895" ht="15.75" customHeight="1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</row>
    <row r="896" ht="15.75" customHeight="1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</row>
    <row r="897" ht="15.75" customHeight="1">
      <c r="A897" s="247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</row>
    <row r="898" ht="15.75" customHeight="1">
      <c r="A898" s="247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</row>
    <row r="899" ht="15.75" customHeight="1">
      <c r="A899" s="247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</row>
    <row r="900" ht="15.75" customHeight="1">
      <c r="A900" s="247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</row>
    <row r="901" ht="15.75" customHeight="1">
      <c r="A901" s="247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</row>
    <row r="902" ht="15.75" customHeight="1">
      <c r="A902" s="247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</row>
    <row r="903" ht="15.75" customHeight="1">
      <c r="A903" s="247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</row>
    <row r="904" ht="15.75" customHeight="1">
      <c r="A904" s="247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</row>
    <row r="905" ht="15.75" customHeight="1">
      <c r="A905" s="247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</row>
    <row r="906" ht="15.75" customHeight="1">
      <c r="A906" s="247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</row>
    <row r="907" ht="15.75" customHeight="1">
      <c r="A907" s="247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</row>
    <row r="908" ht="15.75" customHeight="1">
      <c r="A908" s="247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</row>
    <row r="909" ht="15.75" customHeight="1">
      <c r="A909" s="247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</row>
    <row r="910" ht="15.75" customHeight="1">
      <c r="A910" s="247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</row>
    <row r="911" ht="15.75" customHeight="1">
      <c r="A911" s="247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</row>
    <row r="912" ht="15.75" customHeight="1">
      <c r="A912" s="247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</row>
    <row r="913" ht="15.75" customHeight="1">
      <c r="A913" s="247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</row>
    <row r="914" ht="15.75" customHeight="1">
      <c r="A914" s="247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</row>
    <row r="915" ht="15.75" customHeight="1">
      <c r="A915" s="247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</row>
    <row r="916" ht="15.75" customHeight="1">
      <c r="A916" s="247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</row>
    <row r="917" ht="15.75" customHeight="1">
      <c r="A917" s="247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</row>
    <row r="918" ht="15.75" customHeight="1">
      <c r="A918" s="247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</row>
    <row r="919" ht="15.75" customHeight="1">
      <c r="A919" s="247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</row>
    <row r="920" ht="15.75" customHeight="1">
      <c r="A920" s="247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</row>
    <row r="921" ht="15.75" customHeight="1">
      <c r="A921" s="247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</row>
    <row r="922" ht="15.75" customHeight="1">
      <c r="A922" s="247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</row>
    <row r="923" ht="15.75" customHeight="1">
      <c r="A923" s="247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</row>
    <row r="924" ht="15.75" customHeight="1">
      <c r="A924" s="247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</row>
    <row r="925" ht="15.75" customHeight="1">
      <c r="A925" s="247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</row>
    <row r="926" ht="15.75" customHeight="1">
      <c r="A926" s="247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</row>
    <row r="927" ht="15.75" customHeight="1">
      <c r="A927" s="247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</row>
    <row r="928" ht="15.75" customHeight="1">
      <c r="A928" s="247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</row>
    <row r="929" ht="15.75" customHeight="1">
      <c r="A929" s="247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</row>
    <row r="930" ht="15.75" customHeight="1">
      <c r="A930" s="247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</row>
    <row r="931" ht="15.75" customHeight="1">
      <c r="A931" s="247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</row>
    <row r="932" ht="15.75" customHeight="1">
      <c r="A932" s="247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</row>
    <row r="933" ht="15.75" customHeight="1">
      <c r="A933" s="247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</row>
    <row r="934" ht="15.75" customHeight="1">
      <c r="A934" s="247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</row>
    <row r="935" ht="15.75" customHeight="1">
      <c r="A935" s="247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</row>
    <row r="936" ht="15.75" customHeight="1">
      <c r="A936" s="247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</row>
    <row r="937" ht="15.75" customHeight="1">
      <c r="A937" s="247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</row>
    <row r="938" ht="15.75" customHeight="1">
      <c r="A938" s="247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</row>
    <row r="939" ht="15.75" customHeight="1">
      <c r="A939" s="247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</row>
    <row r="940" ht="15.75" customHeight="1">
      <c r="A940" s="247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</row>
    <row r="941" ht="15.75" customHeight="1">
      <c r="A941" s="247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</row>
    <row r="942" ht="15.75" customHeight="1">
      <c r="A942" s="247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</row>
    <row r="943" ht="15.75" customHeight="1">
      <c r="A943" s="247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</row>
    <row r="944" ht="15.75" customHeight="1">
      <c r="A944" s="247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</row>
    <row r="945" ht="15.75" customHeight="1">
      <c r="A945" s="247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</row>
    <row r="946" ht="15.75" customHeight="1">
      <c r="A946" s="247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</row>
    <row r="947" ht="15.75" customHeight="1">
      <c r="A947" s="247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</row>
    <row r="948" ht="15.75" customHeight="1">
      <c r="A948" s="247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</row>
    <row r="949" ht="15.75" customHeight="1">
      <c r="A949" s="247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</row>
    <row r="950" ht="15.75" customHeight="1">
      <c r="A950" s="247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</row>
    <row r="951" ht="15.75" customHeight="1">
      <c r="A951" s="247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</row>
    <row r="952" ht="15.75" customHeight="1">
      <c r="A952" s="247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</row>
    <row r="953" ht="15.75" customHeight="1">
      <c r="A953" s="247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</row>
    <row r="954" ht="15.75" customHeight="1">
      <c r="A954" s="247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</row>
    <row r="955" ht="15.75" customHeight="1">
      <c r="A955" s="247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</row>
    <row r="956" ht="15.75" customHeight="1">
      <c r="A956" s="247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</row>
    <row r="957" ht="15.75" customHeight="1">
      <c r="A957" s="247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</row>
    <row r="958" ht="15.75" customHeight="1">
      <c r="A958" s="247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</row>
    <row r="959" ht="15.75" customHeight="1">
      <c r="A959" s="247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</row>
    <row r="960" ht="15.75" customHeight="1">
      <c r="A960" s="247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</row>
    <row r="961" ht="15.75" customHeight="1">
      <c r="A961" s="247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</row>
    <row r="962" ht="15.75" customHeight="1">
      <c r="A962" s="247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</row>
    <row r="963" ht="15.75" customHeight="1">
      <c r="A963" s="247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</row>
    <row r="964" ht="15.75" customHeight="1">
      <c r="A964" s="247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</row>
    <row r="965" ht="15.75" customHeight="1">
      <c r="A965" s="247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</row>
    <row r="966" ht="15.75" customHeight="1">
      <c r="A966" s="247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</row>
    <row r="967" ht="15.75" customHeight="1">
      <c r="A967" s="247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</row>
    <row r="968" ht="15.75" customHeight="1">
      <c r="A968" s="247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</row>
    <row r="969" ht="15.75" customHeight="1">
      <c r="A969" s="247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</row>
    <row r="970" ht="15.75" customHeight="1">
      <c r="A970" s="247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</row>
    <row r="971" ht="15.75" customHeight="1">
      <c r="A971" s="247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</row>
    <row r="972" ht="15.75" customHeight="1">
      <c r="A972" s="247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</row>
    <row r="973" ht="15.75" customHeight="1">
      <c r="A973" s="247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</row>
    <row r="974" ht="15.75" customHeight="1">
      <c r="A974" s="247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</row>
    <row r="975" ht="15.75" customHeight="1">
      <c r="A975" s="247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</row>
    <row r="976" ht="15.75" customHeight="1">
      <c r="A976" s="247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</row>
    <row r="977" ht="15.75" customHeight="1">
      <c r="A977" s="247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</row>
    <row r="978" ht="15.75" customHeight="1">
      <c r="A978" s="247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</row>
    <row r="979" ht="15.75" customHeight="1">
      <c r="A979" s="247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</row>
    <row r="980" ht="15.75" customHeight="1">
      <c r="A980" s="247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</row>
    <row r="981" ht="15.75" customHeight="1">
      <c r="A981" s="247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</row>
    <row r="982" ht="15.75" customHeight="1">
      <c r="A982" s="247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</row>
    <row r="983" ht="15.75" customHeight="1">
      <c r="A983" s="247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</row>
    <row r="984" ht="15.75" customHeight="1">
      <c r="A984" s="247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</row>
    <row r="985" ht="15.75" customHeight="1">
      <c r="A985" s="247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</row>
    <row r="986" ht="15.75" customHeight="1">
      <c r="A986" s="247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</row>
    <row r="987" ht="15.75" customHeight="1">
      <c r="A987" s="247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</row>
    <row r="988" ht="15.75" customHeight="1">
      <c r="A988" s="247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</row>
    <row r="989" ht="15.75" customHeight="1">
      <c r="A989" s="247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</row>
    <row r="990" ht="15.75" customHeight="1">
      <c r="A990" s="247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</row>
    <row r="991" ht="15.75" customHeight="1">
      <c r="A991" s="247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</row>
    <row r="992" ht="15.75" customHeight="1">
      <c r="A992" s="247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</row>
    <row r="993" ht="15.75" customHeight="1">
      <c r="A993" s="247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</row>
    <row r="994" ht="15.75" customHeight="1">
      <c r="A994" s="247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</row>
    <row r="995" ht="15.75" customHeight="1">
      <c r="A995" s="247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</row>
    <row r="996" ht="15.75" customHeight="1">
      <c r="A996" s="247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</row>
    <row r="997" ht="15.75" customHeight="1">
      <c r="A997" s="247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</row>
    <row r="998" ht="15.75" customHeight="1">
      <c r="A998" s="247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</row>
    <row r="999" ht="15.75" customHeight="1">
      <c r="A999" s="247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</row>
    <row r="1000" ht="15.75" customHeight="1">
      <c r="A1000" s="247"/>
      <c r="B1000" s="247"/>
      <c r="C1000" s="247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</row>
    <row r="1001" ht="15.75" customHeight="1">
      <c r="A1001" s="247"/>
      <c r="B1001" s="247"/>
      <c r="C1001" s="247"/>
      <c r="D1001" s="247"/>
      <c r="E1001" s="247"/>
      <c r="F1001" s="247"/>
      <c r="G1001" s="247"/>
      <c r="H1001" s="247"/>
      <c r="I1001" s="247"/>
      <c r="J1001" s="247"/>
      <c r="K1001" s="247"/>
      <c r="L1001" s="247"/>
      <c r="M1001" s="247"/>
      <c r="N1001" s="247"/>
      <c r="O1001" s="247"/>
      <c r="P1001" s="247"/>
      <c r="Q1001" s="247"/>
      <c r="R1001" s="247"/>
      <c r="S1001" s="247"/>
      <c r="T1001" s="247"/>
      <c r="U1001" s="247"/>
    </row>
    <row r="1002" ht="15.75" customHeight="1">
      <c r="A1002" s="247"/>
      <c r="B1002" s="247"/>
      <c r="C1002" s="247"/>
      <c r="D1002" s="247"/>
      <c r="E1002" s="247"/>
      <c r="F1002" s="247"/>
      <c r="G1002" s="247"/>
      <c r="H1002" s="247"/>
      <c r="I1002" s="247"/>
      <c r="J1002" s="247"/>
      <c r="K1002" s="247"/>
      <c r="L1002" s="247"/>
      <c r="M1002" s="247"/>
      <c r="N1002" s="247"/>
      <c r="O1002" s="247"/>
      <c r="P1002" s="247"/>
      <c r="Q1002" s="247"/>
      <c r="R1002" s="247"/>
      <c r="S1002" s="247"/>
      <c r="T1002" s="247"/>
      <c r="U1002" s="247"/>
    </row>
  </sheetData>
  <autoFilter ref="$A$1:$AF$1002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24.5"/>
    <col customWidth="1" min="3" max="3" width="11.75"/>
    <col customWidth="1" min="4" max="4" width="7.63"/>
    <col customWidth="1" min="5" max="6" width="8.63"/>
  </cols>
  <sheetData>
    <row r="1" ht="13.5" customHeight="1">
      <c r="A1" s="343" t="s">
        <v>4</v>
      </c>
      <c r="B1" s="344" t="s">
        <v>3</v>
      </c>
      <c r="C1" s="329" t="s">
        <v>15</v>
      </c>
      <c r="D1" s="331" t="s">
        <v>21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</row>
    <row r="2" ht="13.5" customHeight="1">
      <c r="A2" s="345">
        <v>45285.0</v>
      </c>
      <c r="B2" s="329" t="s">
        <v>172</v>
      </c>
      <c r="C2" s="329">
        <v>147000.0</v>
      </c>
      <c r="D2" s="331" t="s">
        <v>173</v>
      </c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</row>
    <row r="3" ht="13.5" customHeight="1">
      <c r="A3" s="345">
        <v>45285.0</v>
      </c>
      <c r="B3" s="329" t="s">
        <v>174</v>
      </c>
      <c r="C3" s="329">
        <v>140000.0</v>
      </c>
      <c r="D3" s="331" t="s">
        <v>173</v>
      </c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</row>
    <row r="4" ht="13.5" customHeight="1">
      <c r="A4" s="345">
        <v>45285.0</v>
      </c>
      <c r="B4" s="329" t="s">
        <v>175</v>
      </c>
      <c r="C4" s="329">
        <v>147000.0</v>
      </c>
      <c r="D4" s="331" t="s">
        <v>173</v>
      </c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ht="13.5" customHeight="1">
      <c r="A5" s="345">
        <v>45285.0</v>
      </c>
      <c r="B5" s="329" t="s">
        <v>176</v>
      </c>
      <c r="C5" s="329">
        <v>140000.0</v>
      </c>
      <c r="D5" s="331" t="s">
        <v>173</v>
      </c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</row>
    <row r="6" ht="13.5" customHeight="1">
      <c r="A6" s="345">
        <v>45285.0</v>
      </c>
      <c r="B6" s="329" t="s">
        <v>177</v>
      </c>
      <c r="C6" s="329">
        <v>151666.6666666667</v>
      </c>
      <c r="D6" s="331" t="s">
        <v>173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</row>
    <row r="7" ht="13.5" customHeight="1">
      <c r="A7" s="345">
        <v>45285.0</v>
      </c>
      <c r="B7" s="329" t="s">
        <v>178</v>
      </c>
      <c r="C7" s="329">
        <v>147000.0</v>
      </c>
      <c r="D7" s="331" t="s">
        <v>173</v>
      </c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</row>
    <row r="8" ht="13.5" customHeight="1">
      <c r="A8" s="345">
        <v>45285.0</v>
      </c>
      <c r="B8" s="329" t="s">
        <v>179</v>
      </c>
      <c r="C8" s="329">
        <v>140000.0</v>
      </c>
      <c r="D8" s="331" t="s">
        <v>173</v>
      </c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</row>
    <row r="9" ht="13.5" customHeight="1">
      <c r="A9" s="345">
        <v>45285.0</v>
      </c>
      <c r="B9" s="329" t="s">
        <v>180</v>
      </c>
      <c r="C9" s="329">
        <v>140000.0</v>
      </c>
      <c r="D9" s="331" t="s">
        <v>173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</row>
    <row r="10" ht="13.5" customHeight="1">
      <c r="A10" s="345">
        <v>45285.0</v>
      </c>
      <c r="B10" s="329" t="s">
        <v>181</v>
      </c>
      <c r="C10" s="329">
        <v>140000.0</v>
      </c>
      <c r="D10" s="331" t="s">
        <v>173</v>
      </c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</row>
    <row r="11" ht="13.5" customHeight="1">
      <c r="A11" s="345">
        <v>45285.0</v>
      </c>
      <c r="B11" s="329" t="s">
        <v>182</v>
      </c>
      <c r="C11" s="329">
        <v>140000.0</v>
      </c>
      <c r="D11" s="331" t="s">
        <v>173</v>
      </c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</row>
    <row r="12" ht="13.5" customHeight="1">
      <c r="A12" s="345">
        <v>45285.0</v>
      </c>
      <c r="B12" s="329" t="s">
        <v>183</v>
      </c>
      <c r="C12" s="329">
        <v>150000.0</v>
      </c>
      <c r="D12" s="331" t="s">
        <v>184</v>
      </c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</row>
    <row r="13" ht="13.5" customHeight="1">
      <c r="A13" s="345">
        <v>45285.0</v>
      </c>
      <c r="B13" s="329" t="s">
        <v>57</v>
      </c>
      <c r="C13" s="329">
        <v>120000.0</v>
      </c>
      <c r="D13" s="331" t="s">
        <v>184</v>
      </c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</row>
    <row r="14" ht="13.5" customHeight="1">
      <c r="A14" s="345">
        <v>45285.0</v>
      </c>
      <c r="B14" s="329" t="s">
        <v>185</v>
      </c>
      <c r="C14" s="329">
        <v>161000.0</v>
      </c>
      <c r="D14" s="331" t="s">
        <v>184</v>
      </c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</row>
    <row r="15" ht="13.5" customHeight="1">
      <c r="A15" s="345">
        <v>45285.0</v>
      </c>
      <c r="B15" s="329" t="s">
        <v>186</v>
      </c>
      <c r="C15" s="329">
        <v>120000.0</v>
      </c>
      <c r="D15" s="331" t="s">
        <v>184</v>
      </c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</row>
    <row r="16" ht="13.5" customHeight="1">
      <c r="A16" s="345">
        <v>45285.0</v>
      </c>
      <c r="B16" s="329" t="s">
        <v>187</v>
      </c>
      <c r="C16" s="329">
        <v>140000.0</v>
      </c>
      <c r="D16" s="331" t="s">
        <v>184</v>
      </c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</row>
    <row r="17" ht="13.5" customHeight="1">
      <c r="A17" s="345">
        <v>45285.0</v>
      </c>
      <c r="B17" s="329" t="s">
        <v>87</v>
      </c>
      <c r="C17" s="329">
        <v>140000.0</v>
      </c>
      <c r="D17" s="331" t="s">
        <v>184</v>
      </c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</row>
    <row r="18" ht="13.5" customHeight="1">
      <c r="A18" s="345">
        <v>45285.0</v>
      </c>
      <c r="B18" s="329" t="s">
        <v>188</v>
      </c>
      <c r="C18" s="329">
        <v>140000.0</v>
      </c>
      <c r="D18" s="331" t="s">
        <v>184</v>
      </c>
      <c r="E18" s="247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</row>
    <row r="19" ht="13.5" customHeight="1">
      <c r="A19" s="345">
        <v>45285.0</v>
      </c>
      <c r="B19" s="329" t="s">
        <v>189</v>
      </c>
      <c r="C19" s="329">
        <v>108000.0</v>
      </c>
      <c r="D19" s="331" t="s">
        <v>184</v>
      </c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</row>
    <row r="20" ht="13.5" customHeight="1">
      <c r="A20" s="345">
        <v>45285.0</v>
      </c>
      <c r="B20" s="329" t="s">
        <v>190</v>
      </c>
      <c r="C20" s="329">
        <v>126000.0</v>
      </c>
      <c r="D20" s="331" t="s">
        <v>184</v>
      </c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</row>
    <row r="21" ht="13.5" customHeight="1">
      <c r="A21" s="345">
        <v>45285.0</v>
      </c>
      <c r="B21" s="329" t="s">
        <v>191</v>
      </c>
      <c r="C21" s="329">
        <v>108000.0</v>
      </c>
      <c r="D21" s="331" t="s">
        <v>184</v>
      </c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</row>
    <row r="22" ht="13.5" customHeight="1">
      <c r="A22" s="345">
        <v>45285.0</v>
      </c>
      <c r="B22" s="329" t="s">
        <v>192</v>
      </c>
      <c r="C22" s="329">
        <v>175000.0</v>
      </c>
      <c r="D22" s="331" t="s">
        <v>173</v>
      </c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</row>
    <row r="23" ht="13.5" customHeight="1">
      <c r="A23" s="247"/>
      <c r="B23" s="247"/>
      <c r="C23" s="346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</row>
    <row r="24" ht="13.5" customHeight="1">
      <c r="A24" s="247"/>
      <c r="B24" s="247"/>
      <c r="C24" s="346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</row>
    <row r="25" ht="13.5" customHeight="1">
      <c r="A25" s="247"/>
      <c r="B25" s="247"/>
      <c r="C25" s="346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</row>
    <row r="26" ht="13.5" customHeight="1">
      <c r="A26" s="247"/>
      <c r="B26" s="247"/>
      <c r="C26" s="346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</row>
    <row r="27" ht="13.5" customHeight="1">
      <c r="A27" s="247"/>
      <c r="B27" s="247"/>
      <c r="C27" s="346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</row>
    <row r="28" ht="13.5" customHeight="1">
      <c r="A28" s="247"/>
      <c r="B28" s="247"/>
      <c r="C28" s="346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</row>
    <row r="29" ht="13.5" customHeight="1">
      <c r="A29" s="247"/>
      <c r="B29" s="247"/>
      <c r="C29" s="346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</row>
    <row r="30" ht="13.5" customHeight="1">
      <c r="A30" s="247"/>
      <c r="B30" s="247"/>
      <c r="C30" s="346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</row>
    <row r="31" ht="13.5" customHeight="1">
      <c r="A31" s="247"/>
      <c r="B31" s="247"/>
      <c r="C31" s="346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</row>
    <row r="32" ht="13.5" customHeight="1">
      <c r="A32" s="247"/>
      <c r="B32" s="247"/>
      <c r="C32" s="346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</row>
    <row r="33" ht="13.5" customHeight="1">
      <c r="A33" s="247"/>
      <c r="B33" s="247"/>
      <c r="C33" s="346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</row>
    <row r="34" ht="13.5" customHeight="1">
      <c r="A34" s="247"/>
      <c r="B34" s="247"/>
      <c r="C34" s="346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</row>
    <row r="35" ht="13.5" customHeight="1">
      <c r="A35" s="247"/>
      <c r="B35" s="247"/>
      <c r="C35" s="346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</row>
    <row r="36" ht="13.5" customHeight="1">
      <c r="A36" s="247"/>
      <c r="B36" s="247"/>
      <c r="C36" s="346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7"/>
    </row>
    <row r="37" ht="13.5" customHeight="1">
      <c r="A37" s="247"/>
      <c r="B37" s="247"/>
      <c r="C37" s="346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7"/>
    </row>
    <row r="38" ht="13.5" customHeight="1">
      <c r="A38" s="247"/>
      <c r="B38" s="247"/>
      <c r="C38" s="346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7"/>
    </row>
    <row r="39" ht="13.5" customHeight="1">
      <c r="A39" s="247"/>
      <c r="B39" s="247"/>
      <c r="C39" s="346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</row>
    <row r="40" ht="13.5" customHeight="1">
      <c r="A40" s="247"/>
      <c r="B40" s="247"/>
      <c r="C40" s="346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</row>
    <row r="41" ht="13.5" customHeight="1">
      <c r="A41" s="247"/>
      <c r="B41" s="247"/>
      <c r="C41" s="346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</row>
    <row r="42" ht="13.5" customHeight="1">
      <c r="A42" s="247"/>
      <c r="B42" s="247"/>
      <c r="C42" s="346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</row>
    <row r="43" ht="13.5" customHeight="1">
      <c r="A43" s="247"/>
      <c r="B43" s="247"/>
      <c r="C43" s="346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</row>
    <row r="44" ht="13.5" customHeight="1">
      <c r="A44" s="247"/>
      <c r="B44" s="247"/>
      <c r="C44" s="346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7"/>
    </row>
    <row r="45" ht="13.5" customHeight="1">
      <c r="A45" s="247"/>
      <c r="B45" s="247"/>
      <c r="C45" s="346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</row>
    <row r="46" ht="13.5" customHeight="1">
      <c r="A46" s="247"/>
      <c r="B46" s="247"/>
      <c r="C46" s="346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</row>
    <row r="47" ht="13.5" customHeight="1">
      <c r="A47" s="247"/>
      <c r="B47" s="247"/>
      <c r="C47" s="346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</row>
    <row r="48" ht="13.5" customHeight="1">
      <c r="A48" s="247"/>
      <c r="B48" s="247"/>
      <c r="C48" s="346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247"/>
    </row>
    <row r="49" ht="13.5" customHeight="1">
      <c r="A49" s="247"/>
      <c r="B49" s="247"/>
      <c r="C49" s="346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</row>
    <row r="50" ht="13.5" customHeight="1">
      <c r="A50" s="247"/>
      <c r="B50" s="247"/>
      <c r="C50" s="346"/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</row>
    <row r="51" ht="13.5" customHeight="1">
      <c r="A51" s="247"/>
      <c r="B51" s="247"/>
      <c r="C51" s="346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</row>
    <row r="52" ht="13.5" customHeight="1">
      <c r="A52" s="247"/>
      <c r="B52" s="247"/>
      <c r="C52" s="346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</row>
    <row r="53" ht="13.5" customHeight="1">
      <c r="A53" s="247"/>
      <c r="B53" s="247"/>
      <c r="C53" s="346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</row>
    <row r="54" ht="13.5" customHeight="1">
      <c r="A54" s="247"/>
      <c r="B54" s="247"/>
      <c r="C54" s="346"/>
      <c r="D54" s="247"/>
      <c r="E54" s="247"/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</row>
    <row r="55" ht="13.5" customHeight="1">
      <c r="A55" s="247"/>
      <c r="B55" s="247"/>
      <c r="C55" s="346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</row>
    <row r="56" ht="13.5" customHeight="1">
      <c r="A56" s="247"/>
      <c r="B56" s="247"/>
      <c r="C56" s="346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</row>
    <row r="57" ht="13.5" customHeight="1">
      <c r="A57" s="247"/>
      <c r="B57" s="247"/>
      <c r="C57" s="346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</row>
    <row r="58" ht="13.5" customHeight="1">
      <c r="A58" s="247"/>
      <c r="B58" s="247"/>
      <c r="C58" s="346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</row>
    <row r="59" ht="13.5" customHeight="1">
      <c r="A59" s="247"/>
      <c r="B59" s="247"/>
      <c r="C59" s="346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</row>
    <row r="60" ht="13.5" customHeight="1">
      <c r="A60" s="247"/>
      <c r="B60" s="247"/>
      <c r="C60" s="346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</row>
    <row r="61" ht="13.5" customHeight="1">
      <c r="A61" s="247"/>
      <c r="B61" s="247"/>
      <c r="C61" s="346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</row>
    <row r="62" ht="13.5" customHeight="1">
      <c r="A62" s="247"/>
      <c r="B62" s="247"/>
      <c r="C62" s="346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</row>
    <row r="63" ht="13.5" customHeight="1">
      <c r="A63" s="247"/>
      <c r="B63" s="247"/>
      <c r="C63" s="346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7"/>
    </row>
    <row r="64" ht="13.5" customHeight="1">
      <c r="A64" s="247"/>
      <c r="B64" s="247"/>
      <c r="C64" s="346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</row>
    <row r="65" ht="13.5" customHeight="1">
      <c r="A65" s="247"/>
      <c r="B65" s="247"/>
      <c r="C65" s="346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</row>
    <row r="66" ht="13.5" customHeight="1">
      <c r="A66" s="247"/>
      <c r="B66" s="247"/>
      <c r="C66" s="346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</row>
    <row r="67" ht="13.5" customHeight="1">
      <c r="A67" s="247"/>
      <c r="B67" s="247"/>
      <c r="C67" s="346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</row>
    <row r="68" ht="13.5" customHeight="1">
      <c r="A68" s="247"/>
      <c r="B68" s="247"/>
      <c r="C68" s="346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</row>
    <row r="69" ht="13.5" customHeight="1">
      <c r="A69" s="247"/>
      <c r="B69" s="247"/>
      <c r="C69" s="346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</row>
    <row r="70" ht="13.5" customHeight="1">
      <c r="A70" s="247"/>
      <c r="B70" s="247"/>
      <c r="C70" s="346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</row>
    <row r="71" ht="13.5" customHeight="1">
      <c r="A71" s="247"/>
      <c r="B71" s="247"/>
      <c r="C71" s="346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</row>
    <row r="72" ht="13.5" customHeight="1">
      <c r="A72" s="247"/>
      <c r="B72" s="247"/>
      <c r="C72" s="346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</row>
    <row r="73" ht="13.5" customHeight="1">
      <c r="A73" s="247"/>
      <c r="B73" s="247"/>
      <c r="C73" s="346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</row>
    <row r="74" ht="13.5" customHeight="1">
      <c r="A74" s="247"/>
      <c r="B74" s="247"/>
      <c r="C74" s="346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</row>
    <row r="75" ht="13.5" customHeight="1">
      <c r="A75" s="247"/>
      <c r="B75" s="247"/>
      <c r="C75" s="346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7"/>
    </row>
    <row r="76" ht="13.5" customHeight="1">
      <c r="A76" s="247"/>
      <c r="B76" s="247"/>
      <c r="C76" s="346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</row>
    <row r="77" ht="13.5" customHeight="1">
      <c r="A77" s="247"/>
      <c r="B77" s="247"/>
      <c r="C77" s="346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47"/>
      <c r="W77" s="247"/>
      <c r="X77" s="247"/>
      <c r="Y77" s="247"/>
      <c r="Z77" s="247"/>
    </row>
    <row r="78" ht="13.5" customHeight="1">
      <c r="A78" s="247"/>
      <c r="B78" s="247"/>
      <c r="C78" s="346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7"/>
    </row>
    <row r="79" ht="13.5" customHeight="1">
      <c r="A79" s="247"/>
      <c r="B79" s="247"/>
      <c r="C79" s="346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7"/>
    </row>
    <row r="80" ht="13.5" customHeight="1">
      <c r="A80" s="247"/>
      <c r="B80" s="247"/>
      <c r="C80" s="346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</row>
    <row r="81" ht="13.5" customHeight="1">
      <c r="A81" s="247"/>
      <c r="B81" s="247"/>
      <c r="C81" s="346"/>
      <c r="D81" s="247"/>
      <c r="E81" s="247"/>
      <c r="F81" s="247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47"/>
      <c r="V81" s="247"/>
      <c r="W81" s="247"/>
      <c r="X81" s="247"/>
      <c r="Y81" s="247"/>
      <c r="Z81" s="247"/>
    </row>
    <row r="82" ht="13.5" customHeight="1">
      <c r="A82" s="247"/>
      <c r="B82" s="247"/>
      <c r="C82" s="346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</row>
    <row r="83" ht="13.5" customHeight="1">
      <c r="A83" s="247"/>
      <c r="B83" s="247"/>
      <c r="C83" s="346"/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7"/>
    </row>
    <row r="84" ht="13.5" customHeight="1">
      <c r="A84" s="247"/>
      <c r="B84" s="247"/>
      <c r="C84" s="346"/>
      <c r="D84" s="247"/>
      <c r="E84" s="247"/>
      <c r="F84" s="247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</row>
    <row r="85" ht="13.5" customHeight="1">
      <c r="A85" s="247"/>
      <c r="B85" s="247"/>
      <c r="C85" s="346"/>
      <c r="D85" s="247"/>
      <c r="E85" s="247"/>
      <c r="F85" s="247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/>
      <c r="S85" s="247"/>
      <c r="T85" s="247"/>
      <c r="U85" s="247"/>
      <c r="V85" s="247"/>
      <c r="W85" s="247"/>
      <c r="X85" s="247"/>
      <c r="Y85" s="247"/>
      <c r="Z85" s="247"/>
    </row>
    <row r="86" ht="13.5" customHeight="1">
      <c r="A86" s="247"/>
      <c r="B86" s="247"/>
      <c r="C86" s="346"/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247"/>
    </row>
    <row r="87" ht="13.5" customHeight="1">
      <c r="A87" s="247"/>
      <c r="B87" s="247"/>
      <c r="C87" s="346"/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</row>
    <row r="88" ht="13.5" customHeight="1">
      <c r="A88" s="247"/>
      <c r="B88" s="247"/>
      <c r="C88" s="346"/>
      <c r="D88" s="247"/>
      <c r="E88" s="247"/>
      <c r="F88" s="247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  <c r="U88" s="247"/>
      <c r="V88" s="247"/>
      <c r="W88" s="247"/>
      <c r="X88" s="247"/>
      <c r="Y88" s="247"/>
      <c r="Z88" s="247"/>
    </row>
    <row r="89" ht="13.5" customHeight="1">
      <c r="A89" s="247"/>
      <c r="B89" s="247"/>
      <c r="C89" s="346"/>
      <c r="D89" s="247"/>
      <c r="E89" s="247"/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  <c r="S89" s="247"/>
      <c r="T89" s="247"/>
      <c r="U89" s="247"/>
      <c r="V89" s="247"/>
      <c r="W89" s="247"/>
      <c r="X89" s="247"/>
      <c r="Y89" s="247"/>
      <c r="Z89" s="247"/>
    </row>
    <row r="90" ht="13.5" customHeight="1">
      <c r="A90" s="247"/>
      <c r="B90" s="247"/>
      <c r="C90" s="346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7"/>
    </row>
    <row r="91" ht="13.5" customHeight="1">
      <c r="A91" s="247"/>
      <c r="B91" s="247"/>
      <c r="C91" s="346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</row>
    <row r="92" ht="13.5" customHeight="1">
      <c r="A92" s="247"/>
      <c r="B92" s="247"/>
      <c r="C92" s="346"/>
      <c r="D92" s="247"/>
      <c r="E92" s="247"/>
      <c r="F92" s="247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7"/>
    </row>
    <row r="93" ht="13.5" customHeight="1">
      <c r="A93" s="247"/>
      <c r="B93" s="247"/>
      <c r="C93" s="346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</row>
    <row r="94" ht="13.5" customHeight="1">
      <c r="A94" s="247"/>
      <c r="B94" s="247"/>
      <c r="C94" s="346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247"/>
    </row>
    <row r="95" ht="13.5" customHeight="1">
      <c r="A95" s="247"/>
      <c r="B95" s="247"/>
      <c r="C95" s="346"/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7"/>
    </row>
    <row r="96" ht="13.5" customHeight="1">
      <c r="A96" s="247"/>
      <c r="B96" s="247"/>
      <c r="C96" s="346"/>
      <c r="D96" s="247"/>
      <c r="E96" s="247"/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47"/>
      <c r="V96" s="247"/>
      <c r="W96" s="247"/>
      <c r="X96" s="247"/>
      <c r="Y96" s="247"/>
      <c r="Z96" s="247"/>
    </row>
    <row r="97" ht="13.5" customHeight="1">
      <c r="A97" s="247"/>
      <c r="B97" s="247"/>
      <c r="C97" s="346"/>
      <c r="D97" s="247"/>
      <c r="E97" s="247"/>
      <c r="F97" s="247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7"/>
      <c r="S97" s="247"/>
      <c r="T97" s="247"/>
      <c r="U97" s="247"/>
      <c r="V97" s="247"/>
      <c r="W97" s="247"/>
      <c r="X97" s="247"/>
      <c r="Y97" s="247"/>
      <c r="Z97" s="247"/>
    </row>
    <row r="98" ht="13.5" customHeight="1">
      <c r="A98" s="247"/>
      <c r="B98" s="247"/>
      <c r="C98" s="346"/>
      <c r="D98" s="247"/>
      <c r="E98" s="247"/>
      <c r="F98" s="247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7"/>
      <c r="S98" s="247"/>
      <c r="T98" s="247"/>
      <c r="U98" s="247"/>
      <c r="V98" s="247"/>
      <c r="W98" s="247"/>
      <c r="X98" s="247"/>
      <c r="Y98" s="247"/>
      <c r="Z98" s="247"/>
    </row>
    <row r="99" ht="13.5" customHeight="1">
      <c r="A99" s="247"/>
      <c r="B99" s="247"/>
      <c r="C99" s="346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</row>
    <row r="100" ht="13.5" customHeight="1">
      <c r="A100" s="247"/>
      <c r="B100" s="247"/>
      <c r="C100" s="346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  <c r="Y100" s="247"/>
      <c r="Z100" s="247"/>
    </row>
    <row r="101" ht="13.5" customHeight="1">
      <c r="A101" s="247"/>
      <c r="B101" s="247"/>
      <c r="C101" s="346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247"/>
    </row>
    <row r="102" ht="13.5" customHeight="1">
      <c r="A102" s="247"/>
      <c r="B102" s="247"/>
      <c r="C102" s="346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247"/>
    </row>
    <row r="103" ht="13.5" customHeight="1">
      <c r="A103" s="247"/>
      <c r="B103" s="247"/>
      <c r="C103" s="346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247"/>
    </row>
    <row r="104" ht="13.5" customHeight="1">
      <c r="A104" s="247"/>
      <c r="B104" s="247"/>
      <c r="C104" s="346"/>
      <c r="D104" s="247"/>
      <c r="E104" s="247"/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247"/>
    </row>
    <row r="105" ht="13.5" customHeight="1">
      <c r="A105" s="247"/>
      <c r="B105" s="247"/>
      <c r="C105" s="346"/>
      <c r="D105" s="247"/>
      <c r="E105" s="247"/>
      <c r="F105" s="24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247"/>
    </row>
    <row r="106" ht="13.5" customHeight="1">
      <c r="A106" s="247"/>
      <c r="B106" s="247"/>
      <c r="C106" s="346"/>
      <c r="D106" s="247"/>
      <c r="E106" s="247"/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  <c r="Y106" s="247"/>
      <c r="Z106" s="247"/>
    </row>
    <row r="107" ht="13.5" customHeight="1">
      <c r="A107" s="247"/>
      <c r="B107" s="247"/>
      <c r="C107" s="346"/>
      <c r="D107" s="247"/>
      <c r="E107" s="247"/>
      <c r="F107" s="247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  <c r="S107" s="247"/>
      <c r="T107" s="247"/>
      <c r="U107" s="247"/>
      <c r="V107" s="247"/>
      <c r="W107" s="247"/>
      <c r="X107" s="247"/>
      <c r="Y107" s="247"/>
      <c r="Z107" s="247"/>
    </row>
    <row r="108" ht="13.5" customHeight="1">
      <c r="A108" s="247"/>
      <c r="B108" s="247"/>
      <c r="C108" s="346"/>
      <c r="D108" s="247"/>
      <c r="E108" s="247"/>
      <c r="F108" s="247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  <c r="S108" s="247"/>
      <c r="T108" s="247"/>
      <c r="U108" s="247"/>
      <c r="V108" s="247"/>
      <c r="W108" s="247"/>
      <c r="X108" s="247"/>
      <c r="Y108" s="247"/>
      <c r="Z108" s="247"/>
    </row>
    <row r="109" ht="13.5" customHeight="1">
      <c r="A109" s="247"/>
      <c r="B109" s="247"/>
      <c r="C109" s="346"/>
      <c r="D109" s="247"/>
      <c r="E109" s="247"/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247"/>
    </row>
    <row r="110" ht="13.5" customHeight="1">
      <c r="A110" s="247"/>
      <c r="B110" s="247"/>
      <c r="C110" s="346"/>
      <c r="D110" s="247"/>
      <c r="E110" s="247"/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  <c r="S110" s="247"/>
      <c r="T110" s="247"/>
      <c r="U110" s="247"/>
      <c r="V110" s="247"/>
      <c r="W110" s="247"/>
      <c r="X110" s="247"/>
      <c r="Y110" s="247"/>
      <c r="Z110" s="247"/>
    </row>
    <row r="111" ht="13.5" customHeight="1">
      <c r="A111" s="247"/>
      <c r="B111" s="247"/>
      <c r="C111" s="346"/>
      <c r="D111" s="247"/>
      <c r="E111" s="247"/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247"/>
    </row>
    <row r="112" ht="13.5" customHeight="1">
      <c r="A112" s="247"/>
      <c r="B112" s="247"/>
      <c r="C112" s="346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</row>
    <row r="113" ht="13.5" customHeight="1">
      <c r="A113" s="247"/>
      <c r="B113" s="247"/>
      <c r="C113" s="346"/>
      <c r="D113" s="247"/>
      <c r="E113" s="247"/>
      <c r="F113" s="247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  <c r="S113" s="247"/>
      <c r="T113" s="247"/>
      <c r="U113" s="247"/>
      <c r="V113" s="247"/>
      <c r="W113" s="247"/>
      <c r="X113" s="247"/>
      <c r="Y113" s="247"/>
      <c r="Z113" s="247"/>
    </row>
    <row r="114" ht="13.5" customHeight="1">
      <c r="A114" s="247"/>
      <c r="B114" s="247"/>
      <c r="C114" s="346"/>
      <c r="D114" s="247"/>
      <c r="E114" s="247"/>
      <c r="F114" s="247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  <c r="S114" s="247"/>
      <c r="T114" s="247"/>
      <c r="U114" s="247"/>
      <c r="V114" s="247"/>
      <c r="W114" s="247"/>
      <c r="X114" s="247"/>
      <c r="Y114" s="247"/>
      <c r="Z114" s="247"/>
    </row>
    <row r="115" ht="13.5" customHeight="1">
      <c r="A115" s="247"/>
      <c r="B115" s="247"/>
      <c r="C115" s="346"/>
      <c r="D115" s="247"/>
      <c r="E115" s="247"/>
      <c r="F115" s="247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  <c r="S115" s="247"/>
      <c r="T115" s="247"/>
      <c r="U115" s="247"/>
      <c r="V115" s="247"/>
      <c r="W115" s="247"/>
      <c r="X115" s="247"/>
      <c r="Y115" s="247"/>
      <c r="Z115" s="247"/>
    </row>
    <row r="116" ht="13.5" customHeight="1">
      <c r="A116" s="247"/>
      <c r="B116" s="247"/>
      <c r="C116" s="346"/>
      <c r="D116" s="247"/>
      <c r="E116" s="247"/>
      <c r="F116" s="247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</row>
    <row r="117" ht="13.5" customHeight="1">
      <c r="A117" s="247"/>
      <c r="B117" s="247"/>
      <c r="C117" s="346"/>
      <c r="D117" s="247"/>
      <c r="E117" s="247"/>
      <c r="F117" s="247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247"/>
      <c r="Z117" s="247"/>
    </row>
    <row r="118" ht="13.5" customHeight="1">
      <c r="A118" s="247"/>
      <c r="B118" s="247"/>
      <c r="C118" s="346"/>
      <c r="D118" s="247"/>
      <c r="E118" s="247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  <c r="Y118" s="247"/>
      <c r="Z118" s="247"/>
    </row>
    <row r="119" ht="13.5" customHeight="1">
      <c r="A119" s="247"/>
      <c r="B119" s="247"/>
      <c r="C119" s="346"/>
      <c r="D119" s="247"/>
      <c r="E119" s="247"/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  <c r="S119" s="247"/>
      <c r="T119" s="247"/>
      <c r="U119" s="247"/>
      <c r="V119" s="247"/>
      <c r="W119" s="247"/>
      <c r="X119" s="247"/>
      <c r="Y119" s="247"/>
      <c r="Z119" s="247"/>
    </row>
    <row r="120" ht="13.5" customHeight="1">
      <c r="A120" s="247"/>
      <c r="B120" s="247"/>
      <c r="C120" s="346"/>
      <c r="D120" s="247"/>
      <c r="E120" s="247"/>
      <c r="F120" s="247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  <c r="S120" s="247"/>
      <c r="T120" s="247"/>
      <c r="U120" s="247"/>
      <c r="V120" s="247"/>
      <c r="W120" s="247"/>
      <c r="X120" s="247"/>
      <c r="Y120" s="247"/>
      <c r="Z120" s="247"/>
    </row>
    <row r="121" ht="13.5" customHeight="1">
      <c r="A121" s="247"/>
      <c r="B121" s="247"/>
      <c r="C121" s="346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  <c r="Y121" s="247"/>
      <c r="Z121" s="247"/>
    </row>
    <row r="122" ht="13.5" customHeight="1">
      <c r="A122" s="247"/>
      <c r="B122" s="247"/>
      <c r="C122" s="346"/>
      <c r="D122" s="247"/>
      <c r="E122" s="247"/>
      <c r="F122" s="247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47"/>
      <c r="S122" s="247"/>
      <c r="T122" s="247"/>
      <c r="U122" s="247"/>
      <c r="V122" s="247"/>
      <c r="W122" s="247"/>
      <c r="X122" s="247"/>
      <c r="Y122" s="247"/>
      <c r="Z122" s="247"/>
    </row>
    <row r="123" ht="13.5" customHeight="1">
      <c r="A123" s="247"/>
      <c r="B123" s="247"/>
      <c r="C123" s="346"/>
      <c r="D123" s="247"/>
      <c r="E123" s="247"/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247"/>
    </row>
    <row r="124" ht="13.5" customHeight="1">
      <c r="A124" s="247"/>
      <c r="B124" s="247"/>
      <c r="C124" s="346"/>
      <c r="D124" s="247"/>
      <c r="E124" s="247"/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7"/>
    </row>
    <row r="125" ht="13.5" customHeight="1">
      <c r="A125" s="247"/>
      <c r="B125" s="247"/>
      <c r="C125" s="346"/>
      <c r="D125" s="247"/>
      <c r="E125" s="247"/>
      <c r="F125" s="247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  <c r="Y125" s="247"/>
      <c r="Z125" s="247"/>
    </row>
    <row r="126" ht="13.5" customHeight="1">
      <c r="A126" s="247"/>
      <c r="B126" s="247"/>
      <c r="C126" s="346"/>
      <c r="D126" s="247"/>
      <c r="E126" s="247"/>
      <c r="F126" s="247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  <c r="S126" s="247"/>
      <c r="T126" s="247"/>
      <c r="U126" s="247"/>
      <c r="V126" s="247"/>
      <c r="W126" s="247"/>
      <c r="X126" s="247"/>
      <c r="Y126" s="247"/>
      <c r="Z126" s="247"/>
    </row>
    <row r="127" ht="13.5" customHeight="1">
      <c r="A127" s="247"/>
      <c r="B127" s="247"/>
      <c r="C127" s="346"/>
      <c r="D127" s="247"/>
      <c r="E127" s="247"/>
      <c r="F127" s="247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  <c r="S127" s="247"/>
      <c r="T127" s="247"/>
      <c r="U127" s="247"/>
      <c r="V127" s="247"/>
      <c r="W127" s="247"/>
      <c r="X127" s="247"/>
      <c r="Y127" s="247"/>
      <c r="Z127" s="247"/>
    </row>
    <row r="128" ht="13.5" customHeight="1">
      <c r="A128" s="247"/>
      <c r="B128" s="247"/>
      <c r="C128" s="346"/>
      <c r="D128" s="247"/>
      <c r="E128" s="247"/>
      <c r="F128" s="247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  <c r="S128" s="247"/>
      <c r="T128" s="247"/>
      <c r="U128" s="247"/>
      <c r="V128" s="247"/>
      <c r="W128" s="247"/>
      <c r="X128" s="247"/>
      <c r="Y128" s="247"/>
      <c r="Z128" s="247"/>
    </row>
    <row r="129" ht="13.5" customHeight="1">
      <c r="A129" s="247"/>
      <c r="B129" s="247"/>
      <c r="C129" s="346"/>
      <c r="D129" s="247"/>
      <c r="E129" s="247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  <c r="S129" s="247"/>
      <c r="T129" s="247"/>
      <c r="U129" s="247"/>
      <c r="V129" s="247"/>
      <c r="W129" s="247"/>
      <c r="X129" s="247"/>
      <c r="Y129" s="247"/>
      <c r="Z129" s="247"/>
    </row>
    <row r="130" ht="13.5" customHeight="1">
      <c r="A130" s="247"/>
      <c r="B130" s="247"/>
      <c r="C130" s="346"/>
      <c r="D130" s="247"/>
      <c r="E130" s="247"/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  <c r="S130" s="247"/>
      <c r="T130" s="247"/>
      <c r="U130" s="247"/>
      <c r="V130" s="247"/>
      <c r="W130" s="247"/>
      <c r="X130" s="247"/>
      <c r="Y130" s="247"/>
      <c r="Z130" s="247"/>
    </row>
    <row r="131" ht="13.5" customHeight="1">
      <c r="A131" s="247"/>
      <c r="B131" s="247"/>
      <c r="C131" s="346"/>
      <c r="D131" s="247"/>
      <c r="E131" s="247"/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7"/>
    </row>
    <row r="132" ht="13.5" customHeight="1">
      <c r="A132" s="247"/>
      <c r="B132" s="247"/>
      <c r="C132" s="346"/>
      <c r="D132" s="247"/>
      <c r="E132" s="247"/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  <c r="S132" s="247"/>
      <c r="T132" s="247"/>
      <c r="U132" s="247"/>
      <c r="V132" s="247"/>
      <c r="W132" s="247"/>
      <c r="X132" s="247"/>
      <c r="Y132" s="247"/>
      <c r="Z132" s="247"/>
    </row>
    <row r="133" ht="13.5" customHeight="1">
      <c r="A133" s="247"/>
      <c r="B133" s="247"/>
      <c r="C133" s="346"/>
      <c r="D133" s="247"/>
      <c r="E133" s="247"/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  <c r="S133" s="247"/>
      <c r="T133" s="247"/>
      <c r="U133" s="247"/>
      <c r="V133" s="247"/>
      <c r="W133" s="247"/>
      <c r="X133" s="247"/>
      <c r="Y133" s="247"/>
      <c r="Z133" s="247"/>
    </row>
    <row r="134" ht="13.5" customHeight="1">
      <c r="A134" s="247"/>
      <c r="B134" s="247"/>
      <c r="C134" s="346"/>
      <c r="D134" s="247"/>
      <c r="E134" s="247"/>
      <c r="F134" s="247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  <c r="S134" s="247"/>
      <c r="T134" s="247"/>
      <c r="U134" s="247"/>
      <c r="V134" s="247"/>
      <c r="W134" s="247"/>
      <c r="X134" s="247"/>
      <c r="Y134" s="247"/>
      <c r="Z134" s="247"/>
    </row>
    <row r="135" ht="13.5" customHeight="1">
      <c r="A135" s="247"/>
      <c r="B135" s="247"/>
      <c r="C135" s="346"/>
      <c r="D135" s="247"/>
      <c r="E135" s="247"/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  <c r="S135" s="247"/>
      <c r="T135" s="247"/>
      <c r="U135" s="247"/>
      <c r="V135" s="247"/>
      <c r="W135" s="247"/>
      <c r="X135" s="247"/>
      <c r="Y135" s="247"/>
      <c r="Z135" s="247"/>
    </row>
    <row r="136" ht="13.5" customHeight="1">
      <c r="A136" s="247"/>
      <c r="B136" s="247"/>
      <c r="C136" s="346"/>
      <c r="D136" s="247"/>
      <c r="E136" s="247"/>
      <c r="F136" s="247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  <c r="S136" s="247"/>
      <c r="T136" s="247"/>
      <c r="U136" s="247"/>
      <c r="V136" s="247"/>
      <c r="W136" s="247"/>
      <c r="X136" s="247"/>
      <c r="Y136" s="247"/>
      <c r="Z136" s="247"/>
    </row>
    <row r="137" ht="13.5" customHeight="1">
      <c r="A137" s="247"/>
      <c r="B137" s="247"/>
      <c r="C137" s="346"/>
      <c r="D137" s="247"/>
      <c r="E137" s="247"/>
      <c r="F137" s="247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  <c r="S137" s="247"/>
      <c r="T137" s="247"/>
      <c r="U137" s="247"/>
      <c r="V137" s="247"/>
      <c r="W137" s="247"/>
      <c r="X137" s="247"/>
      <c r="Y137" s="247"/>
      <c r="Z137" s="247"/>
    </row>
    <row r="138" ht="13.5" customHeight="1">
      <c r="A138" s="247"/>
      <c r="B138" s="247"/>
      <c r="C138" s="346"/>
      <c r="D138" s="247"/>
      <c r="E138" s="247"/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  <c r="S138" s="247"/>
      <c r="T138" s="247"/>
      <c r="U138" s="247"/>
      <c r="V138" s="247"/>
      <c r="W138" s="247"/>
      <c r="X138" s="247"/>
      <c r="Y138" s="247"/>
      <c r="Z138" s="247"/>
    </row>
    <row r="139" ht="13.5" customHeight="1">
      <c r="A139" s="247"/>
      <c r="B139" s="247"/>
      <c r="C139" s="346"/>
      <c r="D139" s="247"/>
      <c r="E139" s="247"/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  <c r="Y139" s="247"/>
      <c r="Z139" s="247"/>
    </row>
    <row r="140" ht="13.5" customHeight="1">
      <c r="A140" s="247"/>
      <c r="B140" s="247"/>
      <c r="C140" s="346"/>
      <c r="D140" s="247"/>
      <c r="E140" s="247"/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  <c r="S140" s="247"/>
      <c r="T140" s="247"/>
      <c r="U140" s="247"/>
      <c r="V140" s="247"/>
      <c r="W140" s="247"/>
      <c r="X140" s="247"/>
      <c r="Y140" s="247"/>
      <c r="Z140" s="247"/>
    </row>
    <row r="141" ht="13.5" customHeight="1">
      <c r="A141" s="247"/>
      <c r="B141" s="247"/>
      <c r="C141" s="346"/>
      <c r="D141" s="247"/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  <c r="S141" s="247"/>
      <c r="T141" s="247"/>
      <c r="U141" s="247"/>
      <c r="V141" s="247"/>
      <c r="W141" s="247"/>
      <c r="X141" s="247"/>
      <c r="Y141" s="247"/>
      <c r="Z141" s="247"/>
    </row>
    <row r="142" ht="13.5" customHeight="1">
      <c r="A142" s="247"/>
      <c r="B142" s="247"/>
      <c r="C142" s="346"/>
      <c r="D142" s="247"/>
      <c r="E142" s="247"/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  <c r="S142" s="247"/>
      <c r="T142" s="247"/>
      <c r="U142" s="247"/>
      <c r="V142" s="247"/>
      <c r="W142" s="247"/>
      <c r="X142" s="247"/>
      <c r="Y142" s="247"/>
      <c r="Z142" s="247"/>
    </row>
    <row r="143" ht="13.5" customHeight="1">
      <c r="A143" s="247"/>
      <c r="B143" s="247"/>
      <c r="C143" s="346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47"/>
      <c r="V143" s="247"/>
      <c r="W143" s="247"/>
      <c r="X143" s="247"/>
      <c r="Y143" s="247"/>
      <c r="Z143" s="247"/>
    </row>
    <row r="144" ht="13.5" customHeight="1">
      <c r="A144" s="247"/>
      <c r="B144" s="247"/>
      <c r="C144" s="346"/>
      <c r="D144" s="247"/>
      <c r="E144" s="247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  <c r="S144" s="247"/>
      <c r="T144" s="247"/>
      <c r="U144" s="247"/>
      <c r="V144" s="247"/>
      <c r="W144" s="247"/>
      <c r="X144" s="247"/>
      <c r="Y144" s="247"/>
      <c r="Z144" s="247"/>
    </row>
    <row r="145" ht="13.5" customHeight="1">
      <c r="A145" s="247"/>
      <c r="B145" s="247"/>
      <c r="C145" s="346"/>
      <c r="D145" s="247"/>
      <c r="E145" s="247"/>
      <c r="F145" s="247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  <c r="S145" s="247"/>
      <c r="T145" s="247"/>
      <c r="U145" s="247"/>
      <c r="V145" s="247"/>
      <c r="W145" s="247"/>
      <c r="X145" s="247"/>
      <c r="Y145" s="247"/>
      <c r="Z145" s="247"/>
    </row>
    <row r="146" ht="13.5" customHeight="1">
      <c r="A146" s="247"/>
      <c r="B146" s="247"/>
      <c r="C146" s="346"/>
      <c r="D146" s="247"/>
      <c r="E146" s="247"/>
      <c r="F146" s="247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  <c r="S146" s="247"/>
      <c r="T146" s="247"/>
      <c r="U146" s="247"/>
      <c r="V146" s="247"/>
      <c r="W146" s="247"/>
      <c r="X146" s="247"/>
      <c r="Y146" s="247"/>
      <c r="Z146" s="247"/>
    </row>
    <row r="147" ht="13.5" customHeight="1">
      <c r="A147" s="247"/>
      <c r="B147" s="247"/>
      <c r="C147" s="346"/>
      <c r="D147" s="247"/>
      <c r="E147" s="247"/>
      <c r="F147" s="247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  <c r="S147" s="247"/>
      <c r="T147" s="247"/>
      <c r="U147" s="247"/>
      <c r="V147" s="247"/>
      <c r="W147" s="247"/>
      <c r="X147" s="247"/>
      <c r="Y147" s="247"/>
      <c r="Z147" s="247"/>
    </row>
    <row r="148" ht="13.5" customHeight="1">
      <c r="A148" s="247"/>
      <c r="B148" s="247"/>
      <c r="C148" s="346"/>
      <c r="D148" s="247"/>
      <c r="E148" s="247"/>
      <c r="F148" s="247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  <c r="S148" s="247"/>
      <c r="T148" s="247"/>
      <c r="U148" s="247"/>
      <c r="V148" s="247"/>
      <c r="W148" s="247"/>
      <c r="X148" s="247"/>
      <c r="Y148" s="247"/>
      <c r="Z148" s="247"/>
    </row>
    <row r="149" ht="13.5" customHeight="1">
      <c r="A149" s="247"/>
      <c r="B149" s="247"/>
      <c r="C149" s="346"/>
      <c r="D149" s="247"/>
      <c r="E149" s="247"/>
      <c r="F149" s="247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  <c r="S149" s="247"/>
      <c r="T149" s="247"/>
      <c r="U149" s="247"/>
      <c r="V149" s="247"/>
      <c r="W149" s="247"/>
      <c r="X149" s="247"/>
      <c r="Y149" s="247"/>
      <c r="Z149" s="247"/>
    </row>
    <row r="150" ht="13.5" customHeight="1">
      <c r="A150" s="247"/>
      <c r="B150" s="247"/>
      <c r="C150" s="346"/>
      <c r="D150" s="247"/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  <c r="S150" s="247"/>
      <c r="T150" s="247"/>
      <c r="U150" s="247"/>
      <c r="V150" s="247"/>
      <c r="W150" s="247"/>
      <c r="X150" s="247"/>
      <c r="Y150" s="247"/>
      <c r="Z150" s="247"/>
    </row>
    <row r="151" ht="13.5" customHeight="1">
      <c r="A151" s="247"/>
      <c r="B151" s="247"/>
      <c r="C151" s="346"/>
      <c r="D151" s="247"/>
      <c r="E151" s="247"/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  <c r="S151" s="247"/>
      <c r="T151" s="247"/>
      <c r="U151" s="247"/>
      <c r="V151" s="247"/>
      <c r="W151" s="247"/>
      <c r="X151" s="247"/>
      <c r="Y151" s="247"/>
      <c r="Z151" s="247"/>
    </row>
    <row r="152" ht="13.5" customHeight="1">
      <c r="A152" s="247"/>
      <c r="B152" s="247"/>
      <c r="C152" s="346"/>
      <c r="D152" s="247"/>
      <c r="E152" s="247"/>
      <c r="F152" s="247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47"/>
      <c r="S152" s="247"/>
      <c r="T152" s="247"/>
      <c r="U152" s="247"/>
      <c r="V152" s="247"/>
      <c r="W152" s="247"/>
      <c r="X152" s="247"/>
      <c r="Y152" s="247"/>
      <c r="Z152" s="247"/>
    </row>
    <row r="153" ht="13.5" customHeight="1">
      <c r="A153" s="247"/>
      <c r="B153" s="247"/>
      <c r="C153" s="346"/>
      <c r="D153" s="247"/>
      <c r="E153" s="247"/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/>
      <c r="S153" s="247"/>
      <c r="T153" s="247"/>
      <c r="U153" s="247"/>
      <c r="V153" s="247"/>
      <c r="W153" s="247"/>
      <c r="X153" s="247"/>
      <c r="Y153" s="247"/>
      <c r="Z153" s="247"/>
    </row>
    <row r="154" ht="13.5" customHeight="1">
      <c r="A154" s="247"/>
      <c r="B154" s="247"/>
      <c r="C154" s="346"/>
      <c r="D154" s="247"/>
      <c r="E154" s="247"/>
      <c r="F154" s="247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  <c r="S154" s="247"/>
      <c r="T154" s="247"/>
      <c r="U154" s="247"/>
      <c r="V154" s="247"/>
      <c r="W154" s="247"/>
      <c r="X154" s="247"/>
      <c r="Y154" s="247"/>
      <c r="Z154" s="247"/>
    </row>
    <row r="155" ht="13.5" customHeight="1">
      <c r="A155" s="247"/>
      <c r="B155" s="247"/>
      <c r="C155" s="346"/>
      <c r="D155" s="247"/>
      <c r="E155" s="247"/>
      <c r="F155" s="247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  <c r="S155" s="247"/>
      <c r="T155" s="247"/>
      <c r="U155" s="247"/>
      <c r="V155" s="247"/>
      <c r="W155" s="247"/>
      <c r="X155" s="247"/>
      <c r="Y155" s="247"/>
      <c r="Z155" s="247"/>
    </row>
    <row r="156" ht="13.5" customHeight="1">
      <c r="A156" s="247"/>
      <c r="B156" s="247"/>
      <c r="C156" s="346"/>
      <c r="D156" s="247"/>
      <c r="E156" s="247"/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  <c r="S156" s="247"/>
      <c r="T156" s="247"/>
      <c r="U156" s="247"/>
      <c r="V156" s="247"/>
      <c r="W156" s="247"/>
      <c r="X156" s="247"/>
      <c r="Y156" s="247"/>
      <c r="Z156" s="247"/>
    </row>
    <row r="157" ht="13.5" customHeight="1">
      <c r="A157" s="247"/>
      <c r="B157" s="247"/>
      <c r="C157" s="346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  <c r="Y157" s="247"/>
      <c r="Z157" s="247"/>
    </row>
    <row r="158" ht="13.5" customHeight="1">
      <c r="A158" s="247"/>
      <c r="B158" s="247"/>
      <c r="C158" s="346"/>
      <c r="D158" s="247"/>
      <c r="E158" s="247"/>
      <c r="F158" s="247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  <c r="S158" s="247"/>
      <c r="T158" s="247"/>
      <c r="U158" s="247"/>
      <c r="V158" s="247"/>
      <c r="W158" s="247"/>
      <c r="X158" s="247"/>
      <c r="Y158" s="247"/>
      <c r="Z158" s="247"/>
    </row>
    <row r="159" ht="13.5" customHeight="1">
      <c r="A159" s="247"/>
      <c r="B159" s="247"/>
      <c r="C159" s="346"/>
      <c r="D159" s="247"/>
      <c r="E159" s="247"/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  <c r="S159" s="247"/>
      <c r="T159" s="247"/>
      <c r="U159" s="247"/>
      <c r="V159" s="247"/>
      <c r="W159" s="247"/>
      <c r="X159" s="247"/>
      <c r="Y159" s="247"/>
      <c r="Z159" s="247"/>
    </row>
    <row r="160" ht="13.5" customHeight="1">
      <c r="A160" s="247"/>
      <c r="B160" s="247"/>
      <c r="C160" s="346"/>
      <c r="D160" s="247"/>
      <c r="E160" s="247"/>
      <c r="F160" s="247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  <c r="S160" s="247"/>
      <c r="T160" s="247"/>
      <c r="U160" s="247"/>
      <c r="V160" s="247"/>
      <c r="W160" s="247"/>
      <c r="X160" s="247"/>
      <c r="Y160" s="247"/>
      <c r="Z160" s="247"/>
    </row>
    <row r="161" ht="13.5" customHeight="1">
      <c r="A161" s="247"/>
      <c r="B161" s="247"/>
      <c r="C161" s="346"/>
      <c r="D161" s="247"/>
      <c r="E161" s="247"/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  <c r="S161" s="247"/>
      <c r="T161" s="247"/>
      <c r="U161" s="247"/>
      <c r="V161" s="247"/>
      <c r="W161" s="247"/>
      <c r="X161" s="247"/>
      <c r="Y161" s="247"/>
      <c r="Z161" s="247"/>
    </row>
    <row r="162" ht="13.5" customHeight="1">
      <c r="A162" s="247"/>
      <c r="B162" s="247"/>
      <c r="C162" s="346"/>
      <c r="D162" s="247"/>
      <c r="E162" s="247"/>
      <c r="F162" s="247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247"/>
    </row>
    <row r="163" ht="13.5" customHeight="1">
      <c r="A163" s="247"/>
      <c r="B163" s="247"/>
      <c r="C163" s="346"/>
      <c r="D163" s="247"/>
      <c r="E163" s="247"/>
      <c r="F163" s="247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  <c r="S163" s="247"/>
      <c r="T163" s="247"/>
      <c r="U163" s="247"/>
      <c r="V163" s="247"/>
      <c r="W163" s="247"/>
      <c r="X163" s="247"/>
      <c r="Y163" s="247"/>
      <c r="Z163" s="247"/>
    </row>
    <row r="164" ht="13.5" customHeight="1">
      <c r="A164" s="247"/>
      <c r="B164" s="247"/>
      <c r="C164" s="346"/>
      <c r="D164" s="247"/>
      <c r="E164" s="247"/>
      <c r="F164" s="247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  <c r="S164" s="247"/>
      <c r="T164" s="247"/>
      <c r="U164" s="247"/>
      <c r="V164" s="247"/>
      <c r="W164" s="247"/>
      <c r="X164" s="247"/>
      <c r="Y164" s="247"/>
      <c r="Z164" s="247"/>
    </row>
    <row r="165" ht="13.5" customHeight="1">
      <c r="A165" s="247"/>
      <c r="B165" s="247"/>
      <c r="C165" s="346"/>
      <c r="D165" s="247"/>
      <c r="E165" s="247"/>
      <c r="F165" s="247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  <c r="S165" s="247"/>
      <c r="T165" s="247"/>
      <c r="U165" s="247"/>
      <c r="V165" s="247"/>
      <c r="W165" s="247"/>
      <c r="X165" s="247"/>
      <c r="Y165" s="247"/>
      <c r="Z165" s="247"/>
    </row>
    <row r="166" ht="13.5" customHeight="1">
      <c r="A166" s="247"/>
      <c r="B166" s="247"/>
      <c r="C166" s="346"/>
      <c r="D166" s="247"/>
      <c r="E166" s="247"/>
      <c r="F166" s="247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  <c r="S166" s="247"/>
      <c r="T166" s="247"/>
      <c r="U166" s="247"/>
      <c r="V166" s="247"/>
      <c r="W166" s="247"/>
      <c r="X166" s="247"/>
      <c r="Y166" s="247"/>
      <c r="Z166" s="247"/>
    </row>
    <row r="167" ht="13.5" customHeight="1">
      <c r="A167" s="247"/>
      <c r="B167" s="247"/>
      <c r="C167" s="346"/>
      <c r="D167" s="247"/>
      <c r="E167" s="247"/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  <c r="Y167" s="247"/>
      <c r="Z167" s="247"/>
    </row>
    <row r="168" ht="13.5" customHeight="1">
      <c r="A168" s="247"/>
      <c r="B168" s="247"/>
      <c r="C168" s="346"/>
      <c r="D168" s="247"/>
      <c r="E168" s="247"/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  <c r="Y168" s="247"/>
      <c r="Z168" s="247"/>
    </row>
    <row r="169" ht="13.5" customHeight="1">
      <c r="A169" s="247"/>
      <c r="B169" s="247"/>
      <c r="C169" s="346"/>
      <c r="D169" s="247"/>
      <c r="E169" s="247"/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  <c r="S169" s="247"/>
      <c r="T169" s="247"/>
      <c r="U169" s="247"/>
      <c r="V169" s="247"/>
      <c r="W169" s="247"/>
      <c r="X169" s="247"/>
      <c r="Y169" s="247"/>
      <c r="Z169" s="247"/>
    </row>
    <row r="170" ht="13.5" customHeight="1">
      <c r="A170" s="247"/>
      <c r="B170" s="247"/>
      <c r="C170" s="346"/>
      <c r="D170" s="247"/>
      <c r="E170" s="247"/>
      <c r="F170" s="247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  <c r="Y170" s="247"/>
      <c r="Z170" s="247"/>
    </row>
    <row r="171" ht="13.5" customHeight="1">
      <c r="A171" s="247"/>
      <c r="B171" s="247"/>
      <c r="C171" s="346"/>
      <c r="D171" s="247"/>
      <c r="E171" s="247"/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  <c r="Y171" s="247"/>
      <c r="Z171" s="247"/>
    </row>
    <row r="172" ht="13.5" customHeight="1">
      <c r="A172" s="247"/>
      <c r="B172" s="247"/>
      <c r="C172" s="346"/>
      <c r="D172" s="247"/>
      <c r="E172" s="247"/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7"/>
      <c r="Z172" s="247"/>
    </row>
    <row r="173" ht="13.5" customHeight="1">
      <c r="A173" s="247"/>
      <c r="B173" s="247"/>
      <c r="C173" s="346"/>
      <c r="D173" s="247"/>
      <c r="E173" s="247"/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  <c r="Y173" s="247"/>
      <c r="Z173" s="247"/>
    </row>
    <row r="174" ht="13.5" customHeight="1">
      <c r="A174" s="247"/>
      <c r="B174" s="247"/>
      <c r="C174" s="346"/>
      <c r="D174" s="247"/>
      <c r="E174" s="247"/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  <c r="Y174" s="247"/>
      <c r="Z174" s="247"/>
    </row>
    <row r="175" ht="13.5" customHeight="1">
      <c r="A175" s="247"/>
      <c r="B175" s="247"/>
      <c r="C175" s="346"/>
      <c r="D175" s="247"/>
      <c r="E175" s="247"/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  <c r="Y175" s="247"/>
      <c r="Z175" s="247"/>
    </row>
    <row r="176" ht="13.5" customHeight="1">
      <c r="A176" s="247"/>
      <c r="B176" s="247"/>
      <c r="C176" s="346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  <c r="Y176" s="247"/>
      <c r="Z176" s="247"/>
    </row>
    <row r="177" ht="13.5" customHeight="1">
      <c r="A177" s="247"/>
      <c r="B177" s="247"/>
      <c r="C177" s="346"/>
      <c r="D177" s="247"/>
      <c r="E177" s="247"/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  <c r="Y177" s="247"/>
      <c r="Z177" s="247"/>
    </row>
    <row r="178" ht="13.5" customHeight="1">
      <c r="A178" s="247"/>
      <c r="B178" s="247"/>
      <c r="C178" s="346"/>
      <c r="D178" s="247"/>
      <c r="E178" s="247"/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247"/>
    </row>
    <row r="179" ht="13.5" customHeight="1">
      <c r="A179" s="247"/>
      <c r="B179" s="247"/>
      <c r="C179" s="346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247"/>
    </row>
    <row r="180" ht="13.5" customHeight="1">
      <c r="A180" s="247"/>
      <c r="B180" s="247"/>
      <c r="C180" s="346"/>
      <c r="D180" s="247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247"/>
      <c r="Z180" s="247"/>
    </row>
    <row r="181" ht="13.5" customHeight="1">
      <c r="A181" s="247"/>
      <c r="B181" s="247"/>
      <c r="C181" s="346"/>
      <c r="D181" s="247"/>
      <c r="E181" s="247"/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  <c r="Y181" s="247"/>
      <c r="Z181" s="247"/>
    </row>
    <row r="182" ht="13.5" customHeight="1">
      <c r="A182" s="247"/>
      <c r="B182" s="247"/>
      <c r="C182" s="346"/>
      <c r="D182" s="247"/>
      <c r="E182" s="247"/>
      <c r="F182" s="247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  <c r="Y182" s="247"/>
      <c r="Z182" s="247"/>
    </row>
    <row r="183" ht="13.5" customHeight="1">
      <c r="A183" s="247"/>
      <c r="B183" s="247"/>
      <c r="C183" s="346"/>
      <c r="D183" s="247"/>
      <c r="E183" s="247"/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  <c r="Y183" s="247"/>
      <c r="Z183" s="247"/>
    </row>
    <row r="184" ht="13.5" customHeight="1">
      <c r="A184" s="247"/>
      <c r="B184" s="247"/>
      <c r="C184" s="346"/>
      <c r="D184" s="247"/>
      <c r="E184" s="247"/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  <c r="Y184" s="247"/>
      <c r="Z184" s="247"/>
    </row>
    <row r="185" ht="13.5" customHeight="1">
      <c r="A185" s="247"/>
      <c r="B185" s="247"/>
      <c r="C185" s="346"/>
      <c r="D185" s="247"/>
      <c r="E185" s="247"/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  <c r="Y185" s="247"/>
      <c r="Z185" s="247"/>
    </row>
    <row r="186" ht="13.5" customHeight="1">
      <c r="A186" s="247"/>
      <c r="B186" s="247"/>
      <c r="C186" s="346"/>
      <c r="D186" s="247"/>
      <c r="E186" s="247"/>
      <c r="F186" s="247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  <c r="Y186" s="247"/>
      <c r="Z186" s="247"/>
    </row>
    <row r="187" ht="13.5" customHeight="1">
      <c r="A187" s="247"/>
      <c r="B187" s="247"/>
      <c r="C187" s="346"/>
      <c r="D187" s="247"/>
      <c r="E187" s="247"/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247"/>
    </row>
    <row r="188" ht="13.5" customHeight="1">
      <c r="A188" s="247"/>
      <c r="B188" s="247"/>
      <c r="C188" s="346"/>
      <c r="D188" s="247"/>
      <c r="E188" s="247"/>
      <c r="F188" s="247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247"/>
    </row>
    <row r="189" ht="13.5" customHeight="1">
      <c r="A189" s="247"/>
      <c r="B189" s="247"/>
      <c r="C189" s="346"/>
      <c r="D189" s="247"/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  <c r="Y189" s="247"/>
      <c r="Z189" s="247"/>
    </row>
    <row r="190" ht="13.5" customHeight="1">
      <c r="A190" s="247"/>
      <c r="B190" s="247"/>
      <c r="C190" s="346"/>
      <c r="D190" s="247"/>
      <c r="E190" s="247"/>
      <c r="F190" s="247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  <c r="Y190" s="247"/>
      <c r="Z190" s="247"/>
    </row>
    <row r="191" ht="13.5" customHeight="1">
      <c r="A191" s="247"/>
      <c r="B191" s="247"/>
      <c r="C191" s="346"/>
      <c r="D191" s="247"/>
      <c r="E191" s="247"/>
      <c r="F191" s="247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  <c r="Y191" s="247"/>
      <c r="Z191" s="247"/>
    </row>
    <row r="192" ht="13.5" customHeight="1">
      <c r="A192" s="247"/>
      <c r="B192" s="247"/>
      <c r="C192" s="346"/>
      <c r="D192" s="247"/>
      <c r="E192" s="247"/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  <c r="Y192" s="247"/>
      <c r="Z192" s="247"/>
    </row>
    <row r="193" ht="13.5" customHeight="1">
      <c r="A193" s="247"/>
      <c r="B193" s="247"/>
      <c r="C193" s="346"/>
      <c r="D193" s="247"/>
      <c r="E193" s="247"/>
      <c r="F193" s="247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  <c r="Y193" s="247"/>
      <c r="Z193" s="247"/>
    </row>
    <row r="194" ht="13.5" customHeight="1">
      <c r="A194" s="247"/>
      <c r="B194" s="247"/>
      <c r="C194" s="346"/>
      <c r="D194" s="247"/>
      <c r="E194" s="247"/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247"/>
    </row>
    <row r="195" ht="13.5" customHeight="1">
      <c r="A195" s="247"/>
      <c r="B195" s="247"/>
      <c r="C195" s="346"/>
      <c r="D195" s="247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247"/>
    </row>
    <row r="196" ht="13.5" customHeight="1">
      <c r="A196" s="247"/>
      <c r="B196" s="247"/>
      <c r="C196" s="346"/>
      <c r="D196" s="247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  <c r="Y196" s="247"/>
      <c r="Z196" s="247"/>
    </row>
    <row r="197" ht="13.5" customHeight="1">
      <c r="A197" s="247"/>
      <c r="B197" s="247"/>
      <c r="C197" s="346"/>
      <c r="D197" s="247"/>
      <c r="E197" s="247"/>
      <c r="F197" s="247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  <c r="Y197" s="247"/>
      <c r="Z197" s="247"/>
    </row>
    <row r="198" ht="13.5" customHeight="1">
      <c r="A198" s="247"/>
      <c r="B198" s="247"/>
      <c r="C198" s="346"/>
      <c r="D198" s="247"/>
      <c r="E198" s="247"/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  <c r="Y198" s="247"/>
      <c r="Z198" s="247"/>
    </row>
    <row r="199" ht="13.5" customHeight="1">
      <c r="A199" s="247"/>
      <c r="B199" s="247"/>
      <c r="C199" s="346"/>
      <c r="D199" s="247"/>
      <c r="E199" s="247"/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7"/>
    </row>
    <row r="200" ht="13.5" customHeight="1">
      <c r="A200" s="247"/>
      <c r="B200" s="247"/>
      <c r="C200" s="346"/>
      <c r="D200" s="247"/>
      <c r="E200" s="247"/>
      <c r="F200" s="24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  <c r="Y200" s="247"/>
      <c r="Z200" s="247"/>
    </row>
    <row r="201" ht="13.5" customHeight="1">
      <c r="A201" s="247"/>
      <c r="B201" s="247"/>
      <c r="C201" s="346"/>
      <c r="D201" s="247"/>
      <c r="E201" s="247"/>
      <c r="F201" s="24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  <c r="Y201" s="247"/>
      <c r="Z201" s="247"/>
    </row>
    <row r="202" ht="13.5" customHeight="1">
      <c r="A202" s="247"/>
      <c r="B202" s="247"/>
      <c r="C202" s="346"/>
      <c r="D202" s="247"/>
      <c r="E202" s="247"/>
      <c r="F202" s="24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  <c r="Y202" s="247"/>
      <c r="Z202" s="247"/>
    </row>
    <row r="203" ht="13.5" customHeight="1">
      <c r="A203" s="247"/>
      <c r="B203" s="247"/>
      <c r="C203" s="346"/>
      <c r="D203" s="247"/>
      <c r="E203" s="247"/>
      <c r="F203" s="24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  <c r="Y203" s="247"/>
      <c r="Z203" s="247"/>
    </row>
    <row r="204" ht="13.5" customHeight="1">
      <c r="A204" s="247"/>
      <c r="B204" s="247"/>
      <c r="C204" s="346"/>
      <c r="D204" s="247"/>
      <c r="E204" s="247"/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  <c r="Y204" s="247"/>
      <c r="Z204" s="247"/>
    </row>
    <row r="205" ht="13.5" customHeight="1">
      <c r="A205" s="247"/>
      <c r="B205" s="247"/>
      <c r="C205" s="346"/>
      <c r="D205" s="247"/>
      <c r="E205" s="247"/>
      <c r="F205" s="24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  <c r="Y205" s="247"/>
      <c r="Z205" s="247"/>
    </row>
    <row r="206" ht="13.5" customHeight="1">
      <c r="A206" s="247"/>
      <c r="B206" s="247"/>
      <c r="C206" s="346"/>
      <c r="D206" s="247"/>
      <c r="E206" s="247"/>
      <c r="F206" s="24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  <c r="Y206" s="247"/>
      <c r="Z206" s="247"/>
    </row>
    <row r="207" ht="13.5" customHeight="1">
      <c r="A207" s="247"/>
      <c r="B207" s="247"/>
      <c r="C207" s="346"/>
      <c r="D207" s="247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7"/>
    </row>
    <row r="208" ht="13.5" customHeight="1">
      <c r="A208" s="247"/>
      <c r="B208" s="247"/>
      <c r="C208" s="346"/>
      <c r="D208" s="247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7"/>
    </row>
    <row r="209" ht="13.5" customHeight="1">
      <c r="A209" s="247"/>
      <c r="B209" s="247"/>
      <c r="C209" s="346"/>
      <c r="D209" s="247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</row>
    <row r="210" ht="13.5" customHeight="1">
      <c r="A210" s="247"/>
      <c r="B210" s="247"/>
      <c r="C210" s="346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</row>
    <row r="211" ht="13.5" customHeight="1">
      <c r="A211" s="247"/>
      <c r="B211" s="247"/>
      <c r="C211" s="346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7"/>
    </row>
    <row r="212" ht="13.5" customHeight="1">
      <c r="A212" s="247"/>
      <c r="B212" s="247"/>
      <c r="C212" s="346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7"/>
    </row>
    <row r="213" ht="13.5" customHeight="1">
      <c r="A213" s="247"/>
      <c r="B213" s="247"/>
      <c r="C213" s="346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</row>
    <row r="214" ht="13.5" customHeight="1">
      <c r="A214" s="247"/>
      <c r="B214" s="247"/>
      <c r="C214" s="346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7"/>
    </row>
    <row r="215" ht="13.5" customHeight="1">
      <c r="A215" s="247"/>
      <c r="B215" s="247"/>
      <c r="C215" s="346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7"/>
    </row>
    <row r="216" ht="13.5" customHeight="1">
      <c r="A216" s="247"/>
      <c r="B216" s="247"/>
      <c r="C216" s="346"/>
      <c r="D216" s="247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247"/>
    </row>
    <row r="217" ht="13.5" customHeight="1">
      <c r="A217" s="247"/>
      <c r="B217" s="247"/>
      <c r="C217" s="346"/>
      <c r="D217" s="247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247"/>
    </row>
    <row r="218" ht="13.5" customHeight="1">
      <c r="A218" s="247"/>
      <c r="B218" s="247"/>
      <c r="C218" s="346"/>
      <c r="D218" s="247"/>
      <c r="E218" s="247"/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247"/>
    </row>
    <row r="219" ht="13.5" customHeight="1">
      <c r="A219" s="247"/>
      <c r="B219" s="247"/>
      <c r="C219" s="346"/>
      <c r="D219" s="247"/>
      <c r="E219" s="247"/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247"/>
    </row>
    <row r="220" ht="13.5" customHeight="1">
      <c r="A220" s="247"/>
      <c r="B220" s="247"/>
      <c r="C220" s="346"/>
      <c r="D220" s="247"/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247"/>
    </row>
    <row r="221" ht="13.5" customHeight="1">
      <c r="A221" s="247"/>
      <c r="B221" s="247"/>
      <c r="C221" s="346"/>
      <c r="D221" s="247"/>
      <c r="E221" s="247"/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247"/>
    </row>
    <row r="222" ht="13.5" customHeight="1">
      <c r="A222" s="247"/>
      <c r="B222" s="247"/>
      <c r="C222" s="346"/>
      <c r="D222" s="247"/>
      <c r="E222" s="247"/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7"/>
    </row>
    <row r="223" ht="15.75" customHeight="1">
      <c r="A223" s="247"/>
      <c r="B223" s="247"/>
      <c r="C223" s="247"/>
      <c r="D223" s="247"/>
      <c r="E223" s="247"/>
      <c r="F223" s="247"/>
    </row>
    <row r="224" ht="15.75" customHeight="1">
      <c r="A224" s="247"/>
      <c r="B224" s="247"/>
      <c r="C224" s="247"/>
      <c r="D224" s="247"/>
      <c r="E224" s="247"/>
      <c r="F224" s="247"/>
    </row>
    <row r="225" ht="15.75" customHeight="1">
      <c r="A225" s="247"/>
      <c r="B225" s="247"/>
      <c r="C225" s="247"/>
      <c r="D225" s="247"/>
      <c r="E225" s="247"/>
      <c r="F225" s="247"/>
    </row>
    <row r="226" ht="15.75" customHeight="1">
      <c r="A226" s="247"/>
      <c r="B226" s="247"/>
      <c r="C226" s="247"/>
      <c r="D226" s="247"/>
      <c r="E226" s="247"/>
      <c r="F226" s="247"/>
    </row>
    <row r="227" ht="15.75" customHeight="1">
      <c r="A227" s="247"/>
      <c r="B227" s="247"/>
      <c r="C227" s="247"/>
      <c r="D227" s="247"/>
      <c r="E227" s="247"/>
      <c r="F227" s="247"/>
    </row>
    <row r="228" ht="15.75" customHeight="1">
      <c r="A228" s="247"/>
      <c r="B228" s="247"/>
      <c r="C228" s="247"/>
      <c r="D228" s="247"/>
      <c r="E228" s="247"/>
      <c r="F228" s="247"/>
    </row>
    <row r="229" ht="15.75" customHeight="1">
      <c r="A229" s="247"/>
      <c r="B229" s="247"/>
      <c r="C229" s="247"/>
      <c r="D229" s="247"/>
      <c r="E229" s="247"/>
      <c r="F229" s="247"/>
    </row>
    <row r="230" ht="15.75" customHeight="1">
      <c r="A230" s="247"/>
      <c r="B230" s="247"/>
      <c r="C230" s="247"/>
      <c r="D230" s="247"/>
      <c r="E230" s="247"/>
      <c r="F230" s="247"/>
    </row>
    <row r="231" ht="15.75" customHeight="1">
      <c r="A231" s="247"/>
      <c r="B231" s="247"/>
      <c r="C231" s="247"/>
      <c r="D231" s="247"/>
      <c r="E231" s="247"/>
      <c r="F231" s="247"/>
    </row>
    <row r="232" ht="15.75" customHeight="1">
      <c r="A232" s="247"/>
      <c r="B232" s="247"/>
      <c r="C232" s="247"/>
      <c r="D232" s="247"/>
      <c r="E232" s="247"/>
      <c r="F232" s="247"/>
    </row>
    <row r="233" ht="15.75" customHeight="1">
      <c r="A233" s="247"/>
      <c r="B233" s="247"/>
      <c r="C233" s="247"/>
      <c r="D233" s="247"/>
      <c r="E233" s="247"/>
      <c r="F233" s="247"/>
    </row>
    <row r="234" ht="15.75" customHeight="1">
      <c r="A234" s="247"/>
      <c r="B234" s="247"/>
      <c r="C234" s="247"/>
      <c r="D234" s="247"/>
      <c r="E234" s="247"/>
      <c r="F234" s="247"/>
    </row>
    <row r="235" ht="15.75" customHeight="1">
      <c r="A235" s="247"/>
      <c r="B235" s="247"/>
      <c r="C235" s="247"/>
      <c r="D235" s="247"/>
      <c r="E235" s="247"/>
      <c r="F235" s="247"/>
    </row>
    <row r="236" ht="15.75" customHeight="1">
      <c r="A236" s="247"/>
      <c r="B236" s="247"/>
      <c r="C236" s="247"/>
      <c r="D236" s="247"/>
      <c r="E236" s="247"/>
      <c r="F236" s="247"/>
    </row>
    <row r="237" ht="15.75" customHeight="1">
      <c r="A237" s="247"/>
      <c r="B237" s="247"/>
      <c r="C237" s="247"/>
      <c r="D237" s="247"/>
      <c r="E237" s="247"/>
      <c r="F237" s="247"/>
    </row>
    <row r="238" ht="15.75" customHeight="1">
      <c r="A238" s="247"/>
      <c r="B238" s="247"/>
      <c r="C238" s="247"/>
      <c r="D238" s="247"/>
      <c r="E238" s="247"/>
      <c r="F238" s="247"/>
    </row>
    <row r="239" ht="15.75" customHeight="1">
      <c r="A239" s="247"/>
      <c r="B239" s="247"/>
      <c r="C239" s="247"/>
      <c r="D239" s="247"/>
      <c r="E239" s="247"/>
      <c r="F239" s="247"/>
    </row>
    <row r="240" ht="15.75" customHeight="1">
      <c r="A240" s="247"/>
      <c r="B240" s="247"/>
      <c r="C240" s="247"/>
      <c r="D240" s="247"/>
      <c r="E240" s="247"/>
      <c r="F240" s="247"/>
    </row>
    <row r="241" ht="15.75" customHeight="1">
      <c r="A241" s="247"/>
      <c r="B241" s="247"/>
      <c r="C241" s="247"/>
      <c r="D241" s="247"/>
      <c r="E241" s="247"/>
      <c r="F241" s="247"/>
    </row>
    <row r="242" ht="15.75" customHeight="1">
      <c r="A242" s="247"/>
      <c r="B242" s="247"/>
      <c r="C242" s="247"/>
      <c r="D242" s="247"/>
      <c r="E242" s="247"/>
      <c r="F242" s="247"/>
    </row>
    <row r="243" ht="15.75" customHeight="1">
      <c r="A243" s="247"/>
      <c r="B243" s="247"/>
      <c r="C243" s="247"/>
      <c r="D243" s="247"/>
      <c r="E243" s="247"/>
      <c r="F243" s="247"/>
    </row>
    <row r="244" ht="15.75" customHeight="1">
      <c r="A244" s="247"/>
      <c r="B244" s="247"/>
      <c r="C244" s="247"/>
      <c r="D244" s="247"/>
      <c r="E244" s="247"/>
      <c r="F244" s="247"/>
    </row>
    <row r="245" ht="15.75" customHeight="1">
      <c r="A245" s="247"/>
      <c r="B245" s="247"/>
      <c r="C245" s="247"/>
      <c r="D245" s="247"/>
      <c r="E245" s="247"/>
      <c r="F245" s="247"/>
    </row>
    <row r="246" ht="15.75" customHeight="1">
      <c r="A246" s="247"/>
      <c r="B246" s="247"/>
      <c r="C246" s="247"/>
      <c r="D246" s="247"/>
      <c r="E246" s="247"/>
      <c r="F246" s="247"/>
    </row>
    <row r="247" ht="15.75" customHeight="1">
      <c r="A247" s="247"/>
      <c r="B247" s="247"/>
      <c r="C247" s="247"/>
      <c r="D247" s="247"/>
      <c r="E247" s="247"/>
      <c r="F247" s="247"/>
    </row>
    <row r="248" ht="15.75" customHeight="1">
      <c r="A248" s="247"/>
      <c r="B248" s="247"/>
      <c r="C248" s="247"/>
      <c r="D248" s="247"/>
      <c r="E248" s="247"/>
      <c r="F248" s="247"/>
    </row>
    <row r="249" ht="15.75" customHeight="1">
      <c r="A249" s="247"/>
      <c r="B249" s="247"/>
      <c r="C249" s="247"/>
      <c r="D249" s="247"/>
      <c r="E249" s="247"/>
      <c r="F249" s="247"/>
    </row>
    <row r="250" ht="15.75" customHeight="1">
      <c r="A250" s="247"/>
      <c r="B250" s="247"/>
      <c r="C250" s="247"/>
      <c r="D250" s="247"/>
      <c r="E250" s="247"/>
      <c r="F250" s="247"/>
    </row>
    <row r="251" ht="15.75" customHeight="1">
      <c r="A251" s="247"/>
      <c r="B251" s="247"/>
      <c r="C251" s="247"/>
      <c r="D251" s="247"/>
      <c r="E251" s="247"/>
      <c r="F251" s="247"/>
    </row>
    <row r="252" ht="15.75" customHeight="1">
      <c r="A252" s="247"/>
      <c r="B252" s="247"/>
      <c r="C252" s="247"/>
      <c r="D252" s="247"/>
      <c r="E252" s="247"/>
      <c r="F252" s="247"/>
    </row>
    <row r="253" ht="15.75" customHeight="1">
      <c r="A253" s="247"/>
      <c r="B253" s="247"/>
      <c r="C253" s="247"/>
      <c r="D253" s="247"/>
      <c r="E253" s="247"/>
      <c r="F253" s="247"/>
    </row>
    <row r="254" ht="15.75" customHeight="1">
      <c r="A254" s="247"/>
      <c r="B254" s="247"/>
      <c r="C254" s="247"/>
      <c r="D254" s="247"/>
      <c r="E254" s="247"/>
      <c r="F254" s="247"/>
    </row>
    <row r="255" ht="15.75" customHeight="1">
      <c r="A255" s="247"/>
      <c r="B255" s="247"/>
      <c r="C255" s="247"/>
      <c r="D255" s="247"/>
      <c r="E255" s="247"/>
      <c r="F255" s="247"/>
    </row>
    <row r="256" ht="15.75" customHeight="1">
      <c r="A256" s="247"/>
      <c r="B256" s="247"/>
      <c r="C256" s="247"/>
      <c r="D256" s="247"/>
      <c r="E256" s="247"/>
      <c r="F256" s="247"/>
    </row>
    <row r="257" ht="15.75" customHeight="1">
      <c r="A257" s="247"/>
      <c r="B257" s="247"/>
      <c r="C257" s="247"/>
      <c r="D257" s="247"/>
      <c r="E257" s="247"/>
      <c r="F257" s="247"/>
    </row>
    <row r="258" ht="15.75" customHeight="1">
      <c r="A258" s="247"/>
      <c r="B258" s="247"/>
      <c r="C258" s="247"/>
      <c r="D258" s="247"/>
      <c r="E258" s="247"/>
      <c r="F258" s="247"/>
    </row>
    <row r="259" ht="15.75" customHeight="1">
      <c r="A259" s="247"/>
      <c r="B259" s="247"/>
      <c r="C259" s="247"/>
      <c r="D259" s="247"/>
      <c r="E259" s="247"/>
      <c r="F259" s="247"/>
    </row>
    <row r="260" ht="15.75" customHeight="1">
      <c r="A260" s="247"/>
      <c r="B260" s="247"/>
      <c r="C260" s="247"/>
      <c r="D260" s="247"/>
      <c r="E260" s="247"/>
      <c r="F260" s="247"/>
    </row>
    <row r="261" ht="15.75" customHeight="1">
      <c r="A261" s="247"/>
      <c r="B261" s="247"/>
      <c r="C261" s="247"/>
      <c r="D261" s="247"/>
      <c r="E261" s="247"/>
      <c r="F261" s="247"/>
    </row>
    <row r="262" ht="15.75" customHeight="1">
      <c r="A262" s="247"/>
      <c r="B262" s="247"/>
      <c r="C262" s="247"/>
      <c r="D262" s="247"/>
      <c r="E262" s="247"/>
      <c r="F262" s="247"/>
    </row>
    <row r="263" ht="15.75" customHeight="1">
      <c r="A263" s="247"/>
      <c r="B263" s="247"/>
      <c r="C263" s="247"/>
      <c r="D263" s="247"/>
      <c r="E263" s="247"/>
      <c r="F263" s="247"/>
    </row>
    <row r="264" ht="15.75" customHeight="1">
      <c r="A264" s="247"/>
      <c r="B264" s="247"/>
      <c r="C264" s="247"/>
      <c r="D264" s="247"/>
      <c r="E264" s="247"/>
      <c r="F264" s="247"/>
    </row>
    <row r="265" ht="15.75" customHeight="1">
      <c r="A265" s="247"/>
      <c r="B265" s="247"/>
      <c r="C265" s="247"/>
      <c r="D265" s="247"/>
      <c r="E265" s="247"/>
      <c r="F265" s="247"/>
    </row>
    <row r="266" ht="15.75" customHeight="1">
      <c r="A266" s="247"/>
      <c r="B266" s="247"/>
      <c r="C266" s="247"/>
      <c r="D266" s="247"/>
      <c r="E266" s="247"/>
      <c r="F266" s="247"/>
    </row>
    <row r="267" ht="15.75" customHeight="1">
      <c r="A267" s="247"/>
      <c r="B267" s="247"/>
      <c r="C267" s="247"/>
      <c r="D267" s="247"/>
      <c r="E267" s="247"/>
      <c r="F267" s="247"/>
    </row>
    <row r="268" ht="15.75" customHeight="1">
      <c r="A268" s="247"/>
      <c r="B268" s="247"/>
      <c r="C268" s="247"/>
      <c r="D268" s="247"/>
      <c r="E268" s="247"/>
      <c r="F268" s="247"/>
    </row>
    <row r="269" ht="15.75" customHeight="1">
      <c r="A269" s="247"/>
      <c r="B269" s="247"/>
      <c r="C269" s="247"/>
      <c r="D269" s="247"/>
      <c r="E269" s="247"/>
      <c r="F269" s="247"/>
    </row>
    <row r="270" ht="15.75" customHeight="1">
      <c r="A270" s="247"/>
      <c r="B270" s="247"/>
      <c r="C270" s="247"/>
      <c r="D270" s="247"/>
      <c r="E270" s="247"/>
      <c r="F270" s="247"/>
    </row>
    <row r="271" ht="15.75" customHeight="1">
      <c r="A271" s="247"/>
      <c r="B271" s="247"/>
      <c r="C271" s="247"/>
      <c r="D271" s="247"/>
      <c r="E271" s="247"/>
      <c r="F271" s="247"/>
    </row>
    <row r="272" ht="15.75" customHeight="1">
      <c r="A272" s="247"/>
      <c r="B272" s="247"/>
      <c r="C272" s="247"/>
      <c r="D272" s="247"/>
      <c r="E272" s="247"/>
      <c r="F272" s="247"/>
    </row>
    <row r="273" ht="15.75" customHeight="1">
      <c r="A273" s="247"/>
      <c r="B273" s="247"/>
      <c r="C273" s="247"/>
      <c r="D273" s="247"/>
      <c r="E273" s="247"/>
      <c r="F273" s="247"/>
    </row>
    <row r="274" ht="15.75" customHeight="1">
      <c r="A274" s="247"/>
      <c r="B274" s="247"/>
      <c r="C274" s="247"/>
      <c r="D274" s="247"/>
      <c r="E274" s="247"/>
      <c r="F274" s="247"/>
    </row>
    <row r="275" ht="15.75" customHeight="1">
      <c r="A275" s="247"/>
      <c r="B275" s="247"/>
      <c r="C275" s="247"/>
      <c r="D275" s="247"/>
      <c r="E275" s="247"/>
      <c r="F275" s="247"/>
    </row>
    <row r="276" ht="15.75" customHeight="1">
      <c r="A276" s="247"/>
      <c r="B276" s="247"/>
      <c r="C276" s="247"/>
      <c r="D276" s="247"/>
      <c r="E276" s="247"/>
      <c r="F276" s="247"/>
    </row>
    <row r="277" ht="15.75" customHeight="1">
      <c r="A277" s="247"/>
      <c r="B277" s="247"/>
      <c r="C277" s="247"/>
      <c r="D277" s="247"/>
      <c r="E277" s="247"/>
      <c r="F277" s="247"/>
    </row>
    <row r="278" ht="15.75" customHeight="1">
      <c r="A278" s="247"/>
      <c r="B278" s="247"/>
      <c r="C278" s="247"/>
      <c r="D278" s="247"/>
      <c r="E278" s="247"/>
      <c r="F278" s="247"/>
    </row>
    <row r="279" ht="15.75" customHeight="1">
      <c r="A279" s="247"/>
      <c r="B279" s="247"/>
      <c r="C279" s="247"/>
      <c r="D279" s="247"/>
      <c r="E279" s="247"/>
      <c r="F279" s="247"/>
    </row>
    <row r="280" ht="15.75" customHeight="1">
      <c r="A280" s="247"/>
      <c r="B280" s="247"/>
      <c r="C280" s="247"/>
      <c r="D280" s="247"/>
      <c r="E280" s="247"/>
      <c r="F280" s="247"/>
    </row>
    <row r="281" ht="15.75" customHeight="1">
      <c r="A281" s="247"/>
      <c r="B281" s="247"/>
      <c r="C281" s="247"/>
      <c r="D281" s="247"/>
      <c r="E281" s="247"/>
      <c r="F281" s="247"/>
    </row>
    <row r="282" ht="15.75" customHeight="1">
      <c r="A282" s="247"/>
      <c r="B282" s="247"/>
      <c r="C282" s="247"/>
      <c r="D282" s="247"/>
      <c r="E282" s="247"/>
      <c r="F282" s="247"/>
    </row>
    <row r="283" ht="15.75" customHeight="1">
      <c r="A283" s="247"/>
      <c r="B283" s="247"/>
      <c r="C283" s="247"/>
      <c r="D283" s="247"/>
      <c r="E283" s="247"/>
      <c r="F283" s="247"/>
    </row>
    <row r="284" ht="15.75" customHeight="1">
      <c r="A284" s="247"/>
      <c r="B284" s="247"/>
      <c r="C284" s="247"/>
      <c r="D284" s="247"/>
      <c r="E284" s="247"/>
      <c r="F284" s="247"/>
    </row>
    <row r="285" ht="15.75" customHeight="1">
      <c r="A285" s="247"/>
      <c r="B285" s="247"/>
      <c r="C285" s="247"/>
      <c r="D285" s="247"/>
      <c r="E285" s="247"/>
      <c r="F285" s="247"/>
    </row>
    <row r="286" ht="15.75" customHeight="1">
      <c r="A286" s="247"/>
      <c r="B286" s="247"/>
      <c r="C286" s="247"/>
      <c r="D286" s="247"/>
      <c r="E286" s="247"/>
      <c r="F286" s="247"/>
    </row>
    <row r="287" ht="15.75" customHeight="1">
      <c r="A287" s="247"/>
      <c r="B287" s="247"/>
      <c r="C287" s="247"/>
      <c r="D287" s="247"/>
      <c r="E287" s="247"/>
      <c r="F287" s="247"/>
    </row>
    <row r="288" ht="15.75" customHeight="1">
      <c r="A288" s="247"/>
      <c r="B288" s="247"/>
      <c r="C288" s="247"/>
      <c r="D288" s="247"/>
      <c r="E288" s="247"/>
      <c r="F288" s="247"/>
    </row>
    <row r="289" ht="15.75" customHeight="1">
      <c r="A289" s="247"/>
      <c r="B289" s="247"/>
      <c r="C289" s="247"/>
      <c r="D289" s="247"/>
      <c r="E289" s="247"/>
      <c r="F289" s="247"/>
    </row>
    <row r="290" ht="15.75" customHeight="1">
      <c r="A290" s="247"/>
      <c r="B290" s="247"/>
      <c r="C290" s="247"/>
      <c r="D290" s="247"/>
      <c r="E290" s="247"/>
      <c r="F290" s="247"/>
    </row>
    <row r="291" ht="15.75" customHeight="1">
      <c r="A291" s="247"/>
      <c r="B291" s="247"/>
      <c r="C291" s="247"/>
      <c r="D291" s="247"/>
      <c r="E291" s="247"/>
      <c r="F291" s="247"/>
    </row>
    <row r="292" ht="15.75" customHeight="1">
      <c r="A292" s="247"/>
      <c r="B292" s="247"/>
      <c r="C292" s="247"/>
      <c r="D292" s="247"/>
      <c r="E292" s="247"/>
      <c r="F292" s="247"/>
    </row>
    <row r="293" ht="15.75" customHeight="1">
      <c r="A293" s="247"/>
      <c r="B293" s="247"/>
      <c r="C293" s="247"/>
      <c r="D293" s="247"/>
      <c r="E293" s="247"/>
      <c r="F293" s="247"/>
    </row>
    <row r="294" ht="15.75" customHeight="1">
      <c r="A294" s="247"/>
      <c r="B294" s="247"/>
      <c r="C294" s="247"/>
      <c r="D294" s="247"/>
      <c r="E294" s="247"/>
      <c r="F294" s="247"/>
    </row>
    <row r="295" ht="15.75" customHeight="1">
      <c r="A295" s="247"/>
      <c r="B295" s="247"/>
      <c r="C295" s="247"/>
      <c r="D295" s="247"/>
      <c r="E295" s="247"/>
      <c r="F295" s="247"/>
    </row>
    <row r="296" ht="15.75" customHeight="1">
      <c r="A296" s="247"/>
      <c r="B296" s="247"/>
      <c r="C296" s="247"/>
      <c r="D296" s="247"/>
      <c r="E296" s="247"/>
      <c r="F296" s="247"/>
    </row>
    <row r="297" ht="15.75" customHeight="1">
      <c r="A297" s="247"/>
      <c r="B297" s="247"/>
      <c r="C297" s="247"/>
      <c r="D297" s="247"/>
      <c r="E297" s="247"/>
      <c r="F297" s="247"/>
    </row>
    <row r="298" ht="15.75" customHeight="1">
      <c r="A298" s="247"/>
      <c r="B298" s="247"/>
      <c r="C298" s="247"/>
      <c r="D298" s="247"/>
      <c r="E298" s="247"/>
      <c r="F298" s="247"/>
    </row>
    <row r="299" ht="15.75" customHeight="1">
      <c r="A299" s="247"/>
      <c r="B299" s="247"/>
      <c r="C299" s="247"/>
      <c r="D299" s="247"/>
      <c r="E299" s="247"/>
      <c r="F299" s="247"/>
    </row>
    <row r="300" ht="15.75" customHeight="1">
      <c r="A300" s="247"/>
      <c r="B300" s="247"/>
      <c r="C300" s="247"/>
      <c r="D300" s="247"/>
      <c r="E300" s="247"/>
      <c r="F300" s="247"/>
    </row>
    <row r="301" ht="15.75" customHeight="1">
      <c r="A301" s="247"/>
      <c r="B301" s="247"/>
      <c r="C301" s="247"/>
      <c r="D301" s="247"/>
      <c r="E301" s="247"/>
      <c r="F301" s="247"/>
    </row>
    <row r="302" ht="15.75" customHeight="1">
      <c r="A302" s="247"/>
      <c r="B302" s="247"/>
      <c r="C302" s="247"/>
      <c r="D302" s="247"/>
      <c r="E302" s="247"/>
      <c r="F302" s="247"/>
    </row>
    <row r="303" ht="15.75" customHeight="1">
      <c r="A303" s="247"/>
      <c r="B303" s="247"/>
      <c r="C303" s="247"/>
      <c r="D303" s="247"/>
      <c r="E303" s="247"/>
      <c r="F303" s="247"/>
    </row>
    <row r="304" ht="15.75" customHeight="1">
      <c r="A304" s="247"/>
      <c r="B304" s="247"/>
      <c r="C304" s="247"/>
      <c r="D304" s="247"/>
      <c r="E304" s="247"/>
      <c r="F304" s="247"/>
    </row>
    <row r="305" ht="15.75" customHeight="1">
      <c r="A305" s="247"/>
      <c r="B305" s="247"/>
      <c r="C305" s="247"/>
      <c r="D305" s="247"/>
      <c r="E305" s="247"/>
      <c r="F305" s="247"/>
    </row>
    <row r="306" ht="15.75" customHeight="1">
      <c r="A306" s="247"/>
      <c r="B306" s="247"/>
      <c r="C306" s="247"/>
      <c r="D306" s="247"/>
      <c r="E306" s="247"/>
      <c r="F306" s="247"/>
    </row>
    <row r="307" ht="15.75" customHeight="1">
      <c r="A307" s="247"/>
      <c r="B307" s="247"/>
      <c r="C307" s="247"/>
      <c r="D307" s="247"/>
      <c r="E307" s="247"/>
      <c r="F307" s="247"/>
    </row>
    <row r="308" ht="15.75" customHeight="1">
      <c r="A308" s="247"/>
      <c r="B308" s="247"/>
      <c r="C308" s="247"/>
      <c r="D308" s="247"/>
      <c r="E308" s="247"/>
      <c r="F308" s="247"/>
    </row>
    <row r="309" ht="15.75" customHeight="1">
      <c r="A309" s="247"/>
      <c r="B309" s="247"/>
      <c r="C309" s="247"/>
      <c r="D309" s="247"/>
      <c r="E309" s="247"/>
      <c r="F309" s="247"/>
    </row>
    <row r="310" ht="15.75" customHeight="1">
      <c r="A310" s="247"/>
      <c r="B310" s="247"/>
      <c r="C310" s="247"/>
      <c r="D310" s="247"/>
      <c r="E310" s="247"/>
      <c r="F310" s="247"/>
    </row>
    <row r="311" ht="15.75" customHeight="1">
      <c r="A311" s="247"/>
      <c r="B311" s="247"/>
      <c r="C311" s="247"/>
      <c r="D311" s="247"/>
      <c r="E311" s="247"/>
      <c r="F311" s="247"/>
    </row>
    <row r="312" ht="15.75" customHeight="1">
      <c r="A312" s="247"/>
      <c r="B312" s="247"/>
      <c r="C312" s="247"/>
      <c r="D312" s="247"/>
      <c r="E312" s="247"/>
      <c r="F312" s="247"/>
    </row>
    <row r="313" ht="15.75" customHeight="1">
      <c r="A313" s="247"/>
      <c r="B313" s="247"/>
      <c r="C313" s="247"/>
      <c r="D313" s="247"/>
      <c r="E313" s="247"/>
      <c r="F313" s="247"/>
    </row>
    <row r="314" ht="15.75" customHeight="1">
      <c r="A314" s="247"/>
      <c r="B314" s="247"/>
      <c r="C314" s="247"/>
      <c r="D314" s="247"/>
      <c r="E314" s="247"/>
      <c r="F314" s="247"/>
    </row>
    <row r="315" ht="15.75" customHeight="1">
      <c r="A315" s="247"/>
      <c r="B315" s="247"/>
      <c r="C315" s="247"/>
      <c r="D315" s="247"/>
      <c r="E315" s="247"/>
      <c r="F315" s="247"/>
    </row>
    <row r="316" ht="15.75" customHeight="1">
      <c r="A316" s="247"/>
      <c r="B316" s="247"/>
      <c r="C316" s="247"/>
      <c r="D316" s="247"/>
      <c r="E316" s="247"/>
      <c r="F316" s="247"/>
    </row>
    <row r="317" ht="15.75" customHeight="1">
      <c r="A317" s="247"/>
      <c r="B317" s="247"/>
      <c r="C317" s="247"/>
      <c r="D317" s="247"/>
      <c r="E317" s="247"/>
      <c r="F317" s="247"/>
    </row>
    <row r="318" ht="15.75" customHeight="1">
      <c r="A318" s="247"/>
      <c r="B318" s="247"/>
      <c r="C318" s="247"/>
      <c r="D318" s="247"/>
      <c r="E318" s="247"/>
      <c r="F318" s="247"/>
    </row>
    <row r="319" ht="15.75" customHeight="1">
      <c r="A319" s="247"/>
      <c r="B319" s="247"/>
      <c r="C319" s="247"/>
      <c r="D319" s="247"/>
      <c r="E319" s="247"/>
      <c r="F319" s="247"/>
    </row>
    <row r="320" ht="15.75" customHeight="1">
      <c r="A320" s="247"/>
      <c r="B320" s="247"/>
      <c r="C320" s="247"/>
      <c r="D320" s="247"/>
      <c r="E320" s="247"/>
      <c r="F320" s="247"/>
    </row>
    <row r="321" ht="15.75" customHeight="1">
      <c r="A321" s="247"/>
      <c r="B321" s="247"/>
      <c r="C321" s="247"/>
      <c r="D321" s="247"/>
      <c r="E321" s="247"/>
      <c r="F321" s="247"/>
    </row>
    <row r="322" ht="15.75" customHeight="1">
      <c r="A322" s="247"/>
      <c r="B322" s="247"/>
      <c r="C322" s="247"/>
      <c r="D322" s="247"/>
      <c r="E322" s="247"/>
      <c r="F322" s="247"/>
    </row>
    <row r="323" ht="15.75" customHeight="1">
      <c r="A323" s="247"/>
      <c r="B323" s="247"/>
      <c r="C323" s="247"/>
      <c r="D323" s="247"/>
      <c r="E323" s="247"/>
      <c r="F323" s="247"/>
    </row>
    <row r="324" ht="15.75" customHeight="1">
      <c r="A324" s="247"/>
      <c r="B324" s="247"/>
      <c r="C324" s="247"/>
      <c r="D324" s="247"/>
      <c r="E324" s="247"/>
      <c r="F324" s="247"/>
    </row>
    <row r="325" ht="15.75" customHeight="1">
      <c r="A325" s="247"/>
      <c r="B325" s="247"/>
      <c r="C325" s="247"/>
      <c r="D325" s="247"/>
      <c r="E325" s="247"/>
      <c r="F325" s="247"/>
    </row>
    <row r="326" ht="15.75" customHeight="1">
      <c r="A326" s="247"/>
      <c r="B326" s="247"/>
      <c r="C326" s="247"/>
      <c r="D326" s="247"/>
      <c r="E326" s="247"/>
      <c r="F326" s="247"/>
    </row>
    <row r="327" ht="15.75" customHeight="1">
      <c r="A327" s="247"/>
      <c r="B327" s="247"/>
      <c r="C327" s="247"/>
      <c r="D327" s="247"/>
      <c r="E327" s="247"/>
      <c r="F327" s="247"/>
    </row>
    <row r="328" ht="15.75" customHeight="1">
      <c r="A328" s="247"/>
      <c r="B328" s="247"/>
      <c r="C328" s="247"/>
      <c r="D328" s="247"/>
      <c r="E328" s="247"/>
      <c r="F328" s="247"/>
    </row>
    <row r="329" ht="15.75" customHeight="1">
      <c r="A329" s="247"/>
      <c r="B329" s="247"/>
      <c r="C329" s="247"/>
      <c r="D329" s="247"/>
      <c r="E329" s="247"/>
      <c r="F329" s="247"/>
    </row>
    <row r="330" ht="15.75" customHeight="1">
      <c r="A330" s="247"/>
      <c r="B330" s="247"/>
      <c r="C330" s="247"/>
      <c r="D330" s="247"/>
      <c r="E330" s="247"/>
      <c r="F330" s="247"/>
    </row>
    <row r="331" ht="15.75" customHeight="1">
      <c r="A331" s="247"/>
      <c r="B331" s="247"/>
      <c r="C331" s="247"/>
      <c r="D331" s="247"/>
      <c r="E331" s="247"/>
      <c r="F331" s="247"/>
    </row>
    <row r="332" ht="15.75" customHeight="1">
      <c r="A332" s="247"/>
      <c r="B332" s="247"/>
      <c r="C332" s="247"/>
      <c r="D332" s="247"/>
      <c r="E332" s="247"/>
      <c r="F332" s="247"/>
    </row>
    <row r="333" ht="15.75" customHeight="1">
      <c r="A333" s="247"/>
      <c r="B333" s="247"/>
      <c r="C333" s="247"/>
      <c r="D333" s="247"/>
      <c r="E333" s="247"/>
      <c r="F333" s="247"/>
    </row>
    <row r="334" ht="15.75" customHeight="1">
      <c r="A334" s="247"/>
      <c r="B334" s="247"/>
      <c r="C334" s="247"/>
      <c r="D334" s="247"/>
      <c r="E334" s="247"/>
      <c r="F334" s="247"/>
    </row>
    <row r="335" ht="15.75" customHeight="1">
      <c r="A335" s="247"/>
      <c r="B335" s="247"/>
      <c r="C335" s="247"/>
      <c r="D335" s="247"/>
      <c r="E335" s="247"/>
      <c r="F335" s="247"/>
    </row>
    <row r="336" ht="15.75" customHeight="1">
      <c r="A336" s="247"/>
      <c r="B336" s="247"/>
      <c r="C336" s="247"/>
      <c r="D336" s="247"/>
      <c r="E336" s="247"/>
      <c r="F336" s="247"/>
    </row>
    <row r="337" ht="15.75" customHeight="1">
      <c r="A337" s="247"/>
      <c r="B337" s="247"/>
      <c r="C337" s="247"/>
      <c r="D337" s="247"/>
      <c r="E337" s="247"/>
      <c r="F337" s="247"/>
    </row>
    <row r="338" ht="15.75" customHeight="1">
      <c r="A338" s="247"/>
      <c r="B338" s="247"/>
      <c r="C338" s="247"/>
      <c r="D338" s="247"/>
      <c r="E338" s="247"/>
      <c r="F338" s="247"/>
    </row>
    <row r="339" ht="15.75" customHeight="1">
      <c r="A339" s="247"/>
      <c r="B339" s="247"/>
      <c r="C339" s="247"/>
      <c r="D339" s="247"/>
      <c r="E339" s="247"/>
      <c r="F339" s="247"/>
    </row>
    <row r="340" ht="15.75" customHeight="1">
      <c r="A340" s="247"/>
      <c r="B340" s="247"/>
      <c r="C340" s="247"/>
      <c r="D340" s="247"/>
      <c r="E340" s="247"/>
      <c r="F340" s="247"/>
    </row>
    <row r="341" ht="15.75" customHeight="1">
      <c r="A341" s="247"/>
      <c r="B341" s="247"/>
      <c r="C341" s="247"/>
      <c r="D341" s="247"/>
      <c r="E341" s="247"/>
      <c r="F341" s="247"/>
    </row>
    <row r="342" ht="15.75" customHeight="1">
      <c r="A342" s="247"/>
      <c r="B342" s="247"/>
      <c r="C342" s="247"/>
      <c r="D342" s="247"/>
      <c r="E342" s="247"/>
      <c r="F342" s="247"/>
    </row>
    <row r="343" ht="15.75" customHeight="1">
      <c r="A343" s="247"/>
      <c r="B343" s="247"/>
      <c r="C343" s="247"/>
      <c r="D343" s="247"/>
      <c r="E343" s="247"/>
      <c r="F343" s="247"/>
    </row>
    <row r="344" ht="15.75" customHeight="1">
      <c r="A344" s="247"/>
      <c r="B344" s="247"/>
      <c r="C344" s="247"/>
      <c r="D344" s="247"/>
      <c r="E344" s="247"/>
      <c r="F344" s="247"/>
    </row>
    <row r="345" ht="15.75" customHeight="1">
      <c r="A345" s="247"/>
      <c r="B345" s="247"/>
      <c r="C345" s="247"/>
      <c r="D345" s="247"/>
      <c r="E345" s="247"/>
      <c r="F345" s="247"/>
    </row>
    <row r="346" ht="15.75" customHeight="1">
      <c r="A346" s="247"/>
      <c r="B346" s="247"/>
      <c r="C346" s="247"/>
      <c r="D346" s="247"/>
      <c r="E346" s="247"/>
      <c r="F346" s="247"/>
    </row>
    <row r="347" ht="15.75" customHeight="1">
      <c r="A347" s="247"/>
      <c r="B347" s="247"/>
      <c r="C347" s="247"/>
      <c r="D347" s="247"/>
      <c r="E347" s="247"/>
      <c r="F347" s="247"/>
    </row>
    <row r="348" ht="15.75" customHeight="1">
      <c r="A348" s="247"/>
      <c r="B348" s="247"/>
      <c r="C348" s="247"/>
      <c r="D348" s="247"/>
      <c r="E348" s="247"/>
      <c r="F348" s="247"/>
    </row>
    <row r="349" ht="15.75" customHeight="1">
      <c r="A349" s="247"/>
      <c r="B349" s="247"/>
      <c r="C349" s="247"/>
      <c r="D349" s="247"/>
      <c r="E349" s="247"/>
      <c r="F349" s="247"/>
    </row>
    <row r="350" ht="15.75" customHeight="1">
      <c r="A350" s="247"/>
      <c r="B350" s="247"/>
      <c r="C350" s="247"/>
      <c r="D350" s="247"/>
      <c r="E350" s="247"/>
      <c r="F350" s="247"/>
    </row>
    <row r="351" ht="15.75" customHeight="1">
      <c r="A351" s="247"/>
      <c r="B351" s="247"/>
      <c r="C351" s="247"/>
      <c r="D351" s="247"/>
      <c r="E351" s="247"/>
      <c r="F351" s="247"/>
    </row>
    <row r="352" ht="15.75" customHeight="1">
      <c r="A352" s="247"/>
      <c r="B352" s="247"/>
      <c r="C352" s="247"/>
      <c r="D352" s="247"/>
      <c r="E352" s="247"/>
      <c r="F352" s="247"/>
    </row>
    <row r="353" ht="15.75" customHeight="1">
      <c r="A353" s="247"/>
      <c r="B353" s="247"/>
      <c r="C353" s="247"/>
      <c r="D353" s="247"/>
      <c r="E353" s="247"/>
      <c r="F353" s="247"/>
    </row>
    <row r="354" ht="15.75" customHeight="1">
      <c r="A354" s="247"/>
      <c r="B354" s="247"/>
      <c r="C354" s="247"/>
      <c r="D354" s="247"/>
      <c r="E354" s="247"/>
      <c r="F354" s="247"/>
    </row>
    <row r="355" ht="15.75" customHeight="1">
      <c r="A355" s="247"/>
      <c r="B355" s="247"/>
      <c r="C355" s="247"/>
      <c r="D355" s="247"/>
      <c r="E355" s="247"/>
      <c r="F355" s="247"/>
    </row>
    <row r="356" ht="15.75" customHeight="1">
      <c r="A356" s="247"/>
      <c r="B356" s="247"/>
      <c r="C356" s="247"/>
      <c r="D356" s="247"/>
      <c r="E356" s="247"/>
      <c r="F356" s="247"/>
    </row>
    <row r="357" ht="15.75" customHeight="1">
      <c r="A357" s="247"/>
      <c r="B357" s="247"/>
      <c r="C357" s="247"/>
      <c r="D357" s="247"/>
      <c r="E357" s="247"/>
      <c r="F357" s="247"/>
    </row>
    <row r="358" ht="15.75" customHeight="1">
      <c r="A358" s="247"/>
      <c r="B358" s="247"/>
      <c r="C358" s="247"/>
      <c r="D358" s="247"/>
      <c r="E358" s="247"/>
      <c r="F358" s="247"/>
    </row>
    <row r="359" ht="15.75" customHeight="1">
      <c r="A359" s="247"/>
      <c r="B359" s="247"/>
      <c r="C359" s="247"/>
      <c r="D359" s="247"/>
      <c r="E359" s="247"/>
      <c r="F359" s="247"/>
    </row>
    <row r="360" ht="15.75" customHeight="1">
      <c r="A360" s="247"/>
      <c r="B360" s="247"/>
      <c r="C360" s="247"/>
      <c r="D360" s="247"/>
      <c r="E360" s="247"/>
      <c r="F360" s="247"/>
    </row>
    <row r="361" ht="15.75" customHeight="1">
      <c r="A361" s="247"/>
      <c r="B361" s="247"/>
      <c r="C361" s="247"/>
      <c r="D361" s="247"/>
      <c r="E361" s="247"/>
      <c r="F361" s="247"/>
    </row>
    <row r="362" ht="15.75" customHeight="1">
      <c r="A362" s="247"/>
      <c r="B362" s="247"/>
      <c r="C362" s="247"/>
      <c r="D362" s="247"/>
      <c r="E362" s="247"/>
      <c r="F362" s="247"/>
    </row>
    <row r="363" ht="15.75" customHeight="1">
      <c r="A363" s="247"/>
      <c r="B363" s="247"/>
      <c r="C363" s="247"/>
      <c r="D363" s="247"/>
      <c r="E363" s="247"/>
      <c r="F363" s="247"/>
    </row>
    <row r="364" ht="15.75" customHeight="1">
      <c r="A364" s="247"/>
      <c r="B364" s="247"/>
      <c r="C364" s="247"/>
      <c r="D364" s="247"/>
      <c r="E364" s="247"/>
      <c r="F364" s="247"/>
    </row>
    <row r="365" ht="15.75" customHeight="1">
      <c r="A365" s="247"/>
      <c r="B365" s="247"/>
      <c r="C365" s="247"/>
      <c r="D365" s="247"/>
      <c r="E365" s="247"/>
      <c r="F365" s="247"/>
    </row>
    <row r="366" ht="15.75" customHeight="1">
      <c r="A366" s="247"/>
      <c r="B366" s="247"/>
      <c r="C366" s="247"/>
      <c r="D366" s="247"/>
      <c r="E366" s="247"/>
      <c r="F366" s="247"/>
    </row>
    <row r="367" ht="15.75" customHeight="1">
      <c r="A367" s="247"/>
      <c r="B367" s="247"/>
      <c r="C367" s="247"/>
      <c r="D367" s="247"/>
      <c r="E367" s="247"/>
      <c r="F367" s="247"/>
    </row>
    <row r="368" ht="15.75" customHeight="1">
      <c r="A368" s="247"/>
      <c r="B368" s="247"/>
      <c r="C368" s="247"/>
      <c r="D368" s="247"/>
      <c r="E368" s="247"/>
      <c r="F368" s="247"/>
    </row>
    <row r="369" ht="15.75" customHeight="1">
      <c r="A369" s="247"/>
      <c r="B369" s="247"/>
      <c r="C369" s="247"/>
      <c r="D369" s="247"/>
      <c r="E369" s="247"/>
      <c r="F369" s="247"/>
    </row>
    <row r="370" ht="15.75" customHeight="1">
      <c r="A370" s="247"/>
      <c r="B370" s="247"/>
      <c r="C370" s="247"/>
      <c r="D370" s="247"/>
      <c r="E370" s="247"/>
      <c r="F370" s="247"/>
    </row>
    <row r="371" ht="15.75" customHeight="1">
      <c r="A371" s="247"/>
      <c r="B371" s="247"/>
      <c r="C371" s="247"/>
      <c r="D371" s="247"/>
      <c r="E371" s="247"/>
      <c r="F371" s="247"/>
    </row>
    <row r="372" ht="15.75" customHeight="1">
      <c r="A372" s="247"/>
      <c r="B372" s="247"/>
      <c r="C372" s="247"/>
      <c r="D372" s="247"/>
      <c r="E372" s="247"/>
      <c r="F372" s="247"/>
    </row>
    <row r="373" ht="15.75" customHeight="1">
      <c r="A373" s="247"/>
      <c r="B373" s="247"/>
      <c r="C373" s="247"/>
      <c r="D373" s="247"/>
      <c r="E373" s="247"/>
      <c r="F373" s="247"/>
    </row>
    <row r="374" ht="15.75" customHeight="1">
      <c r="A374" s="247"/>
      <c r="B374" s="247"/>
      <c r="C374" s="247"/>
      <c r="D374" s="247"/>
      <c r="E374" s="247"/>
      <c r="F374" s="247"/>
    </row>
    <row r="375" ht="15.75" customHeight="1">
      <c r="A375" s="247"/>
      <c r="B375" s="247"/>
      <c r="C375" s="247"/>
      <c r="D375" s="247"/>
      <c r="E375" s="247"/>
      <c r="F375" s="247"/>
    </row>
    <row r="376" ht="15.75" customHeight="1">
      <c r="A376" s="247"/>
      <c r="B376" s="247"/>
      <c r="C376" s="247"/>
      <c r="D376" s="247"/>
      <c r="E376" s="247"/>
      <c r="F376" s="247"/>
    </row>
    <row r="377" ht="15.75" customHeight="1">
      <c r="A377" s="247"/>
      <c r="B377" s="247"/>
      <c r="C377" s="247"/>
      <c r="D377" s="247"/>
      <c r="E377" s="247"/>
      <c r="F377" s="247"/>
    </row>
    <row r="378" ht="15.75" customHeight="1">
      <c r="A378" s="247"/>
      <c r="B378" s="247"/>
      <c r="C378" s="247"/>
      <c r="D378" s="247"/>
      <c r="E378" s="247"/>
      <c r="F378" s="247"/>
    </row>
    <row r="379" ht="15.75" customHeight="1">
      <c r="A379" s="247"/>
      <c r="B379" s="247"/>
      <c r="C379" s="247"/>
      <c r="D379" s="247"/>
      <c r="E379" s="247"/>
      <c r="F379" s="247"/>
    </row>
    <row r="380" ht="15.75" customHeight="1">
      <c r="A380" s="247"/>
      <c r="B380" s="247"/>
      <c r="C380" s="247"/>
      <c r="D380" s="247"/>
      <c r="E380" s="247"/>
      <c r="F380" s="247"/>
    </row>
    <row r="381" ht="15.75" customHeight="1">
      <c r="A381" s="247"/>
      <c r="B381" s="247"/>
      <c r="C381" s="247"/>
      <c r="D381" s="247"/>
      <c r="E381" s="247"/>
      <c r="F381" s="247"/>
    </row>
    <row r="382" ht="15.75" customHeight="1">
      <c r="A382" s="247"/>
      <c r="B382" s="247"/>
      <c r="C382" s="247"/>
      <c r="D382" s="247"/>
      <c r="E382" s="247"/>
      <c r="F382" s="247"/>
    </row>
    <row r="383" ht="15.75" customHeight="1">
      <c r="A383" s="247"/>
      <c r="B383" s="247"/>
      <c r="C383" s="247"/>
      <c r="D383" s="247"/>
      <c r="E383" s="247"/>
      <c r="F383" s="247"/>
    </row>
    <row r="384" ht="15.75" customHeight="1">
      <c r="A384" s="247"/>
      <c r="B384" s="247"/>
      <c r="C384" s="247"/>
      <c r="D384" s="247"/>
      <c r="E384" s="247"/>
      <c r="F384" s="247"/>
    </row>
    <row r="385" ht="15.75" customHeight="1">
      <c r="A385" s="247"/>
      <c r="B385" s="247"/>
      <c r="C385" s="247"/>
      <c r="D385" s="247"/>
      <c r="E385" s="247"/>
      <c r="F385" s="247"/>
    </row>
    <row r="386" ht="15.75" customHeight="1">
      <c r="A386" s="247"/>
      <c r="B386" s="247"/>
      <c r="C386" s="247"/>
      <c r="D386" s="247"/>
      <c r="E386" s="247"/>
      <c r="F386" s="247"/>
    </row>
    <row r="387" ht="15.75" customHeight="1">
      <c r="A387" s="247"/>
      <c r="B387" s="247"/>
      <c r="C387" s="247"/>
      <c r="D387" s="247"/>
      <c r="E387" s="247"/>
      <c r="F387" s="247"/>
    </row>
    <row r="388" ht="15.75" customHeight="1">
      <c r="A388" s="247"/>
      <c r="B388" s="247"/>
      <c r="C388" s="247"/>
      <c r="D388" s="247"/>
      <c r="E388" s="247"/>
      <c r="F388" s="247"/>
    </row>
    <row r="389" ht="15.75" customHeight="1">
      <c r="A389" s="247"/>
      <c r="B389" s="247"/>
      <c r="C389" s="247"/>
      <c r="D389" s="247"/>
      <c r="E389" s="247"/>
      <c r="F389" s="247"/>
    </row>
    <row r="390" ht="15.75" customHeight="1">
      <c r="A390" s="247"/>
      <c r="B390" s="247"/>
      <c r="C390" s="247"/>
      <c r="D390" s="247"/>
      <c r="E390" s="247"/>
      <c r="F390" s="247"/>
    </row>
    <row r="391" ht="15.75" customHeight="1">
      <c r="A391" s="247"/>
      <c r="B391" s="247"/>
      <c r="C391" s="247"/>
      <c r="D391" s="247"/>
      <c r="E391" s="247"/>
      <c r="F391" s="247"/>
    </row>
    <row r="392" ht="15.75" customHeight="1">
      <c r="A392" s="247"/>
      <c r="B392" s="247"/>
      <c r="C392" s="247"/>
      <c r="D392" s="247"/>
      <c r="E392" s="247"/>
      <c r="F392" s="247"/>
    </row>
    <row r="393" ht="15.75" customHeight="1">
      <c r="A393" s="247"/>
      <c r="B393" s="247"/>
      <c r="C393" s="247"/>
      <c r="D393" s="247"/>
      <c r="E393" s="247"/>
      <c r="F393" s="247"/>
    </row>
    <row r="394" ht="15.75" customHeight="1">
      <c r="A394" s="247"/>
      <c r="B394" s="247"/>
      <c r="C394" s="247"/>
      <c r="D394" s="247"/>
      <c r="E394" s="247"/>
      <c r="F394" s="247"/>
    </row>
    <row r="395" ht="15.75" customHeight="1">
      <c r="A395" s="247"/>
      <c r="B395" s="247"/>
      <c r="C395" s="247"/>
      <c r="D395" s="247"/>
      <c r="E395" s="247"/>
      <c r="F395" s="247"/>
    </row>
    <row r="396" ht="15.75" customHeight="1">
      <c r="A396" s="247"/>
      <c r="B396" s="247"/>
      <c r="C396" s="247"/>
      <c r="D396" s="247"/>
      <c r="E396" s="247"/>
      <c r="F396" s="247"/>
    </row>
    <row r="397" ht="15.75" customHeight="1">
      <c r="A397" s="247"/>
      <c r="B397" s="247"/>
      <c r="C397" s="247"/>
      <c r="D397" s="247"/>
      <c r="E397" s="247"/>
      <c r="F397" s="247"/>
    </row>
    <row r="398" ht="15.75" customHeight="1">
      <c r="A398" s="247"/>
      <c r="B398" s="247"/>
      <c r="C398" s="247"/>
      <c r="D398" s="247"/>
      <c r="E398" s="247"/>
      <c r="F398" s="247"/>
    </row>
    <row r="399" ht="15.75" customHeight="1">
      <c r="A399" s="247"/>
      <c r="B399" s="247"/>
      <c r="C399" s="247"/>
      <c r="D399" s="247"/>
      <c r="E399" s="247"/>
      <c r="F399" s="247"/>
    </row>
    <row r="400" ht="15.75" customHeight="1">
      <c r="A400" s="247"/>
      <c r="B400" s="247"/>
      <c r="C400" s="247"/>
      <c r="D400" s="247"/>
      <c r="E400" s="247"/>
      <c r="F400" s="247"/>
    </row>
    <row r="401" ht="15.75" customHeight="1">
      <c r="A401" s="247"/>
      <c r="B401" s="247"/>
      <c r="C401" s="247"/>
      <c r="D401" s="247"/>
      <c r="E401" s="247"/>
      <c r="F401" s="247"/>
    </row>
    <row r="402" ht="15.75" customHeight="1">
      <c r="A402" s="247"/>
      <c r="B402" s="247"/>
      <c r="C402" s="247"/>
      <c r="D402" s="247"/>
      <c r="E402" s="247"/>
      <c r="F402" s="247"/>
    </row>
    <row r="403" ht="15.75" customHeight="1">
      <c r="A403" s="247"/>
      <c r="B403" s="247"/>
      <c r="C403" s="247"/>
      <c r="D403" s="247"/>
      <c r="E403" s="247"/>
      <c r="F403" s="247"/>
    </row>
    <row r="404" ht="15.75" customHeight="1">
      <c r="A404" s="247"/>
      <c r="B404" s="247"/>
      <c r="C404" s="247"/>
      <c r="D404" s="247"/>
      <c r="E404" s="247"/>
      <c r="F404" s="247"/>
    </row>
    <row r="405" ht="15.75" customHeight="1">
      <c r="A405" s="247"/>
      <c r="B405" s="247"/>
      <c r="C405" s="247"/>
      <c r="D405" s="247"/>
      <c r="E405" s="247"/>
      <c r="F405" s="247"/>
    </row>
    <row r="406" ht="15.75" customHeight="1">
      <c r="A406" s="247"/>
      <c r="B406" s="247"/>
      <c r="C406" s="247"/>
      <c r="D406" s="247"/>
      <c r="E406" s="247"/>
      <c r="F406" s="247"/>
    </row>
    <row r="407" ht="15.75" customHeight="1">
      <c r="A407" s="247"/>
      <c r="B407" s="247"/>
      <c r="C407" s="247"/>
      <c r="D407" s="247"/>
      <c r="E407" s="247"/>
      <c r="F407" s="247"/>
    </row>
    <row r="408" ht="15.75" customHeight="1">
      <c r="A408" s="247"/>
      <c r="B408" s="247"/>
      <c r="C408" s="247"/>
      <c r="D408" s="247"/>
      <c r="E408" s="247"/>
      <c r="F408" s="247"/>
    </row>
    <row r="409" ht="15.75" customHeight="1">
      <c r="A409" s="247"/>
      <c r="B409" s="247"/>
      <c r="C409" s="247"/>
      <c r="D409" s="247"/>
      <c r="E409" s="247"/>
      <c r="F409" s="247"/>
    </row>
    <row r="410" ht="15.75" customHeight="1">
      <c r="A410" s="247"/>
      <c r="B410" s="247"/>
      <c r="C410" s="247"/>
      <c r="D410" s="247"/>
      <c r="E410" s="247"/>
      <c r="F410" s="247"/>
    </row>
    <row r="411" ht="15.75" customHeight="1">
      <c r="A411" s="247"/>
      <c r="B411" s="247"/>
      <c r="C411" s="247"/>
      <c r="D411" s="247"/>
      <c r="E411" s="247"/>
      <c r="F411" s="247"/>
    </row>
    <row r="412" ht="15.75" customHeight="1">
      <c r="A412" s="247"/>
      <c r="B412" s="247"/>
      <c r="C412" s="247"/>
      <c r="D412" s="247"/>
      <c r="E412" s="247"/>
      <c r="F412" s="247"/>
    </row>
    <row r="413" ht="15.75" customHeight="1">
      <c r="A413" s="247"/>
      <c r="B413" s="247"/>
      <c r="C413" s="247"/>
      <c r="D413" s="247"/>
      <c r="E413" s="247"/>
      <c r="F413" s="247"/>
    </row>
    <row r="414" ht="15.75" customHeight="1">
      <c r="A414" s="247"/>
      <c r="B414" s="247"/>
      <c r="C414" s="247"/>
      <c r="D414" s="247"/>
      <c r="E414" s="247"/>
      <c r="F414" s="247"/>
    </row>
    <row r="415" ht="15.75" customHeight="1">
      <c r="A415" s="247"/>
      <c r="B415" s="247"/>
      <c r="C415" s="247"/>
      <c r="D415" s="247"/>
      <c r="E415" s="247"/>
      <c r="F415" s="247"/>
    </row>
    <row r="416" ht="15.75" customHeight="1">
      <c r="A416" s="247"/>
      <c r="B416" s="247"/>
      <c r="C416" s="247"/>
      <c r="D416" s="247"/>
      <c r="E416" s="247"/>
      <c r="F416" s="247"/>
    </row>
    <row r="417" ht="15.75" customHeight="1">
      <c r="A417" s="247"/>
      <c r="B417" s="247"/>
      <c r="C417" s="247"/>
      <c r="D417" s="247"/>
      <c r="E417" s="247"/>
      <c r="F417" s="247"/>
    </row>
    <row r="418" ht="15.75" customHeight="1">
      <c r="A418" s="247"/>
      <c r="B418" s="247"/>
      <c r="C418" s="247"/>
      <c r="D418" s="247"/>
      <c r="E418" s="247"/>
      <c r="F418" s="247"/>
    </row>
    <row r="419" ht="15.75" customHeight="1">
      <c r="A419" s="247"/>
      <c r="B419" s="247"/>
      <c r="C419" s="247"/>
      <c r="D419" s="247"/>
      <c r="E419" s="247"/>
      <c r="F419" s="247"/>
    </row>
    <row r="420" ht="15.75" customHeight="1">
      <c r="A420" s="247"/>
      <c r="B420" s="247"/>
      <c r="C420" s="247"/>
      <c r="D420" s="247"/>
      <c r="E420" s="247"/>
      <c r="F420" s="247"/>
    </row>
    <row r="421" ht="15.75" customHeight="1">
      <c r="A421" s="247"/>
      <c r="B421" s="247"/>
      <c r="C421" s="247"/>
      <c r="D421" s="247"/>
      <c r="E421" s="247"/>
      <c r="F421" s="247"/>
    </row>
    <row r="422" ht="15.75" customHeight="1">
      <c r="A422" s="247"/>
      <c r="B422" s="247"/>
      <c r="C422" s="247"/>
      <c r="D422" s="247"/>
      <c r="E422" s="247"/>
      <c r="F422" s="247"/>
    </row>
    <row r="423" ht="15.75" customHeight="1">
      <c r="A423" s="247"/>
      <c r="B423" s="247"/>
      <c r="C423" s="247"/>
      <c r="D423" s="247"/>
      <c r="E423" s="247"/>
      <c r="F423" s="247"/>
    </row>
    <row r="424" ht="15.75" customHeight="1">
      <c r="A424" s="247"/>
      <c r="B424" s="247"/>
      <c r="C424" s="247"/>
      <c r="D424" s="247"/>
      <c r="E424" s="247"/>
      <c r="F424" s="247"/>
    </row>
    <row r="425" ht="15.75" customHeight="1">
      <c r="A425" s="247"/>
      <c r="B425" s="247"/>
      <c r="C425" s="247"/>
      <c r="D425" s="247"/>
      <c r="E425" s="247"/>
      <c r="F425" s="247"/>
    </row>
    <row r="426" ht="15.75" customHeight="1">
      <c r="A426" s="247"/>
      <c r="B426" s="247"/>
      <c r="C426" s="247"/>
      <c r="D426" s="247"/>
      <c r="E426" s="247"/>
      <c r="F426" s="247"/>
    </row>
    <row r="427" ht="15.75" customHeight="1">
      <c r="A427" s="247"/>
      <c r="B427" s="247"/>
      <c r="C427" s="247"/>
      <c r="D427" s="247"/>
      <c r="E427" s="247"/>
      <c r="F427" s="247"/>
    </row>
    <row r="428" ht="15.75" customHeight="1">
      <c r="A428" s="247"/>
      <c r="B428" s="247"/>
      <c r="C428" s="247"/>
      <c r="D428" s="247"/>
      <c r="E428" s="247"/>
      <c r="F428" s="247"/>
    </row>
    <row r="429" ht="15.75" customHeight="1">
      <c r="A429" s="247"/>
      <c r="B429" s="247"/>
      <c r="C429" s="247"/>
      <c r="D429" s="247"/>
      <c r="E429" s="247"/>
      <c r="F429" s="247"/>
    </row>
    <row r="430" ht="15.75" customHeight="1">
      <c r="A430" s="247"/>
      <c r="B430" s="247"/>
      <c r="C430" s="247"/>
      <c r="D430" s="247"/>
      <c r="E430" s="247"/>
      <c r="F430" s="247"/>
    </row>
    <row r="431" ht="15.75" customHeight="1">
      <c r="A431" s="247"/>
      <c r="B431" s="247"/>
      <c r="C431" s="247"/>
      <c r="D431" s="247"/>
      <c r="E431" s="247"/>
      <c r="F431" s="247"/>
    </row>
    <row r="432" ht="15.75" customHeight="1">
      <c r="A432" s="247"/>
      <c r="B432" s="247"/>
      <c r="C432" s="247"/>
      <c r="D432" s="247"/>
      <c r="E432" s="247"/>
      <c r="F432" s="247"/>
    </row>
    <row r="433" ht="15.75" customHeight="1">
      <c r="A433" s="247"/>
      <c r="B433" s="247"/>
      <c r="C433" s="247"/>
      <c r="D433" s="247"/>
      <c r="E433" s="247"/>
      <c r="F433" s="247"/>
    </row>
    <row r="434" ht="15.75" customHeight="1">
      <c r="A434" s="247"/>
      <c r="B434" s="247"/>
      <c r="C434" s="247"/>
      <c r="D434" s="247"/>
      <c r="E434" s="247"/>
      <c r="F434" s="247"/>
    </row>
    <row r="435" ht="15.75" customHeight="1">
      <c r="A435" s="247"/>
      <c r="B435" s="247"/>
      <c r="C435" s="247"/>
      <c r="D435" s="247"/>
      <c r="E435" s="247"/>
      <c r="F435" s="247"/>
    </row>
    <row r="436" ht="15.75" customHeight="1">
      <c r="A436" s="247"/>
      <c r="B436" s="247"/>
      <c r="C436" s="247"/>
      <c r="D436" s="247"/>
      <c r="E436" s="247"/>
      <c r="F436" s="247"/>
    </row>
    <row r="437" ht="15.75" customHeight="1">
      <c r="A437" s="247"/>
      <c r="B437" s="247"/>
      <c r="C437" s="247"/>
      <c r="D437" s="247"/>
      <c r="E437" s="247"/>
      <c r="F437" s="247"/>
    </row>
    <row r="438" ht="15.75" customHeight="1">
      <c r="A438" s="247"/>
      <c r="B438" s="247"/>
      <c r="C438" s="247"/>
      <c r="D438" s="247"/>
      <c r="E438" s="247"/>
      <c r="F438" s="247"/>
    </row>
    <row r="439" ht="15.75" customHeight="1">
      <c r="A439" s="247"/>
      <c r="B439" s="247"/>
      <c r="C439" s="247"/>
      <c r="D439" s="247"/>
      <c r="E439" s="247"/>
      <c r="F439" s="247"/>
    </row>
    <row r="440" ht="15.75" customHeight="1">
      <c r="A440" s="247"/>
      <c r="B440" s="247"/>
      <c r="C440" s="247"/>
      <c r="D440" s="247"/>
      <c r="E440" s="247"/>
      <c r="F440" s="247"/>
    </row>
    <row r="441" ht="15.75" customHeight="1">
      <c r="A441" s="247"/>
      <c r="B441" s="247"/>
      <c r="C441" s="247"/>
      <c r="D441" s="247"/>
      <c r="E441" s="247"/>
      <c r="F441" s="247"/>
    </row>
    <row r="442" ht="15.75" customHeight="1">
      <c r="A442" s="247"/>
      <c r="B442" s="247"/>
      <c r="C442" s="247"/>
      <c r="D442" s="247"/>
      <c r="E442" s="247"/>
      <c r="F442" s="247"/>
    </row>
    <row r="443" ht="15.75" customHeight="1">
      <c r="A443" s="247"/>
      <c r="B443" s="247"/>
      <c r="C443" s="247"/>
      <c r="D443" s="247"/>
      <c r="E443" s="247"/>
      <c r="F443" s="247"/>
    </row>
    <row r="444" ht="15.75" customHeight="1">
      <c r="A444" s="247"/>
      <c r="B444" s="247"/>
      <c r="C444" s="247"/>
      <c r="D444" s="247"/>
      <c r="E444" s="247"/>
      <c r="F444" s="247"/>
    </row>
    <row r="445" ht="15.75" customHeight="1">
      <c r="A445" s="247"/>
      <c r="B445" s="247"/>
      <c r="C445" s="247"/>
      <c r="D445" s="247"/>
      <c r="E445" s="247"/>
      <c r="F445" s="247"/>
    </row>
    <row r="446" ht="15.75" customHeight="1">
      <c r="A446" s="247"/>
      <c r="B446" s="247"/>
      <c r="C446" s="247"/>
      <c r="D446" s="247"/>
      <c r="E446" s="247"/>
      <c r="F446" s="247"/>
    </row>
    <row r="447" ht="15.75" customHeight="1">
      <c r="A447" s="247"/>
      <c r="B447" s="247"/>
      <c r="C447" s="247"/>
      <c r="D447" s="247"/>
      <c r="E447" s="247"/>
      <c r="F447" s="247"/>
    </row>
    <row r="448" ht="15.75" customHeight="1">
      <c r="A448" s="247"/>
      <c r="B448" s="247"/>
      <c r="C448" s="247"/>
      <c r="D448" s="247"/>
      <c r="E448" s="247"/>
      <c r="F448" s="247"/>
    </row>
    <row r="449" ht="15.75" customHeight="1">
      <c r="A449" s="247"/>
      <c r="B449" s="247"/>
      <c r="C449" s="247"/>
      <c r="D449" s="247"/>
      <c r="E449" s="247"/>
      <c r="F449" s="247"/>
    </row>
    <row r="450" ht="15.75" customHeight="1">
      <c r="A450" s="247"/>
      <c r="B450" s="247"/>
      <c r="C450" s="247"/>
      <c r="D450" s="247"/>
      <c r="E450" s="247"/>
      <c r="F450" s="247"/>
    </row>
    <row r="451" ht="15.75" customHeight="1">
      <c r="A451" s="247"/>
      <c r="B451" s="247"/>
      <c r="C451" s="247"/>
      <c r="D451" s="247"/>
      <c r="E451" s="247"/>
      <c r="F451" s="247"/>
    </row>
    <row r="452" ht="15.75" customHeight="1">
      <c r="A452" s="247"/>
      <c r="B452" s="247"/>
      <c r="C452" s="247"/>
      <c r="D452" s="247"/>
      <c r="E452" s="247"/>
      <c r="F452" s="247"/>
    </row>
    <row r="453" ht="15.75" customHeight="1">
      <c r="A453" s="247"/>
      <c r="B453" s="247"/>
      <c r="C453" s="247"/>
      <c r="D453" s="247"/>
      <c r="E453" s="247"/>
      <c r="F453" s="247"/>
    </row>
    <row r="454" ht="15.75" customHeight="1">
      <c r="A454" s="247"/>
      <c r="B454" s="247"/>
      <c r="C454" s="247"/>
      <c r="D454" s="247"/>
      <c r="E454" s="247"/>
      <c r="F454" s="247"/>
    </row>
    <row r="455" ht="15.75" customHeight="1">
      <c r="A455" s="247"/>
      <c r="B455" s="247"/>
      <c r="C455" s="247"/>
      <c r="D455" s="247"/>
      <c r="E455" s="247"/>
      <c r="F455" s="247"/>
    </row>
    <row r="456" ht="15.75" customHeight="1">
      <c r="A456" s="247"/>
      <c r="B456" s="247"/>
      <c r="C456" s="247"/>
      <c r="D456" s="247"/>
      <c r="E456" s="247"/>
      <c r="F456" s="247"/>
    </row>
    <row r="457" ht="15.75" customHeight="1">
      <c r="A457" s="247"/>
      <c r="B457" s="247"/>
      <c r="C457" s="247"/>
      <c r="D457" s="247"/>
      <c r="E457" s="247"/>
      <c r="F457" s="247"/>
    </row>
    <row r="458" ht="15.75" customHeight="1">
      <c r="A458" s="247"/>
      <c r="B458" s="247"/>
      <c r="C458" s="247"/>
      <c r="D458" s="247"/>
      <c r="E458" s="247"/>
      <c r="F458" s="247"/>
    </row>
    <row r="459" ht="15.75" customHeight="1">
      <c r="A459" s="247"/>
      <c r="B459" s="247"/>
      <c r="C459" s="247"/>
      <c r="D459" s="247"/>
      <c r="E459" s="247"/>
      <c r="F459" s="247"/>
    </row>
    <row r="460" ht="15.75" customHeight="1">
      <c r="A460" s="247"/>
      <c r="B460" s="247"/>
      <c r="C460" s="247"/>
      <c r="D460" s="247"/>
      <c r="E460" s="247"/>
      <c r="F460" s="247"/>
    </row>
    <row r="461" ht="15.75" customHeight="1">
      <c r="A461" s="247"/>
      <c r="B461" s="247"/>
      <c r="C461" s="247"/>
      <c r="D461" s="247"/>
      <c r="E461" s="247"/>
      <c r="F461" s="247"/>
    </row>
    <row r="462" ht="15.75" customHeight="1">
      <c r="A462" s="247"/>
      <c r="B462" s="247"/>
      <c r="C462" s="247"/>
      <c r="D462" s="247"/>
      <c r="E462" s="247"/>
      <c r="F462" s="247"/>
    </row>
    <row r="463" ht="15.75" customHeight="1">
      <c r="A463" s="247"/>
      <c r="B463" s="247"/>
      <c r="C463" s="247"/>
      <c r="D463" s="247"/>
      <c r="E463" s="247"/>
      <c r="F463" s="247"/>
    </row>
    <row r="464" ht="15.75" customHeight="1">
      <c r="A464" s="247"/>
      <c r="B464" s="247"/>
      <c r="C464" s="247"/>
      <c r="D464" s="247"/>
      <c r="E464" s="247"/>
      <c r="F464" s="247"/>
    </row>
    <row r="465" ht="15.75" customHeight="1">
      <c r="A465" s="247"/>
      <c r="B465" s="247"/>
      <c r="C465" s="247"/>
      <c r="D465" s="247"/>
      <c r="E465" s="247"/>
      <c r="F465" s="247"/>
    </row>
    <row r="466" ht="15.75" customHeight="1">
      <c r="A466" s="247"/>
      <c r="B466" s="247"/>
      <c r="C466" s="247"/>
      <c r="D466" s="247"/>
      <c r="E466" s="247"/>
      <c r="F466" s="247"/>
    </row>
    <row r="467" ht="15.75" customHeight="1">
      <c r="A467" s="247"/>
      <c r="B467" s="247"/>
      <c r="C467" s="247"/>
      <c r="D467" s="247"/>
      <c r="E467" s="247"/>
      <c r="F467" s="247"/>
    </row>
    <row r="468" ht="15.75" customHeight="1">
      <c r="A468" s="247"/>
      <c r="B468" s="247"/>
      <c r="C468" s="247"/>
      <c r="D468" s="247"/>
      <c r="E468" s="247"/>
      <c r="F468" s="247"/>
    </row>
    <row r="469" ht="15.75" customHeight="1">
      <c r="A469" s="247"/>
      <c r="B469" s="247"/>
      <c r="C469" s="247"/>
      <c r="D469" s="247"/>
      <c r="E469" s="247"/>
      <c r="F469" s="247"/>
    </row>
    <row r="470" ht="15.75" customHeight="1">
      <c r="A470" s="247"/>
      <c r="B470" s="247"/>
      <c r="C470" s="247"/>
      <c r="D470" s="247"/>
      <c r="E470" s="247"/>
      <c r="F470" s="247"/>
    </row>
    <row r="471" ht="15.75" customHeight="1">
      <c r="A471" s="247"/>
      <c r="B471" s="247"/>
      <c r="C471" s="247"/>
      <c r="D471" s="247"/>
      <c r="E471" s="247"/>
      <c r="F471" s="247"/>
    </row>
    <row r="472" ht="15.75" customHeight="1">
      <c r="A472" s="247"/>
      <c r="B472" s="247"/>
      <c r="C472" s="247"/>
      <c r="D472" s="247"/>
      <c r="E472" s="247"/>
      <c r="F472" s="247"/>
    </row>
    <row r="473" ht="15.75" customHeight="1">
      <c r="A473" s="247"/>
      <c r="B473" s="247"/>
      <c r="C473" s="247"/>
      <c r="D473" s="247"/>
      <c r="E473" s="247"/>
      <c r="F473" s="247"/>
    </row>
    <row r="474" ht="15.75" customHeight="1">
      <c r="A474" s="247"/>
      <c r="B474" s="247"/>
      <c r="C474" s="247"/>
      <c r="D474" s="247"/>
      <c r="E474" s="247"/>
      <c r="F474" s="247"/>
    </row>
    <row r="475" ht="15.75" customHeight="1">
      <c r="A475" s="247"/>
      <c r="B475" s="247"/>
      <c r="C475" s="247"/>
      <c r="D475" s="247"/>
      <c r="E475" s="247"/>
      <c r="F475" s="247"/>
    </row>
    <row r="476" ht="15.75" customHeight="1">
      <c r="A476" s="247"/>
      <c r="B476" s="247"/>
      <c r="C476" s="247"/>
      <c r="D476" s="247"/>
      <c r="E476" s="247"/>
      <c r="F476" s="247"/>
    </row>
    <row r="477" ht="15.75" customHeight="1">
      <c r="A477" s="247"/>
      <c r="B477" s="247"/>
      <c r="C477" s="247"/>
      <c r="D477" s="247"/>
      <c r="E477" s="247"/>
      <c r="F477" s="247"/>
    </row>
    <row r="478" ht="15.75" customHeight="1">
      <c r="A478" s="247"/>
      <c r="B478" s="247"/>
      <c r="C478" s="247"/>
      <c r="D478" s="247"/>
      <c r="E478" s="247"/>
      <c r="F478" s="247"/>
    </row>
    <row r="479" ht="15.75" customHeight="1">
      <c r="A479" s="247"/>
      <c r="B479" s="247"/>
      <c r="C479" s="247"/>
      <c r="D479" s="247"/>
      <c r="E479" s="247"/>
      <c r="F479" s="247"/>
    </row>
    <row r="480" ht="15.75" customHeight="1">
      <c r="A480" s="247"/>
      <c r="B480" s="247"/>
      <c r="C480" s="247"/>
      <c r="D480" s="247"/>
      <c r="E480" s="247"/>
      <c r="F480" s="247"/>
    </row>
    <row r="481" ht="15.75" customHeight="1">
      <c r="A481" s="247"/>
      <c r="B481" s="247"/>
      <c r="C481" s="247"/>
      <c r="D481" s="247"/>
      <c r="E481" s="247"/>
      <c r="F481" s="247"/>
    </row>
    <row r="482" ht="15.75" customHeight="1">
      <c r="A482" s="247"/>
      <c r="B482" s="247"/>
      <c r="C482" s="247"/>
      <c r="D482" s="247"/>
      <c r="E482" s="247"/>
      <c r="F482" s="247"/>
    </row>
    <row r="483" ht="15.75" customHeight="1">
      <c r="A483" s="247"/>
      <c r="B483" s="247"/>
      <c r="C483" s="247"/>
      <c r="D483" s="247"/>
      <c r="E483" s="247"/>
      <c r="F483" s="247"/>
    </row>
    <row r="484" ht="15.75" customHeight="1">
      <c r="A484" s="247"/>
      <c r="B484" s="247"/>
      <c r="C484" s="247"/>
      <c r="D484" s="247"/>
      <c r="E484" s="247"/>
      <c r="F484" s="247"/>
    </row>
    <row r="485" ht="15.75" customHeight="1">
      <c r="A485" s="247"/>
      <c r="B485" s="247"/>
      <c r="C485" s="247"/>
      <c r="D485" s="247"/>
      <c r="E485" s="247"/>
      <c r="F485" s="247"/>
    </row>
    <row r="486" ht="15.75" customHeight="1">
      <c r="A486" s="247"/>
      <c r="B486" s="247"/>
      <c r="C486" s="247"/>
      <c r="D486" s="247"/>
      <c r="E486" s="247"/>
      <c r="F486" s="247"/>
    </row>
    <row r="487" ht="15.75" customHeight="1">
      <c r="A487" s="247"/>
      <c r="B487" s="247"/>
      <c r="C487" s="247"/>
      <c r="D487" s="247"/>
      <c r="E487" s="247"/>
      <c r="F487" s="247"/>
    </row>
    <row r="488" ht="15.75" customHeight="1">
      <c r="A488" s="247"/>
      <c r="B488" s="247"/>
      <c r="C488" s="247"/>
      <c r="D488" s="247"/>
      <c r="E488" s="247"/>
      <c r="F488" s="247"/>
    </row>
    <row r="489" ht="15.75" customHeight="1">
      <c r="A489" s="247"/>
      <c r="B489" s="247"/>
      <c r="C489" s="247"/>
      <c r="D489" s="247"/>
      <c r="E489" s="247"/>
      <c r="F489" s="247"/>
    </row>
    <row r="490" ht="15.75" customHeight="1">
      <c r="A490" s="247"/>
      <c r="B490" s="247"/>
      <c r="C490" s="247"/>
      <c r="D490" s="247"/>
      <c r="E490" s="247"/>
      <c r="F490" s="247"/>
    </row>
    <row r="491" ht="15.75" customHeight="1">
      <c r="A491" s="247"/>
      <c r="B491" s="247"/>
      <c r="C491" s="247"/>
      <c r="D491" s="247"/>
      <c r="E491" s="247"/>
      <c r="F491" s="247"/>
    </row>
    <row r="492" ht="15.75" customHeight="1">
      <c r="A492" s="247"/>
      <c r="B492" s="247"/>
      <c r="C492" s="247"/>
      <c r="D492" s="247"/>
      <c r="E492" s="247"/>
      <c r="F492" s="247"/>
    </row>
    <row r="493" ht="15.75" customHeight="1">
      <c r="A493" s="247"/>
      <c r="B493" s="247"/>
      <c r="C493" s="247"/>
      <c r="D493" s="247"/>
      <c r="E493" s="247"/>
      <c r="F493" s="247"/>
    </row>
    <row r="494" ht="15.75" customHeight="1">
      <c r="A494" s="247"/>
      <c r="B494" s="247"/>
      <c r="C494" s="247"/>
      <c r="D494" s="247"/>
      <c r="E494" s="247"/>
      <c r="F494" s="247"/>
    </row>
    <row r="495" ht="15.75" customHeight="1">
      <c r="A495" s="247"/>
      <c r="B495" s="247"/>
      <c r="C495" s="247"/>
      <c r="D495" s="247"/>
      <c r="E495" s="247"/>
      <c r="F495" s="247"/>
    </row>
    <row r="496" ht="15.75" customHeight="1">
      <c r="A496" s="247"/>
      <c r="B496" s="247"/>
      <c r="C496" s="247"/>
      <c r="D496" s="247"/>
      <c r="E496" s="247"/>
      <c r="F496" s="247"/>
    </row>
    <row r="497" ht="15.75" customHeight="1">
      <c r="A497" s="247"/>
      <c r="B497" s="247"/>
      <c r="C497" s="247"/>
      <c r="D497" s="247"/>
      <c r="E497" s="247"/>
      <c r="F497" s="247"/>
    </row>
    <row r="498" ht="15.75" customHeight="1">
      <c r="A498" s="247"/>
      <c r="B498" s="247"/>
      <c r="C498" s="247"/>
      <c r="D498" s="247"/>
      <c r="E498" s="247"/>
      <c r="F498" s="247"/>
    </row>
    <row r="499" ht="15.75" customHeight="1">
      <c r="A499" s="247"/>
      <c r="B499" s="247"/>
      <c r="C499" s="247"/>
      <c r="D499" s="247"/>
      <c r="E499" s="247"/>
      <c r="F499" s="247"/>
    </row>
    <row r="500" ht="15.75" customHeight="1">
      <c r="A500" s="247"/>
      <c r="B500" s="247"/>
      <c r="C500" s="247"/>
      <c r="D500" s="247"/>
      <c r="E500" s="247"/>
      <c r="F500" s="247"/>
    </row>
    <row r="501" ht="15.75" customHeight="1">
      <c r="A501" s="247"/>
      <c r="B501" s="247"/>
      <c r="C501" s="247"/>
      <c r="D501" s="247"/>
      <c r="E501" s="247"/>
      <c r="F501" s="247"/>
    </row>
    <row r="502" ht="15.75" customHeight="1">
      <c r="A502" s="247"/>
      <c r="B502" s="247"/>
      <c r="C502" s="247"/>
      <c r="D502" s="247"/>
      <c r="E502" s="247"/>
      <c r="F502" s="247"/>
    </row>
    <row r="503" ht="15.75" customHeight="1">
      <c r="A503" s="247"/>
      <c r="B503" s="247"/>
      <c r="C503" s="247"/>
      <c r="D503" s="247"/>
      <c r="E503" s="247"/>
      <c r="F503" s="247"/>
    </row>
    <row r="504" ht="15.75" customHeight="1">
      <c r="A504" s="247"/>
      <c r="B504" s="247"/>
      <c r="C504" s="247"/>
      <c r="D504" s="247"/>
      <c r="E504" s="247"/>
      <c r="F504" s="247"/>
    </row>
    <row r="505" ht="15.75" customHeight="1">
      <c r="A505" s="247"/>
      <c r="B505" s="247"/>
      <c r="C505" s="247"/>
      <c r="D505" s="247"/>
      <c r="E505" s="247"/>
      <c r="F505" s="247"/>
    </row>
    <row r="506" ht="15.75" customHeight="1">
      <c r="A506" s="247"/>
      <c r="B506" s="247"/>
      <c r="C506" s="247"/>
      <c r="D506" s="247"/>
      <c r="E506" s="247"/>
      <c r="F506" s="247"/>
    </row>
    <row r="507" ht="15.75" customHeight="1">
      <c r="A507" s="247"/>
      <c r="B507" s="247"/>
      <c r="C507" s="247"/>
      <c r="D507" s="247"/>
      <c r="E507" s="247"/>
      <c r="F507" s="247"/>
    </row>
    <row r="508" ht="15.75" customHeight="1">
      <c r="A508" s="247"/>
      <c r="B508" s="247"/>
      <c r="C508" s="247"/>
      <c r="D508" s="247"/>
      <c r="E508" s="247"/>
      <c r="F508" s="247"/>
    </row>
    <row r="509" ht="15.75" customHeight="1">
      <c r="A509" s="247"/>
      <c r="B509" s="247"/>
      <c r="C509" s="247"/>
      <c r="D509" s="247"/>
      <c r="E509" s="247"/>
      <c r="F509" s="247"/>
    </row>
    <row r="510" ht="15.75" customHeight="1">
      <c r="A510" s="247"/>
      <c r="B510" s="247"/>
      <c r="C510" s="247"/>
      <c r="D510" s="247"/>
      <c r="E510" s="247"/>
      <c r="F510" s="247"/>
    </row>
    <row r="511" ht="15.75" customHeight="1">
      <c r="A511" s="247"/>
      <c r="B511" s="247"/>
      <c r="C511" s="247"/>
      <c r="D511" s="247"/>
      <c r="E511" s="247"/>
      <c r="F511" s="247"/>
    </row>
    <row r="512" ht="15.75" customHeight="1">
      <c r="A512" s="247"/>
      <c r="B512" s="247"/>
      <c r="C512" s="247"/>
      <c r="D512" s="247"/>
      <c r="E512" s="247"/>
      <c r="F512" s="247"/>
    </row>
    <row r="513" ht="15.75" customHeight="1">
      <c r="A513" s="247"/>
      <c r="B513" s="247"/>
      <c r="C513" s="247"/>
      <c r="D513" s="247"/>
      <c r="E513" s="247"/>
      <c r="F513" s="247"/>
    </row>
    <row r="514" ht="15.75" customHeight="1">
      <c r="A514" s="247"/>
      <c r="B514" s="247"/>
      <c r="C514" s="247"/>
      <c r="D514" s="247"/>
      <c r="E514" s="247"/>
      <c r="F514" s="247"/>
    </row>
    <row r="515" ht="15.75" customHeight="1">
      <c r="A515" s="247"/>
      <c r="B515" s="247"/>
      <c r="C515" s="247"/>
      <c r="D515" s="247"/>
      <c r="E515" s="247"/>
      <c r="F515" s="247"/>
    </row>
    <row r="516" ht="15.75" customHeight="1">
      <c r="A516" s="247"/>
      <c r="B516" s="247"/>
      <c r="C516" s="247"/>
      <c r="D516" s="247"/>
      <c r="E516" s="247"/>
      <c r="F516" s="247"/>
    </row>
    <row r="517" ht="15.75" customHeight="1">
      <c r="A517" s="247"/>
      <c r="B517" s="247"/>
      <c r="C517" s="247"/>
      <c r="D517" s="247"/>
      <c r="E517" s="247"/>
      <c r="F517" s="247"/>
    </row>
    <row r="518" ht="15.75" customHeight="1">
      <c r="A518" s="247"/>
      <c r="B518" s="247"/>
      <c r="C518" s="247"/>
      <c r="D518" s="247"/>
      <c r="E518" s="247"/>
      <c r="F518" s="247"/>
    </row>
    <row r="519" ht="15.75" customHeight="1">
      <c r="A519" s="247"/>
      <c r="B519" s="247"/>
      <c r="C519" s="247"/>
      <c r="D519" s="247"/>
      <c r="E519" s="247"/>
      <c r="F519" s="247"/>
    </row>
    <row r="520" ht="15.75" customHeight="1">
      <c r="A520" s="247"/>
      <c r="B520" s="247"/>
      <c r="C520" s="247"/>
      <c r="D520" s="247"/>
      <c r="E520" s="247"/>
      <c r="F520" s="247"/>
    </row>
    <row r="521" ht="15.75" customHeight="1">
      <c r="A521" s="247"/>
      <c r="B521" s="247"/>
      <c r="C521" s="247"/>
      <c r="D521" s="247"/>
      <c r="E521" s="247"/>
      <c r="F521" s="247"/>
    </row>
    <row r="522" ht="15.75" customHeight="1">
      <c r="A522" s="247"/>
      <c r="B522" s="247"/>
      <c r="C522" s="247"/>
      <c r="D522" s="247"/>
      <c r="E522" s="247"/>
      <c r="F522" s="247"/>
    </row>
    <row r="523" ht="15.75" customHeight="1">
      <c r="A523" s="247"/>
      <c r="B523" s="247"/>
      <c r="C523" s="247"/>
      <c r="D523" s="247"/>
      <c r="E523" s="247"/>
      <c r="F523" s="247"/>
    </row>
    <row r="524" ht="15.75" customHeight="1">
      <c r="A524" s="247"/>
      <c r="B524" s="247"/>
      <c r="C524" s="247"/>
      <c r="D524" s="247"/>
      <c r="E524" s="247"/>
      <c r="F524" s="247"/>
    </row>
    <row r="525" ht="15.75" customHeight="1">
      <c r="A525" s="247"/>
      <c r="B525" s="247"/>
      <c r="C525" s="247"/>
      <c r="D525" s="247"/>
      <c r="E525" s="247"/>
      <c r="F525" s="247"/>
    </row>
    <row r="526" ht="15.75" customHeight="1">
      <c r="A526" s="247"/>
      <c r="B526" s="247"/>
      <c r="C526" s="247"/>
      <c r="D526" s="247"/>
      <c r="E526" s="247"/>
      <c r="F526" s="247"/>
    </row>
    <row r="527" ht="15.75" customHeight="1">
      <c r="A527" s="247"/>
      <c r="B527" s="247"/>
      <c r="C527" s="247"/>
      <c r="D527" s="247"/>
      <c r="E527" s="247"/>
      <c r="F527" s="247"/>
    </row>
    <row r="528" ht="15.75" customHeight="1">
      <c r="A528" s="247"/>
      <c r="B528" s="247"/>
      <c r="C528" s="247"/>
      <c r="D528" s="247"/>
      <c r="E528" s="247"/>
      <c r="F528" s="247"/>
    </row>
    <row r="529" ht="15.75" customHeight="1">
      <c r="A529" s="247"/>
      <c r="B529" s="247"/>
      <c r="C529" s="247"/>
      <c r="D529" s="247"/>
      <c r="E529" s="247"/>
      <c r="F529" s="247"/>
    </row>
    <row r="530" ht="15.75" customHeight="1">
      <c r="A530" s="247"/>
      <c r="B530" s="247"/>
      <c r="C530" s="247"/>
      <c r="D530" s="247"/>
      <c r="E530" s="247"/>
      <c r="F530" s="247"/>
    </row>
    <row r="531" ht="15.75" customHeight="1">
      <c r="A531" s="247"/>
      <c r="B531" s="247"/>
      <c r="C531" s="247"/>
      <c r="D531" s="247"/>
      <c r="E531" s="247"/>
      <c r="F531" s="247"/>
    </row>
    <row r="532" ht="15.75" customHeight="1">
      <c r="A532" s="247"/>
      <c r="B532" s="247"/>
      <c r="C532" s="247"/>
      <c r="D532" s="247"/>
      <c r="E532" s="247"/>
      <c r="F532" s="247"/>
    </row>
    <row r="533" ht="15.75" customHeight="1">
      <c r="A533" s="247"/>
      <c r="B533" s="247"/>
      <c r="C533" s="247"/>
      <c r="D533" s="247"/>
      <c r="E533" s="247"/>
      <c r="F533" s="247"/>
    </row>
    <row r="534" ht="15.75" customHeight="1">
      <c r="A534" s="247"/>
      <c r="B534" s="247"/>
      <c r="C534" s="247"/>
      <c r="D534" s="247"/>
      <c r="E534" s="247"/>
      <c r="F534" s="247"/>
    </row>
    <row r="535" ht="15.75" customHeight="1">
      <c r="A535" s="247"/>
      <c r="B535" s="247"/>
      <c r="C535" s="247"/>
      <c r="D535" s="247"/>
      <c r="E535" s="247"/>
      <c r="F535" s="247"/>
    </row>
    <row r="536" ht="15.75" customHeight="1">
      <c r="A536" s="247"/>
      <c r="B536" s="247"/>
      <c r="C536" s="247"/>
      <c r="D536" s="247"/>
      <c r="E536" s="247"/>
      <c r="F536" s="247"/>
    </row>
    <row r="537" ht="15.75" customHeight="1">
      <c r="A537" s="247"/>
      <c r="B537" s="247"/>
      <c r="C537" s="247"/>
      <c r="D537" s="247"/>
      <c r="E537" s="247"/>
      <c r="F537" s="247"/>
    </row>
    <row r="538" ht="15.75" customHeight="1">
      <c r="A538" s="247"/>
      <c r="B538" s="247"/>
      <c r="C538" s="247"/>
      <c r="D538" s="247"/>
      <c r="E538" s="247"/>
      <c r="F538" s="247"/>
    </row>
    <row r="539" ht="15.75" customHeight="1">
      <c r="A539" s="247"/>
      <c r="B539" s="247"/>
      <c r="C539" s="247"/>
      <c r="D539" s="247"/>
      <c r="E539" s="247"/>
      <c r="F539" s="247"/>
    </row>
    <row r="540" ht="15.75" customHeight="1">
      <c r="A540" s="247"/>
      <c r="B540" s="247"/>
      <c r="C540" s="247"/>
      <c r="D540" s="247"/>
      <c r="E540" s="247"/>
      <c r="F540" s="247"/>
    </row>
    <row r="541" ht="15.75" customHeight="1">
      <c r="A541" s="247"/>
      <c r="B541" s="247"/>
      <c r="C541" s="247"/>
      <c r="D541" s="247"/>
      <c r="E541" s="247"/>
      <c r="F541" s="247"/>
    </row>
    <row r="542" ht="15.75" customHeight="1">
      <c r="A542" s="247"/>
      <c r="B542" s="247"/>
      <c r="C542" s="247"/>
      <c r="D542" s="247"/>
      <c r="E542" s="247"/>
      <c r="F542" s="247"/>
    </row>
    <row r="543" ht="15.75" customHeight="1">
      <c r="A543" s="247"/>
      <c r="B543" s="247"/>
      <c r="C543" s="247"/>
      <c r="D543" s="247"/>
      <c r="E543" s="247"/>
      <c r="F543" s="247"/>
    </row>
    <row r="544" ht="15.75" customHeight="1">
      <c r="A544" s="247"/>
      <c r="B544" s="247"/>
      <c r="C544" s="247"/>
      <c r="D544" s="247"/>
      <c r="E544" s="247"/>
      <c r="F544" s="247"/>
    </row>
    <row r="545" ht="15.75" customHeight="1">
      <c r="A545" s="247"/>
      <c r="B545" s="247"/>
      <c r="C545" s="247"/>
      <c r="D545" s="247"/>
      <c r="E545" s="247"/>
      <c r="F545" s="247"/>
    </row>
    <row r="546" ht="15.75" customHeight="1">
      <c r="A546" s="247"/>
      <c r="B546" s="247"/>
      <c r="C546" s="247"/>
      <c r="D546" s="247"/>
      <c r="E546" s="247"/>
      <c r="F546" s="247"/>
    </row>
    <row r="547" ht="15.75" customHeight="1">
      <c r="A547" s="247"/>
      <c r="B547" s="247"/>
      <c r="C547" s="247"/>
      <c r="D547" s="247"/>
      <c r="E547" s="247"/>
      <c r="F547" s="247"/>
    </row>
    <row r="548" ht="15.75" customHeight="1">
      <c r="A548" s="247"/>
      <c r="B548" s="247"/>
      <c r="C548" s="247"/>
      <c r="D548" s="247"/>
      <c r="E548" s="247"/>
      <c r="F548" s="247"/>
    </row>
    <row r="549" ht="15.75" customHeight="1">
      <c r="A549" s="247"/>
      <c r="B549" s="247"/>
      <c r="C549" s="247"/>
      <c r="D549" s="247"/>
      <c r="E549" s="247"/>
      <c r="F549" s="247"/>
    </row>
    <row r="550" ht="15.75" customHeight="1">
      <c r="A550" s="247"/>
      <c r="B550" s="247"/>
      <c r="C550" s="247"/>
      <c r="D550" s="247"/>
      <c r="E550" s="247"/>
      <c r="F550" s="247"/>
    </row>
    <row r="551" ht="15.75" customHeight="1">
      <c r="A551" s="247"/>
      <c r="B551" s="247"/>
      <c r="C551" s="247"/>
      <c r="D551" s="247"/>
      <c r="E551" s="247"/>
      <c r="F551" s="247"/>
    </row>
    <row r="552" ht="15.75" customHeight="1">
      <c r="A552" s="247"/>
      <c r="B552" s="247"/>
      <c r="C552" s="247"/>
      <c r="D552" s="247"/>
      <c r="E552" s="247"/>
      <c r="F552" s="247"/>
    </row>
    <row r="553" ht="15.75" customHeight="1">
      <c r="A553" s="247"/>
      <c r="B553" s="247"/>
      <c r="C553" s="247"/>
      <c r="D553" s="247"/>
      <c r="E553" s="247"/>
      <c r="F553" s="247"/>
    </row>
    <row r="554" ht="15.75" customHeight="1">
      <c r="A554" s="247"/>
      <c r="B554" s="247"/>
      <c r="C554" s="247"/>
      <c r="D554" s="247"/>
      <c r="E554" s="247"/>
      <c r="F554" s="247"/>
    </row>
    <row r="555" ht="15.75" customHeight="1">
      <c r="A555" s="247"/>
      <c r="B555" s="247"/>
      <c r="C555" s="247"/>
      <c r="D555" s="247"/>
      <c r="E555" s="247"/>
      <c r="F555" s="247"/>
    </row>
    <row r="556" ht="15.75" customHeight="1">
      <c r="A556" s="247"/>
      <c r="B556" s="247"/>
      <c r="C556" s="247"/>
      <c r="D556" s="247"/>
      <c r="E556" s="247"/>
      <c r="F556" s="247"/>
    </row>
    <row r="557" ht="15.75" customHeight="1">
      <c r="A557" s="247"/>
      <c r="B557" s="247"/>
      <c r="C557" s="247"/>
      <c r="D557" s="247"/>
      <c r="E557" s="247"/>
      <c r="F557" s="247"/>
    </row>
    <row r="558" ht="15.75" customHeight="1">
      <c r="A558" s="247"/>
      <c r="B558" s="247"/>
      <c r="C558" s="247"/>
      <c r="D558" s="247"/>
      <c r="E558" s="247"/>
      <c r="F558" s="247"/>
    </row>
    <row r="559" ht="15.75" customHeight="1">
      <c r="A559" s="247"/>
      <c r="B559" s="247"/>
      <c r="C559" s="247"/>
      <c r="D559" s="247"/>
      <c r="E559" s="247"/>
      <c r="F559" s="247"/>
    </row>
    <row r="560" ht="15.75" customHeight="1">
      <c r="A560" s="247"/>
      <c r="B560" s="247"/>
      <c r="C560" s="247"/>
      <c r="D560" s="247"/>
      <c r="E560" s="247"/>
      <c r="F560" s="247"/>
    </row>
    <row r="561" ht="15.75" customHeight="1">
      <c r="A561" s="247"/>
      <c r="B561" s="247"/>
      <c r="C561" s="247"/>
      <c r="D561" s="247"/>
      <c r="E561" s="247"/>
      <c r="F561" s="247"/>
    </row>
    <row r="562" ht="15.75" customHeight="1">
      <c r="A562" s="247"/>
      <c r="B562" s="247"/>
      <c r="C562" s="247"/>
      <c r="D562" s="247"/>
      <c r="E562" s="247"/>
      <c r="F562" s="247"/>
    </row>
    <row r="563" ht="15.75" customHeight="1">
      <c r="A563" s="247"/>
      <c r="B563" s="247"/>
      <c r="C563" s="247"/>
      <c r="D563" s="247"/>
      <c r="E563" s="247"/>
      <c r="F563" s="247"/>
    </row>
    <row r="564" ht="15.75" customHeight="1">
      <c r="A564" s="247"/>
      <c r="B564" s="247"/>
      <c r="C564" s="247"/>
      <c r="D564" s="247"/>
      <c r="E564" s="247"/>
      <c r="F564" s="247"/>
    </row>
    <row r="565" ht="15.75" customHeight="1">
      <c r="A565" s="247"/>
      <c r="B565" s="247"/>
      <c r="C565" s="247"/>
      <c r="D565" s="247"/>
      <c r="E565" s="247"/>
      <c r="F565" s="247"/>
    </row>
    <row r="566" ht="15.75" customHeight="1">
      <c r="A566" s="247"/>
      <c r="B566" s="247"/>
      <c r="C566" s="247"/>
      <c r="D566" s="247"/>
      <c r="E566" s="247"/>
      <c r="F566" s="247"/>
    </row>
    <row r="567" ht="15.75" customHeight="1">
      <c r="A567" s="247"/>
      <c r="B567" s="247"/>
      <c r="C567" s="247"/>
      <c r="D567" s="247"/>
      <c r="E567" s="247"/>
      <c r="F567" s="247"/>
    </row>
    <row r="568" ht="15.75" customHeight="1">
      <c r="A568" s="247"/>
      <c r="B568" s="247"/>
      <c r="C568" s="247"/>
      <c r="D568" s="247"/>
      <c r="E568" s="247"/>
      <c r="F568" s="247"/>
    </row>
    <row r="569" ht="15.75" customHeight="1">
      <c r="A569" s="247"/>
      <c r="B569" s="247"/>
      <c r="C569" s="247"/>
      <c r="D569" s="247"/>
      <c r="E569" s="247"/>
      <c r="F569" s="247"/>
    </row>
    <row r="570" ht="15.75" customHeight="1">
      <c r="A570" s="247"/>
      <c r="B570" s="247"/>
      <c r="C570" s="247"/>
      <c r="D570" s="247"/>
      <c r="E570" s="247"/>
      <c r="F570" s="247"/>
    </row>
    <row r="571" ht="15.75" customHeight="1">
      <c r="A571" s="247"/>
      <c r="B571" s="247"/>
      <c r="C571" s="247"/>
      <c r="D571" s="247"/>
      <c r="E571" s="247"/>
      <c r="F571" s="247"/>
    </row>
    <row r="572" ht="15.75" customHeight="1">
      <c r="A572" s="247"/>
      <c r="B572" s="247"/>
      <c r="C572" s="247"/>
      <c r="D572" s="247"/>
      <c r="E572" s="247"/>
      <c r="F572" s="247"/>
    </row>
    <row r="573" ht="15.75" customHeight="1">
      <c r="A573" s="247"/>
      <c r="B573" s="247"/>
      <c r="C573" s="247"/>
      <c r="D573" s="247"/>
      <c r="E573" s="247"/>
      <c r="F573" s="247"/>
    </row>
    <row r="574" ht="15.75" customHeight="1">
      <c r="A574" s="247"/>
      <c r="B574" s="247"/>
      <c r="C574" s="247"/>
      <c r="D574" s="247"/>
      <c r="E574" s="247"/>
      <c r="F574" s="247"/>
    </row>
    <row r="575" ht="15.75" customHeight="1">
      <c r="A575" s="247"/>
      <c r="B575" s="247"/>
      <c r="C575" s="247"/>
      <c r="D575" s="247"/>
      <c r="E575" s="247"/>
      <c r="F575" s="247"/>
    </row>
    <row r="576" ht="15.75" customHeight="1">
      <c r="A576" s="247"/>
      <c r="B576" s="247"/>
      <c r="C576" s="247"/>
      <c r="D576" s="247"/>
      <c r="E576" s="247"/>
      <c r="F576" s="247"/>
    </row>
    <row r="577" ht="15.75" customHeight="1">
      <c r="A577" s="247"/>
      <c r="B577" s="247"/>
      <c r="C577" s="247"/>
      <c r="D577" s="247"/>
      <c r="E577" s="247"/>
      <c r="F577" s="247"/>
    </row>
    <row r="578" ht="15.75" customHeight="1">
      <c r="A578" s="247"/>
      <c r="B578" s="247"/>
      <c r="C578" s="247"/>
      <c r="D578" s="247"/>
      <c r="E578" s="247"/>
      <c r="F578" s="247"/>
    </row>
    <row r="579" ht="15.75" customHeight="1">
      <c r="A579" s="247"/>
      <c r="B579" s="247"/>
      <c r="C579" s="247"/>
      <c r="D579" s="247"/>
      <c r="E579" s="247"/>
      <c r="F579" s="247"/>
    </row>
    <row r="580" ht="15.75" customHeight="1">
      <c r="A580" s="247"/>
      <c r="B580" s="247"/>
      <c r="C580" s="247"/>
      <c r="D580" s="247"/>
      <c r="E580" s="247"/>
      <c r="F580" s="247"/>
    </row>
    <row r="581" ht="15.75" customHeight="1">
      <c r="A581" s="247"/>
      <c r="B581" s="247"/>
      <c r="C581" s="247"/>
      <c r="D581" s="247"/>
      <c r="E581" s="247"/>
      <c r="F581" s="247"/>
    </row>
    <row r="582" ht="15.75" customHeight="1">
      <c r="A582" s="247"/>
      <c r="B582" s="247"/>
      <c r="C582" s="247"/>
      <c r="D582" s="247"/>
      <c r="E582" s="247"/>
      <c r="F582" s="247"/>
    </row>
    <row r="583" ht="15.75" customHeight="1">
      <c r="A583" s="247"/>
      <c r="B583" s="247"/>
      <c r="C583" s="247"/>
      <c r="D583" s="247"/>
      <c r="E583" s="247"/>
      <c r="F583" s="247"/>
    </row>
    <row r="584" ht="15.75" customHeight="1">
      <c r="A584" s="247"/>
      <c r="B584" s="247"/>
      <c r="C584" s="247"/>
      <c r="D584" s="247"/>
      <c r="E584" s="247"/>
      <c r="F584" s="247"/>
    </row>
    <row r="585" ht="15.75" customHeight="1">
      <c r="A585" s="247"/>
      <c r="B585" s="247"/>
      <c r="C585" s="247"/>
      <c r="D585" s="247"/>
      <c r="E585" s="247"/>
      <c r="F585" s="247"/>
    </row>
    <row r="586" ht="15.75" customHeight="1">
      <c r="A586" s="247"/>
      <c r="B586" s="247"/>
      <c r="C586" s="247"/>
      <c r="D586" s="247"/>
      <c r="E586" s="247"/>
      <c r="F586" s="247"/>
    </row>
    <row r="587" ht="15.75" customHeight="1">
      <c r="A587" s="247"/>
      <c r="B587" s="247"/>
      <c r="C587" s="247"/>
      <c r="D587" s="247"/>
      <c r="E587" s="247"/>
      <c r="F587" s="247"/>
    </row>
    <row r="588" ht="15.75" customHeight="1">
      <c r="A588" s="247"/>
      <c r="B588" s="247"/>
      <c r="C588" s="247"/>
      <c r="D588" s="247"/>
      <c r="E588" s="247"/>
      <c r="F588" s="247"/>
    </row>
    <row r="589" ht="15.75" customHeight="1">
      <c r="A589" s="247"/>
      <c r="B589" s="247"/>
      <c r="C589" s="247"/>
      <c r="D589" s="247"/>
      <c r="E589" s="247"/>
      <c r="F589" s="247"/>
    </row>
    <row r="590" ht="15.75" customHeight="1">
      <c r="A590" s="247"/>
      <c r="B590" s="247"/>
      <c r="C590" s="247"/>
      <c r="D590" s="247"/>
      <c r="E590" s="247"/>
      <c r="F590" s="247"/>
    </row>
    <row r="591" ht="15.75" customHeight="1">
      <c r="A591" s="247"/>
      <c r="B591" s="247"/>
      <c r="C591" s="247"/>
      <c r="D591" s="247"/>
      <c r="E591" s="247"/>
      <c r="F591" s="247"/>
    </row>
    <row r="592" ht="15.75" customHeight="1">
      <c r="A592" s="247"/>
      <c r="B592" s="247"/>
      <c r="C592" s="247"/>
      <c r="D592" s="247"/>
      <c r="E592" s="247"/>
      <c r="F592" s="247"/>
    </row>
    <row r="593" ht="15.75" customHeight="1">
      <c r="A593" s="247"/>
      <c r="B593" s="247"/>
      <c r="C593" s="247"/>
      <c r="D593" s="247"/>
      <c r="E593" s="247"/>
      <c r="F593" s="247"/>
    </row>
    <row r="594" ht="15.75" customHeight="1">
      <c r="A594" s="247"/>
      <c r="B594" s="247"/>
      <c r="C594" s="247"/>
      <c r="D594" s="247"/>
      <c r="E594" s="247"/>
      <c r="F594" s="247"/>
    </row>
    <row r="595" ht="15.75" customHeight="1">
      <c r="A595" s="247"/>
      <c r="B595" s="247"/>
      <c r="C595" s="247"/>
      <c r="D595" s="247"/>
      <c r="E595" s="247"/>
      <c r="F595" s="247"/>
    </row>
    <row r="596" ht="15.75" customHeight="1">
      <c r="A596" s="247"/>
      <c r="B596" s="247"/>
      <c r="C596" s="247"/>
      <c r="D596" s="247"/>
      <c r="E596" s="247"/>
      <c r="F596" s="247"/>
    </row>
    <row r="597" ht="15.75" customHeight="1">
      <c r="A597" s="247"/>
      <c r="B597" s="247"/>
      <c r="C597" s="247"/>
      <c r="D597" s="247"/>
      <c r="E597" s="247"/>
      <c r="F597" s="247"/>
    </row>
    <row r="598" ht="15.75" customHeight="1">
      <c r="A598" s="247"/>
      <c r="B598" s="247"/>
      <c r="C598" s="247"/>
      <c r="D598" s="247"/>
      <c r="E598" s="247"/>
      <c r="F598" s="247"/>
    </row>
    <row r="599" ht="15.75" customHeight="1">
      <c r="A599" s="247"/>
      <c r="B599" s="247"/>
      <c r="C599" s="247"/>
      <c r="D599" s="247"/>
      <c r="E599" s="247"/>
      <c r="F599" s="247"/>
    </row>
    <row r="600" ht="15.75" customHeight="1">
      <c r="A600" s="247"/>
      <c r="B600" s="247"/>
      <c r="C600" s="247"/>
      <c r="D600" s="247"/>
      <c r="E600" s="247"/>
      <c r="F600" s="247"/>
    </row>
    <row r="601" ht="15.75" customHeight="1">
      <c r="A601" s="247"/>
      <c r="B601" s="247"/>
      <c r="C601" s="247"/>
      <c r="D601" s="247"/>
      <c r="E601" s="247"/>
      <c r="F601" s="247"/>
    </row>
    <row r="602" ht="15.75" customHeight="1">
      <c r="A602" s="247"/>
      <c r="B602" s="247"/>
      <c r="C602" s="247"/>
      <c r="D602" s="247"/>
      <c r="E602" s="247"/>
      <c r="F602" s="247"/>
    </row>
    <row r="603" ht="15.75" customHeight="1">
      <c r="A603" s="247"/>
      <c r="B603" s="247"/>
      <c r="C603" s="247"/>
      <c r="D603" s="247"/>
      <c r="E603" s="247"/>
      <c r="F603" s="247"/>
    </row>
    <row r="604" ht="15.75" customHeight="1">
      <c r="A604" s="247"/>
      <c r="B604" s="247"/>
      <c r="C604" s="247"/>
      <c r="D604" s="247"/>
      <c r="E604" s="247"/>
      <c r="F604" s="247"/>
    </row>
    <row r="605" ht="15.75" customHeight="1">
      <c r="A605" s="247"/>
      <c r="B605" s="247"/>
      <c r="C605" s="247"/>
      <c r="D605" s="247"/>
      <c r="E605" s="247"/>
      <c r="F605" s="247"/>
    </row>
    <row r="606" ht="15.75" customHeight="1">
      <c r="A606" s="247"/>
      <c r="B606" s="247"/>
      <c r="C606" s="247"/>
      <c r="D606" s="247"/>
      <c r="E606" s="247"/>
      <c r="F606" s="247"/>
    </row>
    <row r="607" ht="15.75" customHeight="1">
      <c r="A607" s="247"/>
      <c r="B607" s="247"/>
      <c r="C607" s="247"/>
      <c r="D607" s="247"/>
      <c r="E607" s="247"/>
      <c r="F607" s="247"/>
    </row>
    <row r="608" ht="15.75" customHeight="1">
      <c r="A608" s="247"/>
      <c r="B608" s="247"/>
      <c r="C608" s="247"/>
      <c r="D608" s="247"/>
      <c r="E608" s="247"/>
      <c r="F608" s="247"/>
    </row>
    <row r="609" ht="15.75" customHeight="1">
      <c r="A609" s="247"/>
      <c r="B609" s="247"/>
      <c r="C609" s="247"/>
      <c r="D609" s="247"/>
      <c r="E609" s="247"/>
      <c r="F609" s="247"/>
    </row>
    <row r="610" ht="15.75" customHeight="1">
      <c r="A610" s="247"/>
      <c r="B610" s="247"/>
      <c r="C610" s="247"/>
      <c r="D610" s="247"/>
      <c r="E610" s="247"/>
      <c r="F610" s="247"/>
    </row>
    <row r="611" ht="15.75" customHeight="1">
      <c r="A611" s="247"/>
      <c r="B611" s="247"/>
      <c r="C611" s="247"/>
      <c r="D611" s="247"/>
      <c r="E611" s="247"/>
      <c r="F611" s="247"/>
    </row>
    <row r="612" ht="15.75" customHeight="1">
      <c r="A612" s="247"/>
      <c r="B612" s="247"/>
      <c r="C612" s="247"/>
      <c r="D612" s="247"/>
      <c r="E612" s="247"/>
      <c r="F612" s="247"/>
    </row>
    <row r="613" ht="15.75" customHeight="1">
      <c r="A613" s="247"/>
      <c r="B613" s="247"/>
      <c r="C613" s="247"/>
      <c r="D613" s="247"/>
      <c r="E613" s="247"/>
      <c r="F613" s="247"/>
    </row>
    <row r="614" ht="15.75" customHeight="1">
      <c r="A614" s="247"/>
      <c r="B614" s="247"/>
      <c r="C614" s="247"/>
      <c r="D614" s="247"/>
      <c r="E614" s="247"/>
      <c r="F614" s="247"/>
    </row>
    <row r="615" ht="15.75" customHeight="1">
      <c r="A615" s="247"/>
      <c r="B615" s="247"/>
      <c r="C615" s="247"/>
      <c r="D615" s="247"/>
      <c r="E615" s="247"/>
      <c r="F615" s="247"/>
    </row>
    <row r="616" ht="15.75" customHeight="1">
      <c r="A616" s="247"/>
      <c r="B616" s="247"/>
      <c r="C616" s="247"/>
      <c r="D616" s="247"/>
      <c r="E616" s="247"/>
      <c r="F616" s="247"/>
    </row>
    <row r="617" ht="15.75" customHeight="1">
      <c r="A617" s="247"/>
      <c r="B617" s="247"/>
      <c r="C617" s="247"/>
      <c r="D617" s="247"/>
      <c r="E617" s="247"/>
      <c r="F617" s="247"/>
    </row>
    <row r="618" ht="15.75" customHeight="1">
      <c r="A618" s="247"/>
      <c r="B618" s="247"/>
      <c r="C618" s="247"/>
      <c r="D618" s="247"/>
      <c r="E618" s="247"/>
      <c r="F618" s="247"/>
    </row>
    <row r="619" ht="15.75" customHeight="1">
      <c r="A619" s="247"/>
      <c r="B619" s="247"/>
      <c r="C619" s="247"/>
      <c r="D619" s="247"/>
      <c r="E619" s="247"/>
      <c r="F619" s="247"/>
    </row>
    <row r="620" ht="15.75" customHeight="1">
      <c r="A620" s="247"/>
      <c r="B620" s="247"/>
      <c r="C620" s="247"/>
      <c r="D620" s="247"/>
      <c r="E620" s="247"/>
      <c r="F620" s="247"/>
    </row>
    <row r="621" ht="15.75" customHeight="1">
      <c r="A621" s="247"/>
      <c r="B621" s="247"/>
      <c r="C621" s="247"/>
      <c r="D621" s="247"/>
      <c r="E621" s="247"/>
      <c r="F621" s="247"/>
    </row>
    <row r="622" ht="15.75" customHeight="1">
      <c r="A622" s="247"/>
      <c r="B622" s="247"/>
      <c r="C622" s="247"/>
      <c r="D622" s="247"/>
      <c r="E622" s="247"/>
      <c r="F622" s="247"/>
    </row>
    <row r="623" ht="15.75" customHeight="1">
      <c r="A623" s="247"/>
      <c r="B623" s="247"/>
      <c r="C623" s="247"/>
      <c r="D623" s="247"/>
      <c r="E623" s="247"/>
      <c r="F623" s="247"/>
    </row>
    <row r="624" ht="15.75" customHeight="1">
      <c r="A624" s="247"/>
      <c r="B624" s="247"/>
      <c r="C624" s="247"/>
      <c r="D624" s="247"/>
      <c r="E624" s="247"/>
      <c r="F624" s="247"/>
    </row>
    <row r="625" ht="15.75" customHeight="1">
      <c r="A625" s="247"/>
      <c r="B625" s="247"/>
      <c r="C625" s="247"/>
      <c r="D625" s="247"/>
      <c r="E625" s="247"/>
      <c r="F625" s="247"/>
    </row>
    <row r="626" ht="15.75" customHeight="1">
      <c r="A626" s="247"/>
      <c r="B626" s="247"/>
      <c r="C626" s="247"/>
      <c r="D626" s="247"/>
      <c r="E626" s="247"/>
      <c r="F626" s="247"/>
    </row>
    <row r="627" ht="15.75" customHeight="1">
      <c r="A627" s="247"/>
      <c r="B627" s="247"/>
      <c r="C627" s="247"/>
      <c r="D627" s="247"/>
      <c r="E627" s="247"/>
      <c r="F627" s="247"/>
    </row>
    <row r="628" ht="15.75" customHeight="1">
      <c r="A628" s="247"/>
      <c r="B628" s="247"/>
      <c r="C628" s="247"/>
      <c r="D628" s="247"/>
      <c r="E628" s="247"/>
      <c r="F628" s="247"/>
    </row>
    <row r="629" ht="15.75" customHeight="1">
      <c r="A629" s="247"/>
      <c r="B629" s="247"/>
      <c r="C629" s="247"/>
      <c r="D629" s="247"/>
      <c r="E629" s="247"/>
      <c r="F629" s="247"/>
    </row>
    <row r="630" ht="15.75" customHeight="1">
      <c r="A630" s="247"/>
      <c r="B630" s="247"/>
      <c r="C630" s="247"/>
      <c r="D630" s="247"/>
      <c r="E630" s="247"/>
      <c r="F630" s="247"/>
    </row>
    <row r="631" ht="15.75" customHeight="1">
      <c r="A631" s="247"/>
      <c r="B631" s="247"/>
      <c r="C631" s="247"/>
      <c r="D631" s="247"/>
      <c r="E631" s="247"/>
      <c r="F631" s="247"/>
    </row>
    <row r="632" ht="15.75" customHeight="1">
      <c r="A632" s="247"/>
      <c r="B632" s="247"/>
      <c r="C632" s="247"/>
      <c r="D632" s="247"/>
      <c r="E632" s="247"/>
      <c r="F632" s="247"/>
    </row>
    <row r="633" ht="15.75" customHeight="1">
      <c r="A633" s="247"/>
      <c r="B633" s="247"/>
      <c r="C633" s="247"/>
      <c r="D633" s="247"/>
      <c r="E633" s="247"/>
      <c r="F633" s="247"/>
    </row>
    <row r="634" ht="15.75" customHeight="1">
      <c r="A634" s="247"/>
      <c r="B634" s="247"/>
      <c r="C634" s="247"/>
      <c r="D634" s="247"/>
      <c r="E634" s="247"/>
      <c r="F634" s="247"/>
    </row>
    <row r="635" ht="15.75" customHeight="1">
      <c r="A635" s="247"/>
      <c r="B635" s="247"/>
      <c r="C635" s="247"/>
      <c r="D635" s="247"/>
      <c r="E635" s="247"/>
      <c r="F635" s="247"/>
    </row>
    <row r="636" ht="15.75" customHeight="1">
      <c r="A636" s="247"/>
      <c r="B636" s="247"/>
      <c r="C636" s="247"/>
      <c r="D636" s="247"/>
      <c r="E636" s="247"/>
      <c r="F636" s="247"/>
    </row>
    <row r="637" ht="15.75" customHeight="1">
      <c r="A637" s="247"/>
      <c r="B637" s="247"/>
      <c r="C637" s="247"/>
      <c r="D637" s="247"/>
      <c r="E637" s="247"/>
      <c r="F637" s="247"/>
    </row>
    <row r="638" ht="15.75" customHeight="1">
      <c r="A638" s="247"/>
      <c r="B638" s="247"/>
      <c r="C638" s="247"/>
      <c r="D638" s="247"/>
      <c r="E638" s="247"/>
      <c r="F638" s="247"/>
    </row>
    <row r="639" ht="15.75" customHeight="1">
      <c r="A639" s="247"/>
      <c r="B639" s="247"/>
      <c r="C639" s="247"/>
      <c r="D639" s="247"/>
      <c r="E639" s="247"/>
      <c r="F639" s="247"/>
    </row>
    <row r="640" ht="15.75" customHeight="1">
      <c r="A640" s="247"/>
      <c r="B640" s="247"/>
      <c r="C640" s="247"/>
      <c r="D640" s="247"/>
      <c r="E640" s="247"/>
      <c r="F640" s="247"/>
    </row>
    <row r="641" ht="15.75" customHeight="1">
      <c r="A641" s="247"/>
      <c r="B641" s="247"/>
      <c r="C641" s="247"/>
      <c r="D641" s="247"/>
      <c r="E641" s="247"/>
      <c r="F641" s="247"/>
    </row>
    <row r="642" ht="15.75" customHeight="1">
      <c r="A642" s="247"/>
      <c r="B642" s="247"/>
      <c r="C642" s="247"/>
      <c r="D642" s="247"/>
      <c r="E642" s="247"/>
      <c r="F642" s="247"/>
    </row>
    <row r="643" ht="15.75" customHeight="1">
      <c r="A643" s="247"/>
      <c r="B643" s="247"/>
      <c r="C643" s="247"/>
      <c r="D643" s="247"/>
      <c r="E643" s="247"/>
      <c r="F643" s="247"/>
    </row>
    <row r="644" ht="15.75" customHeight="1">
      <c r="A644" s="247"/>
      <c r="B644" s="247"/>
      <c r="C644" s="247"/>
      <c r="D644" s="247"/>
      <c r="E644" s="247"/>
      <c r="F644" s="247"/>
    </row>
    <row r="645" ht="15.75" customHeight="1">
      <c r="A645" s="247"/>
      <c r="B645" s="247"/>
      <c r="C645" s="247"/>
      <c r="D645" s="247"/>
      <c r="E645" s="247"/>
      <c r="F645" s="247"/>
    </row>
    <row r="646" ht="15.75" customHeight="1">
      <c r="A646" s="247"/>
      <c r="B646" s="247"/>
      <c r="C646" s="247"/>
      <c r="D646" s="247"/>
      <c r="E646" s="247"/>
      <c r="F646" s="247"/>
    </row>
    <row r="647" ht="15.75" customHeight="1">
      <c r="A647" s="247"/>
      <c r="B647" s="247"/>
      <c r="C647" s="247"/>
      <c r="D647" s="247"/>
      <c r="E647" s="247"/>
      <c r="F647" s="247"/>
    </row>
    <row r="648" ht="15.75" customHeight="1">
      <c r="A648" s="247"/>
      <c r="B648" s="247"/>
      <c r="C648" s="247"/>
      <c r="D648" s="247"/>
      <c r="E648" s="247"/>
      <c r="F648" s="247"/>
    </row>
    <row r="649" ht="15.75" customHeight="1">
      <c r="A649" s="247"/>
      <c r="B649" s="247"/>
      <c r="C649" s="247"/>
      <c r="D649" s="247"/>
      <c r="E649" s="247"/>
      <c r="F649" s="247"/>
    </row>
    <row r="650" ht="15.75" customHeight="1">
      <c r="A650" s="247"/>
      <c r="B650" s="247"/>
      <c r="C650" s="247"/>
      <c r="D650" s="247"/>
      <c r="E650" s="247"/>
      <c r="F650" s="247"/>
    </row>
    <row r="651" ht="15.75" customHeight="1">
      <c r="A651" s="247"/>
      <c r="B651" s="247"/>
      <c r="C651" s="247"/>
      <c r="D651" s="247"/>
      <c r="E651" s="247"/>
      <c r="F651" s="247"/>
    </row>
    <row r="652" ht="15.75" customHeight="1">
      <c r="A652" s="247"/>
      <c r="B652" s="247"/>
      <c r="C652" s="247"/>
      <c r="D652" s="247"/>
      <c r="E652" s="247"/>
      <c r="F652" s="247"/>
    </row>
    <row r="653" ht="15.75" customHeight="1">
      <c r="A653" s="247"/>
      <c r="B653" s="247"/>
      <c r="C653" s="247"/>
      <c r="D653" s="247"/>
      <c r="E653" s="247"/>
      <c r="F653" s="247"/>
    </row>
    <row r="654" ht="15.75" customHeight="1">
      <c r="A654" s="247"/>
      <c r="B654" s="247"/>
      <c r="C654" s="247"/>
      <c r="D654" s="247"/>
      <c r="E654" s="247"/>
      <c r="F654" s="247"/>
    </row>
    <row r="655" ht="15.75" customHeight="1">
      <c r="A655" s="247"/>
      <c r="B655" s="247"/>
      <c r="C655" s="247"/>
      <c r="D655" s="247"/>
      <c r="E655" s="247"/>
      <c r="F655" s="247"/>
    </row>
    <row r="656" ht="15.75" customHeight="1">
      <c r="A656" s="247"/>
      <c r="B656" s="247"/>
      <c r="C656" s="247"/>
      <c r="D656" s="247"/>
      <c r="E656" s="247"/>
      <c r="F656" s="247"/>
    </row>
    <row r="657" ht="15.75" customHeight="1">
      <c r="A657" s="247"/>
      <c r="B657" s="247"/>
      <c r="C657" s="247"/>
      <c r="D657" s="247"/>
      <c r="E657" s="247"/>
      <c r="F657" s="247"/>
    </row>
    <row r="658" ht="15.75" customHeight="1">
      <c r="A658" s="247"/>
      <c r="B658" s="247"/>
      <c r="C658" s="247"/>
      <c r="D658" s="247"/>
      <c r="E658" s="247"/>
      <c r="F658" s="247"/>
    </row>
    <row r="659" ht="15.75" customHeight="1">
      <c r="A659" s="247"/>
      <c r="B659" s="247"/>
      <c r="C659" s="247"/>
      <c r="D659" s="247"/>
      <c r="E659" s="247"/>
      <c r="F659" s="247"/>
    </row>
    <row r="660" ht="15.75" customHeight="1">
      <c r="A660" s="247"/>
      <c r="B660" s="247"/>
      <c r="C660" s="247"/>
      <c r="D660" s="247"/>
      <c r="E660" s="247"/>
      <c r="F660" s="247"/>
    </row>
    <row r="661" ht="15.75" customHeight="1">
      <c r="A661" s="247"/>
      <c r="B661" s="247"/>
      <c r="C661" s="247"/>
      <c r="D661" s="247"/>
      <c r="E661" s="247"/>
      <c r="F661" s="247"/>
    </row>
    <row r="662" ht="15.75" customHeight="1">
      <c r="A662" s="247"/>
      <c r="B662" s="247"/>
      <c r="C662" s="247"/>
      <c r="D662" s="247"/>
      <c r="E662" s="247"/>
      <c r="F662" s="247"/>
    </row>
    <row r="663" ht="15.75" customHeight="1">
      <c r="A663" s="247"/>
      <c r="B663" s="247"/>
      <c r="C663" s="247"/>
      <c r="D663" s="247"/>
      <c r="E663" s="247"/>
      <c r="F663" s="247"/>
    </row>
    <row r="664" ht="15.75" customHeight="1">
      <c r="A664" s="247"/>
      <c r="B664" s="247"/>
      <c r="C664" s="247"/>
      <c r="D664" s="247"/>
      <c r="E664" s="247"/>
      <c r="F664" s="247"/>
    </row>
    <row r="665" ht="15.75" customHeight="1">
      <c r="A665" s="247"/>
      <c r="B665" s="247"/>
      <c r="C665" s="247"/>
      <c r="D665" s="247"/>
      <c r="E665" s="247"/>
      <c r="F665" s="247"/>
    </row>
    <row r="666" ht="15.75" customHeight="1">
      <c r="A666" s="247"/>
      <c r="B666" s="247"/>
      <c r="C666" s="247"/>
      <c r="D666" s="247"/>
      <c r="E666" s="247"/>
      <c r="F666" s="247"/>
    </row>
    <row r="667" ht="15.75" customHeight="1">
      <c r="A667" s="247"/>
      <c r="B667" s="247"/>
      <c r="C667" s="247"/>
      <c r="D667" s="247"/>
      <c r="E667" s="247"/>
      <c r="F667" s="247"/>
    </row>
    <row r="668" ht="15.75" customHeight="1">
      <c r="A668" s="247"/>
      <c r="B668" s="247"/>
      <c r="C668" s="247"/>
      <c r="D668" s="247"/>
      <c r="E668" s="247"/>
      <c r="F668" s="247"/>
    </row>
    <row r="669" ht="15.75" customHeight="1">
      <c r="A669" s="247"/>
      <c r="B669" s="247"/>
      <c r="C669" s="247"/>
      <c r="D669" s="247"/>
      <c r="E669" s="247"/>
      <c r="F669" s="247"/>
    </row>
    <row r="670" ht="15.75" customHeight="1">
      <c r="A670" s="247"/>
      <c r="B670" s="247"/>
      <c r="C670" s="247"/>
      <c r="D670" s="247"/>
      <c r="E670" s="247"/>
      <c r="F670" s="247"/>
    </row>
    <row r="671" ht="15.75" customHeight="1">
      <c r="A671" s="247"/>
      <c r="B671" s="247"/>
      <c r="C671" s="247"/>
      <c r="D671" s="247"/>
      <c r="E671" s="247"/>
      <c r="F671" s="247"/>
    </row>
    <row r="672" ht="15.75" customHeight="1">
      <c r="A672" s="247"/>
      <c r="B672" s="247"/>
      <c r="C672" s="247"/>
      <c r="D672" s="247"/>
      <c r="E672" s="247"/>
      <c r="F672" s="247"/>
    </row>
    <row r="673" ht="15.75" customHeight="1">
      <c r="A673" s="247"/>
      <c r="B673" s="247"/>
      <c r="C673" s="247"/>
      <c r="D673" s="247"/>
      <c r="E673" s="247"/>
      <c r="F673" s="247"/>
    </row>
    <row r="674" ht="15.75" customHeight="1">
      <c r="A674" s="247"/>
      <c r="B674" s="247"/>
      <c r="C674" s="247"/>
      <c r="D674" s="247"/>
      <c r="E674" s="247"/>
      <c r="F674" s="247"/>
    </row>
    <row r="675" ht="15.75" customHeight="1">
      <c r="A675" s="247"/>
      <c r="B675" s="247"/>
      <c r="C675" s="247"/>
      <c r="D675" s="247"/>
      <c r="E675" s="247"/>
      <c r="F675" s="247"/>
    </row>
    <row r="676" ht="15.75" customHeight="1">
      <c r="A676" s="247"/>
      <c r="B676" s="247"/>
      <c r="C676" s="247"/>
      <c r="D676" s="247"/>
      <c r="E676" s="247"/>
      <c r="F676" s="247"/>
    </row>
    <row r="677" ht="15.75" customHeight="1">
      <c r="A677" s="247"/>
      <c r="B677" s="247"/>
      <c r="C677" s="247"/>
      <c r="D677" s="247"/>
      <c r="E677" s="247"/>
      <c r="F677" s="247"/>
    </row>
    <row r="678" ht="15.75" customHeight="1">
      <c r="A678" s="247"/>
      <c r="B678" s="247"/>
      <c r="C678" s="247"/>
      <c r="D678" s="247"/>
      <c r="E678" s="247"/>
      <c r="F678" s="247"/>
    </row>
    <row r="679" ht="15.75" customHeight="1">
      <c r="A679" s="247"/>
      <c r="B679" s="247"/>
      <c r="C679" s="247"/>
      <c r="D679" s="247"/>
      <c r="E679" s="247"/>
      <c r="F679" s="247"/>
    </row>
    <row r="680" ht="15.75" customHeight="1">
      <c r="A680" s="247"/>
      <c r="B680" s="247"/>
      <c r="C680" s="247"/>
      <c r="D680" s="247"/>
      <c r="E680" s="247"/>
      <c r="F680" s="247"/>
    </row>
    <row r="681" ht="15.75" customHeight="1">
      <c r="A681" s="247"/>
      <c r="B681" s="247"/>
      <c r="C681" s="247"/>
      <c r="D681" s="247"/>
      <c r="E681" s="247"/>
      <c r="F681" s="247"/>
    </row>
    <row r="682" ht="15.75" customHeight="1">
      <c r="A682" s="247"/>
      <c r="B682" s="247"/>
      <c r="C682" s="247"/>
      <c r="D682" s="247"/>
      <c r="E682" s="247"/>
      <c r="F682" s="247"/>
    </row>
    <row r="683" ht="15.75" customHeight="1">
      <c r="A683" s="247"/>
      <c r="B683" s="247"/>
      <c r="C683" s="247"/>
      <c r="D683" s="247"/>
      <c r="E683" s="247"/>
      <c r="F683" s="247"/>
    </row>
    <row r="684" ht="15.75" customHeight="1">
      <c r="A684" s="247"/>
      <c r="B684" s="247"/>
      <c r="C684" s="247"/>
      <c r="D684" s="247"/>
      <c r="E684" s="247"/>
      <c r="F684" s="247"/>
    </row>
    <row r="685" ht="15.75" customHeight="1">
      <c r="A685" s="247"/>
      <c r="B685" s="247"/>
      <c r="C685" s="247"/>
      <c r="D685" s="247"/>
      <c r="E685" s="247"/>
      <c r="F685" s="247"/>
    </row>
    <row r="686" ht="15.75" customHeight="1">
      <c r="A686" s="247"/>
      <c r="B686" s="247"/>
      <c r="C686" s="247"/>
      <c r="D686" s="247"/>
      <c r="E686" s="247"/>
      <c r="F686" s="247"/>
    </row>
    <row r="687" ht="15.75" customHeight="1">
      <c r="A687" s="247"/>
      <c r="B687" s="247"/>
      <c r="C687" s="247"/>
      <c r="D687" s="247"/>
      <c r="E687" s="247"/>
      <c r="F687" s="247"/>
    </row>
    <row r="688" ht="15.75" customHeight="1">
      <c r="A688" s="247"/>
      <c r="B688" s="247"/>
      <c r="C688" s="247"/>
      <c r="D688" s="247"/>
      <c r="E688" s="247"/>
      <c r="F688" s="247"/>
    </row>
    <row r="689" ht="15.75" customHeight="1">
      <c r="A689" s="247"/>
      <c r="B689" s="247"/>
      <c r="C689" s="247"/>
      <c r="D689" s="247"/>
      <c r="E689" s="247"/>
      <c r="F689" s="247"/>
    </row>
    <row r="690" ht="15.75" customHeight="1">
      <c r="A690" s="247"/>
      <c r="B690" s="247"/>
      <c r="C690" s="247"/>
      <c r="D690" s="247"/>
      <c r="E690" s="247"/>
      <c r="F690" s="247"/>
    </row>
    <row r="691" ht="15.75" customHeight="1">
      <c r="A691" s="247"/>
      <c r="B691" s="247"/>
      <c r="C691" s="247"/>
      <c r="D691" s="247"/>
      <c r="E691" s="247"/>
      <c r="F691" s="247"/>
    </row>
    <row r="692" ht="15.75" customHeight="1">
      <c r="A692" s="247"/>
      <c r="B692" s="247"/>
      <c r="C692" s="247"/>
      <c r="D692" s="247"/>
      <c r="E692" s="247"/>
      <c r="F692" s="247"/>
    </row>
    <row r="693" ht="15.75" customHeight="1">
      <c r="A693" s="247"/>
      <c r="B693" s="247"/>
      <c r="C693" s="247"/>
      <c r="D693" s="247"/>
      <c r="E693" s="247"/>
      <c r="F693" s="247"/>
    </row>
    <row r="694" ht="15.75" customHeight="1">
      <c r="A694" s="247"/>
      <c r="B694" s="247"/>
      <c r="C694" s="247"/>
      <c r="D694" s="247"/>
      <c r="E694" s="247"/>
      <c r="F694" s="247"/>
    </row>
    <row r="695" ht="15.75" customHeight="1">
      <c r="A695" s="247"/>
      <c r="B695" s="247"/>
      <c r="C695" s="247"/>
      <c r="D695" s="247"/>
      <c r="E695" s="247"/>
      <c r="F695" s="247"/>
    </row>
    <row r="696" ht="15.75" customHeight="1">
      <c r="A696" s="247"/>
      <c r="B696" s="247"/>
      <c r="C696" s="247"/>
      <c r="D696" s="247"/>
      <c r="E696" s="247"/>
      <c r="F696" s="247"/>
    </row>
    <row r="697" ht="15.75" customHeight="1">
      <c r="A697" s="247"/>
      <c r="B697" s="247"/>
      <c r="C697" s="247"/>
      <c r="D697" s="247"/>
      <c r="E697" s="247"/>
      <c r="F697" s="247"/>
    </row>
    <row r="698" ht="15.75" customHeight="1">
      <c r="A698" s="247"/>
      <c r="B698" s="247"/>
      <c r="C698" s="247"/>
      <c r="D698" s="247"/>
      <c r="E698" s="247"/>
      <c r="F698" s="247"/>
    </row>
    <row r="699" ht="15.75" customHeight="1">
      <c r="A699" s="247"/>
      <c r="B699" s="247"/>
      <c r="C699" s="247"/>
      <c r="D699" s="247"/>
      <c r="E699" s="247"/>
      <c r="F699" s="247"/>
    </row>
    <row r="700" ht="15.75" customHeight="1">
      <c r="A700" s="247"/>
      <c r="B700" s="247"/>
      <c r="C700" s="247"/>
      <c r="D700" s="247"/>
      <c r="E700" s="247"/>
      <c r="F700" s="247"/>
    </row>
    <row r="701" ht="15.75" customHeight="1">
      <c r="A701" s="247"/>
      <c r="B701" s="247"/>
      <c r="C701" s="247"/>
      <c r="D701" s="247"/>
      <c r="E701" s="247"/>
      <c r="F701" s="247"/>
    </row>
    <row r="702" ht="15.75" customHeight="1">
      <c r="A702" s="247"/>
      <c r="B702" s="247"/>
      <c r="C702" s="247"/>
      <c r="D702" s="247"/>
      <c r="E702" s="247"/>
      <c r="F702" s="247"/>
    </row>
    <row r="703" ht="15.75" customHeight="1">
      <c r="A703" s="247"/>
      <c r="B703" s="247"/>
      <c r="C703" s="247"/>
      <c r="D703" s="247"/>
      <c r="E703" s="247"/>
      <c r="F703" s="247"/>
    </row>
    <row r="704" ht="15.75" customHeight="1">
      <c r="A704" s="247"/>
      <c r="B704" s="247"/>
      <c r="C704" s="247"/>
      <c r="D704" s="247"/>
      <c r="E704" s="247"/>
      <c r="F704" s="247"/>
    </row>
    <row r="705" ht="15.75" customHeight="1">
      <c r="A705" s="247"/>
      <c r="B705" s="247"/>
      <c r="C705" s="247"/>
      <c r="D705" s="247"/>
      <c r="E705" s="247"/>
      <c r="F705" s="247"/>
    </row>
    <row r="706" ht="15.75" customHeight="1">
      <c r="A706" s="247"/>
      <c r="B706" s="247"/>
      <c r="C706" s="247"/>
      <c r="D706" s="247"/>
      <c r="E706" s="247"/>
      <c r="F706" s="247"/>
    </row>
    <row r="707" ht="15.75" customHeight="1">
      <c r="A707" s="247"/>
      <c r="B707" s="247"/>
      <c r="C707" s="247"/>
      <c r="D707" s="247"/>
      <c r="E707" s="247"/>
      <c r="F707" s="247"/>
    </row>
    <row r="708" ht="15.75" customHeight="1">
      <c r="A708" s="247"/>
      <c r="B708" s="247"/>
      <c r="C708" s="247"/>
      <c r="D708" s="247"/>
      <c r="E708" s="247"/>
      <c r="F708" s="247"/>
    </row>
    <row r="709" ht="15.75" customHeight="1">
      <c r="A709" s="247"/>
      <c r="B709" s="247"/>
      <c r="C709" s="247"/>
      <c r="D709" s="247"/>
      <c r="E709" s="247"/>
      <c r="F709" s="247"/>
    </row>
    <row r="710" ht="15.75" customHeight="1">
      <c r="A710" s="247"/>
      <c r="B710" s="247"/>
      <c r="C710" s="247"/>
      <c r="D710" s="247"/>
      <c r="E710" s="247"/>
      <c r="F710" s="247"/>
    </row>
    <row r="711" ht="15.75" customHeight="1">
      <c r="A711" s="247"/>
      <c r="B711" s="247"/>
      <c r="C711" s="247"/>
      <c r="D711" s="247"/>
      <c r="E711" s="247"/>
      <c r="F711" s="247"/>
    </row>
    <row r="712" ht="15.75" customHeight="1">
      <c r="A712" s="247"/>
      <c r="B712" s="247"/>
      <c r="C712" s="247"/>
      <c r="D712" s="247"/>
      <c r="E712" s="247"/>
      <c r="F712" s="247"/>
    </row>
    <row r="713" ht="15.75" customHeight="1">
      <c r="A713" s="247"/>
      <c r="B713" s="247"/>
      <c r="C713" s="247"/>
      <c r="D713" s="247"/>
      <c r="E713" s="247"/>
      <c r="F713" s="247"/>
    </row>
    <row r="714" ht="15.75" customHeight="1">
      <c r="A714" s="247"/>
      <c r="B714" s="247"/>
      <c r="C714" s="247"/>
      <c r="D714" s="247"/>
      <c r="E714" s="247"/>
      <c r="F714" s="247"/>
    </row>
    <row r="715" ht="15.75" customHeight="1">
      <c r="A715" s="247"/>
      <c r="B715" s="247"/>
      <c r="C715" s="247"/>
      <c r="D715" s="247"/>
      <c r="E715" s="247"/>
      <c r="F715" s="247"/>
    </row>
    <row r="716" ht="15.75" customHeight="1">
      <c r="A716" s="247"/>
      <c r="B716" s="247"/>
      <c r="C716" s="247"/>
      <c r="D716" s="247"/>
      <c r="E716" s="247"/>
      <c r="F716" s="247"/>
    </row>
    <row r="717" ht="15.75" customHeight="1">
      <c r="A717" s="247"/>
      <c r="B717" s="247"/>
      <c r="C717" s="247"/>
      <c r="D717" s="247"/>
      <c r="E717" s="247"/>
      <c r="F717" s="247"/>
    </row>
    <row r="718" ht="15.75" customHeight="1">
      <c r="A718" s="247"/>
      <c r="B718" s="247"/>
      <c r="C718" s="247"/>
      <c r="D718" s="247"/>
      <c r="E718" s="247"/>
      <c r="F718" s="247"/>
    </row>
    <row r="719" ht="15.75" customHeight="1">
      <c r="A719" s="247"/>
      <c r="B719" s="247"/>
      <c r="C719" s="247"/>
      <c r="D719" s="247"/>
      <c r="E719" s="247"/>
      <c r="F719" s="247"/>
    </row>
    <row r="720" ht="15.75" customHeight="1">
      <c r="A720" s="247"/>
      <c r="B720" s="247"/>
      <c r="C720" s="247"/>
      <c r="D720" s="247"/>
      <c r="E720" s="247"/>
      <c r="F720" s="247"/>
    </row>
    <row r="721" ht="15.75" customHeight="1">
      <c r="A721" s="247"/>
      <c r="B721" s="247"/>
      <c r="C721" s="247"/>
      <c r="D721" s="247"/>
      <c r="E721" s="247"/>
      <c r="F721" s="247"/>
    </row>
    <row r="722" ht="15.75" customHeight="1">
      <c r="A722" s="247"/>
      <c r="B722" s="247"/>
      <c r="C722" s="247"/>
      <c r="D722" s="247"/>
      <c r="E722" s="247"/>
      <c r="F722" s="247"/>
    </row>
    <row r="723" ht="15.75" customHeight="1">
      <c r="A723" s="247"/>
      <c r="B723" s="247"/>
      <c r="C723" s="247"/>
      <c r="D723" s="247"/>
      <c r="E723" s="247"/>
      <c r="F723" s="247"/>
    </row>
    <row r="724" ht="15.75" customHeight="1">
      <c r="A724" s="247"/>
      <c r="B724" s="247"/>
      <c r="C724" s="247"/>
      <c r="D724" s="247"/>
      <c r="E724" s="247"/>
      <c r="F724" s="247"/>
    </row>
    <row r="725" ht="15.75" customHeight="1">
      <c r="A725" s="247"/>
      <c r="B725" s="247"/>
      <c r="C725" s="247"/>
      <c r="D725" s="247"/>
      <c r="E725" s="247"/>
      <c r="F725" s="247"/>
    </row>
    <row r="726" ht="15.75" customHeight="1">
      <c r="A726" s="247"/>
      <c r="B726" s="247"/>
      <c r="C726" s="247"/>
      <c r="D726" s="247"/>
      <c r="E726" s="247"/>
      <c r="F726" s="247"/>
    </row>
    <row r="727" ht="15.75" customHeight="1">
      <c r="A727" s="247"/>
      <c r="B727" s="247"/>
      <c r="C727" s="247"/>
      <c r="D727" s="247"/>
      <c r="E727" s="247"/>
      <c r="F727" s="247"/>
    </row>
    <row r="728" ht="15.75" customHeight="1">
      <c r="A728" s="247"/>
      <c r="B728" s="247"/>
      <c r="C728" s="247"/>
      <c r="D728" s="247"/>
      <c r="E728" s="247"/>
      <c r="F728" s="247"/>
    </row>
    <row r="729" ht="15.75" customHeight="1">
      <c r="A729" s="247"/>
      <c r="B729" s="247"/>
      <c r="C729" s="247"/>
      <c r="D729" s="247"/>
      <c r="E729" s="247"/>
      <c r="F729" s="247"/>
    </row>
    <row r="730" ht="15.75" customHeight="1">
      <c r="A730" s="247"/>
      <c r="B730" s="247"/>
      <c r="C730" s="247"/>
      <c r="D730" s="247"/>
      <c r="E730" s="247"/>
      <c r="F730" s="247"/>
    </row>
    <row r="731" ht="15.75" customHeight="1">
      <c r="A731" s="247"/>
      <c r="B731" s="247"/>
      <c r="C731" s="247"/>
      <c r="D731" s="247"/>
      <c r="E731" s="247"/>
      <c r="F731" s="247"/>
    </row>
    <row r="732" ht="15.75" customHeight="1">
      <c r="A732" s="247"/>
      <c r="B732" s="247"/>
      <c r="C732" s="247"/>
      <c r="D732" s="247"/>
      <c r="E732" s="247"/>
      <c r="F732" s="247"/>
    </row>
    <row r="733" ht="15.75" customHeight="1">
      <c r="A733" s="247"/>
      <c r="B733" s="247"/>
      <c r="C733" s="247"/>
      <c r="D733" s="247"/>
      <c r="E733" s="247"/>
      <c r="F733" s="247"/>
    </row>
    <row r="734" ht="15.75" customHeight="1">
      <c r="A734" s="247"/>
      <c r="B734" s="247"/>
      <c r="C734" s="247"/>
      <c r="D734" s="247"/>
      <c r="E734" s="247"/>
      <c r="F734" s="247"/>
    </row>
    <row r="735" ht="15.75" customHeight="1">
      <c r="A735" s="247"/>
      <c r="B735" s="247"/>
      <c r="C735" s="247"/>
      <c r="D735" s="247"/>
      <c r="E735" s="247"/>
      <c r="F735" s="247"/>
    </row>
    <row r="736" ht="15.75" customHeight="1">
      <c r="A736" s="247"/>
      <c r="B736" s="247"/>
      <c r="C736" s="247"/>
      <c r="D736" s="247"/>
      <c r="E736" s="247"/>
      <c r="F736" s="247"/>
    </row>
    <row r="737" ht="15.75" customHeight="1">
      <c r="A737" s="247"/>
      <c r="B737" s="247"/>
      <c r="C737" s="247"/>
      <c r="D737" s="247"/>
      <c r="E737" s="247"/>
      <c r="F737" s="247"/>
    </row>
    <row r="738" ht="15.75" customHeight="1">
      <c r="A738" s="247"/>
      <c r="B738" s="247"/>
      <c r="C738" s="247"/>
      <c r="D738" s="247"/>
      <c r="E738" s="247"/>
      <c r="F738" s="247"/>
    </row>
    <row r="739" ht="15.75" customHeight="1">
      <c r="A739" s="247"/>
      <c r="B739" s="247"/>
      <c r="C739" s="247"/>
      <c r="D739" s="247"/>
      <c r="E739" s="247"/>
      <c r="F739" s="247"/>
    </row>
    <row r="740" ht="15.75" customHeight="1">
      <c r="A740" s="247"/>
      <c r="B740" s="247"/>
      <c r="C740" s="247"/>
      <c r="D740" s="247"/>
      <c r="E740" s="247"/>
      <c r="F740" s="247"/>
    </row>
    <row r="741" ht="15.75" customHeight="1">
      <c r="A741" s="247"/>
      <c r="B741" s="247"/>
      <c r="C741" s="247"/>
      <c r="D741" s="247"/>
      <c r="E741" s="247"/>
      <c r="F741" s="247"/>
    </row>
    <row r="742" ht="15.75" customHeight="1">
      <c r="A742" s="247"/>
      <c r="B742" s="247"/>
      <c r="C742" s="247"/>
      <c r="D742" s="247"/>
      <c r="E742" s="247"/>
      <c r="F742" s="247"/>
    </row>
    <row r="743" ht="15.75" customHeight="1">
      <c r="A743" s="247"/>
      <c r="B743" s="247"/>
      <c r="C743" s="247"/>
      <c r="D743" s="247"/>
      <c r="E743" s="247"/>
      <c r="F743" s="247"/>
    </row>
    <row r="744" ht="15.75" customHeight="1">
      <c r="A744" s="247"/>
      <c r="B744" s="247"/>
      <c r="C744" s="247"/>
      <c r="D744" s="247"/>
      <c r="E744" s="247"/>
      <c r="F744" s="247"/>
    </row>
    <row r="745" ht="15.75" customHeight="1">
      <c r="A745" s="247"/>
      <c r="B745" s="247"/>
      <c r="C745" s="247"/>
      <c r="D745" s="247"/>
      <c r="E745" s="247"/>
      <c r="F745" s="247"/>
    </row>
    <row r="746" ht="15.75" customHeight="1">
      <c r="A746" s="247"/>
      <c r="B746" s="247"/>
      <c r="C746" s="247"/>
      <c r="D746" s="247"/>
      <c r="E746" s="247"/>
      <c r="F746" s="247"/>
    </row>
    <row r="747" ht="15.75" customHeight="1">
      <c r="A747" s="247"/>
      <c r="B747" s="247"/>
      <c r="C747" s="247"/>
      <c r="D747" s="247"/>
      <c r="E747" s="247"/>
      <c r="F747" s="247"/>
    </row>
    <row r="748" ht="15.75" customHeight="1">
      <c r="A748" s="247"/>
      <c r="B748" s="247"/>
      <c r="C748" s="247"/>
      <c r="D748" s="247"/>
      <c r="E748" s="247"/>
      <c r="F748" s="247"/>
    </row>
    <row r="749" ht="15.75" customHeight="1">
      <c r="A749" s="247"/>
      <c r="B749" s="247"/>
      <c r="C749" s="247"/>
      <c r="D749" s="247"/>
      <c r="E749" s="247"/>
      <c r="F749" s="247"/>
    </row>
    <row r="750" ht="15.75" customHeight="1">
      <c r="A750" s="247"/>
      <c r="B750" s="247"/>
      <c r="C750" s="247"/>
      <c r="D750" s="247"/>
      <c r="E750" s="247"/>
      <c r="F750" s="247"/>
    </row>
    <row r="751" ht="15.75" customHeight="1">
      <c r="A751" s="247"/>
      <c r="B751" s="247"/>
      <c r="C751" s="247"/>
      <c r="D751" s="247"/>
      <c r="E751" s="247"/>
      <c r="F751" s="247"/>
    </row>
    <row r="752" ht="15.75" customHeight="1">
      <c r="A752" s="247"/>
      <c r="B752" s="247"/>
      <c r="C752" s="247"/>
      <c r="D752" s="247"/>
      <c r="E752" s="247"/>
      <c r="F752" s="247"/>
    </row>
    <row r="753" ht="15.75" customHeight="1">
      <c r="A753" s="247"/>
      <c r="B753" s="247"/>
      <c r="C753" s="247"/>
      <c r="D753" s="247"/>
      <c r="E753" s="247"/>
      <c r="F753" s="247"/>
    </row>
    <row r="754" ht="15.75" customHeight="1">
      <c r="A754" s="247"/>
      <c r="B754" s="247"/>
      <c r="C754" s="247"/>
      <c r="D754" s="247"/>
      <c r="E754" s="247"/>
      <c r="F754" s="247"/>
    </row>
    <row r="755" ht="15.75" customHeight="1">
      <c r="A755" s="247"/>
      <c r="B755" s="247"/>
      <c r="C755" s="247"/>
      <c r="D755" s="247"/>
      <c r="E755" s="247"/>
      <c r="F755" s="247"/>
    </row>
    <row r="756" ht="15.75" customHeight="1">
      <c r="A756" s="247"/>
      <c r="B756" s="247"/>
      <c r="C756" s="247"/>
      <c r="D756" s="247"/>
      <c r="E756" s="247"/>
      <c r="F756" s="247"/>
    </row>
    <row r="757" ht="15.75" customHeight="1">
      <c r="A757" s="247"/>
      <c r="B757" s="247"/>
      <c r="C757" s="247"/>
      <c r="D757" s="247"/>
      <c r="E757" s="247"/>
      <c r="F757" s="247"/>
    </row>
    <row r="758" ht="15.75" customHeight="1">
      <c r="A758" s="247"/>
      <c r="B758" s="247"/>
      <c r="C758" s="247"/>
      <c r="D758" s="247"/>
      <c r="E758" s="247"/>
      <c r="F758" s="247"/>
    </row>
    <row r="759" ht="15.75" customHeight="1">
      <c r="A759" s="247"/>
      <c r="B759" s="247"/>
      <c r="C759" s="247"/>
      <c r="D759" s="247"/>
      <c r="E759" s="247"/>
      <c r="F759" s="247"/>
    </row>
    <row r="760" ht="15.75" customHeight="1">
      <c r="A760" s="247"/>
      <c r="B760" s="247"/>
      <c r="C760" s="247"/>
      <c r="D760" s="247"/>
      <c r="E760" s="247"/>
      <c r="F760" s="247"/>
    </row>
    <row r="761" ht="15.75" customHeight="1">
      <c r="A761" s="247"/>
      <c r="B761" s="247"/>
      <c r="C761" s="247"/>
      <c r="D761" s="247"/>
      <c r="E761" s="247"/>
      <c r="F761" s="247"/>
    </row>
    <row r="762" ht="15.75" customHeight="1">
      <c r="A762" s="247"/>
      <c r="B762" s="247"/>
      <c r="C762" s="247"/>
      <c r="D762" s="247"/>
      <c r="E762" s="247"/>
      <c r="F762" s="247"/>
    </row>
    <row r="763" ht="15.75" customHeight="1">
      <c r="A763" s="247"/>
      <c r="B763" s="247"/>
      <c r="C763" s="247"/>
      <c r="D763" s="247"/>
      <c r="E763" s="247"/>
      <c r="F763" s="247"/>
    </row>
    <row r="764" ht="15.75" customHeight="1">
      <c r="A764" s="247"/>
      <c r="B764" s="247"/>
      <c r="C764" s="247"/>
      <c r="D764" s="247"/>
      <c r="E764" s="247"/>
      <c r="F764" s="247"/>
    </row>
    <row r="765" ht="15.75" customHeight="1">
      <c r="A765" s="247"/>
      <c r="B765" s="247"/>
      <c r="C765" s="247"/>
      <c r="D765" s="247"/>
      <c r="E765" s="247"/>
      <c r="F765" s="247"/>
    </row>
    <row r="766" ht="15.75" customHeight="1">
      <c r="A766" s="247"/>
      <c r="B766" s="247"/>
      <c r="C766" s="247"/>
      <c r="D766" s="247"/>
      <c r="E766" s="247"/>
      <c r="F766" s="247"/>
    </row>
    <row r="767" ht="15.75" customHeight="1">
      <c r="A767" s="247"/>
      <c r="B767" s="247"/>
      <c r="C767" s="247"/>
      <c r="D767" s="247"/>
      <c r="E767" s="247"/>
      <c r="F767" s="247"/>
    </row>
    <row r="768" ht="15.75" customHeight="1">
      <c r="A768" s="247"/>
      <c r="B768" s="247"/>
      <c r="C768" s="247"/>
      <c r="D768" s="247"/>
      <c r="E768" s="247"/>
      <c r="F768" s="247"/>
    </row>
    <row r="769" ht="15.75" customHeight="1">
      <c r="A769" s="247"/>
      <c r="B769" s="247"/>
      <c r="C769" s="247"/>
      <c r="D769" s="247"/>
      <c r="E769" s="247"/>
      <c r="F769" s="247"/>
    </row>
    <row r="770" ht="15.75" customHeight="1">
      <c r="A770" s="247"/>
      <c r="B770" s="247"/>
      <c r="C770" s="247"/>
      <c r="D770" s="247"/>
      <c r="E770" s="247"/>
      <c r="F770" s="247"/>
    </row>
    <row r="771" ht="15.75" customHeight="1">
      <c r="A771" s="247"/>
      <c r="B771" s="247"/>
      <c r="C771" s="247"/>
      <c r="D771" s="247"/>
      <c r="E771" s="247"/>
      <c r="F771" s="247"/>
    </row>
    <row r="772" ht="15.75" customHeight="1">
      <c r="A772" s="247"/>
      <c r="B772" s="247"/>
      <c r="C772" s="247"/>
      <c r="D772" s="247"/>
      <c r="E772" s="247"/>
      <c r="F772" s="247"/>
    </row>
    <row r="773" ht="15.75" customHeight="1">
      <c r="A773" s="247"/>
      <c r="B773" s="247"/>
      <c r="C773" s="247"/>
      <c r="D773" s="247"/>
      <c r="E773" s="247"/>
      <c r="F773" s="247"/>
    </row>
    <row r="774" ht="15.75" customHeight="1">
      <c r="A774" s="247"/>
      <c r="B774" s="247"/>
      <c r="C774" s="247"/>
      <c r="D774" s="247"/>
      <c r="E774" s="247"/>
      <c r="F774" s="247"/>
    </row>
    <row r="775" ht="15.75" customHeight="1">
      <c r="A775" s="247"/>
      <c r="B775" s="247"/>
      <c r="C775" s="247"/>
      <c r="D775" s="247"/>
      <c r="E775" s="247"/>
      <c r="F775" s="247"/>
    </row>
    <row r="776" ht="15.75" customHeight="1">
      <c r="A776" s="247"/>
      <c r="B776" s="247"/>
      <c r="C776" s="247"/>
      <c r="D776" s="247"/>
      <c r="E776" s="247"/>
      <c r="F776" s="247"/>
    </row>
    <row r="777" ht="15.75" customHeight="1">
      <c r="A777" s="247"/>
      <c r="B777" s="247"/>
      <c r="C777" s="247"/>
      <c r="D777" s="247"/>
      <c r="E777" s="247"/>
      <c r="F777" s="247"/>
    </row>
    <row r="778" ht="15.75" customHeight="1">
      <c r="A778" s="247"/>
      <c r="B778" s="247"/>
      <c r="C778" s="247"/>
      <c r="D778" s="247"/>
      <c r="E778" s="247"/>
      <c r="F778" s="247"/>
    </row>
    <row r="779" ht="15.75" customHeight="1">
      <c r="A779" s="247"/>
      <c r="B779" s="247"/>
      <c r="C779" s="247"/>
      <c r="D779" s="247"/>
      <c r="E779" s="247"/>
      <c r="F779" s="247"/>
    </row>
    <row r="780" ht="15.75" customHeight="1">
      <c r="A780" s="247"/>
      <c r="B780" s="247"/>
      <c r="C780" s="247"/>
      <c r="D780" s="247"/>
      <c r="E780" s="247"/>
      <c r="F780" s="247"/>
    </row>
    <row r="781" ht="15.75" customHeight="1">
      <c r="A781" s="247"/>
      <c r="B781" s="247"/>
      <c r="C781" s="247"/>
      <c r="D781" s="247"/>
      <c r="E781" s="247"/>
      <c r="F781" s="247"/>
    </row>
    <row r="782" ht="15.75" customHeight="1">
      <c r="A782" s="247"/>
      <c r="B782" s="247"/>
      <c r="C782" s="247"/>
      <c r="D782" s="247"/>
      <c r="E782" s="247"/>
      <c r="F782" s="247"/>
    </row>
    <row r="783" ht="15.75" customHeight="1">
      <c r="A783" s="247"/>
      <c r="B783" s="247"/>
      <c r="C783" s="247"/>
      <c r="D783" s="247"/>
      <c r="E783" s="247"/>
      <c r="F783" s="247"/>
    </row>
    <row r="784" ht="15.75" customHeight="1">
      <c r="A784" s="247"/>
      <c r="B784" s="247"/>
      <c r="C784" s="247"/>
      <c r="D784" s="247"/>
      <c r="E784" s="247"/>
      <c r="F784" s="247"/>
    </row>
    <row r="785" ht="15.75" customHeight="1">
      <c r="A785" s="247"/>
      <c r="B785" s="247"/>
      <c r="C785" s="247"/>
      <c r="D785" s="247"/>
      <c r="E785" s="247"/>
      <c r="F785" s="247"/>
    </row>
    <row r="786" ht="15.75" customHeight="1">
      <c r="A786" s="247"/>
      <c r="B786" s="247"/>
      <c r="C786" s="247"/>
      <c r="D786" s="247"/>
      <c r="E786" s="247"/>
      <c r="F786" s="247"/>
    </row>
    <row r="787" ht="15.75" customHeight="1">
      <c r="A787" s="247"/>
      <c r="B787" s="247"/>
      <c r="C787" s="247"/>
      <c r="D787" s="247"/>
      <c r="E787" s="247"/>
      <c r="F787" s="247"/>
    </row>
    <row r="788" ht="15.75" customHeight="1">
      <c r="A788" s="247"/>
      <c r="B788" s="247"/>
      <c r="C788" s="247"/>
      <c r="D788" s="247"/>
      <c r="E788" s="247"/>
      <c r="F788" s="247"/>
    </row>
    <row r="789" ht="15.75" customHeight="1">
      <c r="A789" s="247"/>
      <c r="B789" s="247"/>
      <c r="C789" s="247"/>
      <c r="D789" s="247"/>
      <c r="E789" s="247"/>
      <c r="F789" s="247"/>
    </row>
    <row r="790" ht="15.75" customHeight="1">
      <c r="A790" s="247"/>
      <c r="B790" s="247"/>
      <c r="C790" s="247"/>
      <c r="D790" s="247"/>
      <c r="E790" s="247"/>
      <c r="F790" s="247"/>
    </row>
    <row r="791" ht="15.75" customHeight="1">
      <c r="A791" s="247"/>
      <c r="B791" s="247"/>
      <c r="C791" s="247"/>
      <c r="D791" s="247"/>
      <c r="E791" s="247"/>
      <c r="F791" s="247"/>
    </row>
    <row r="792" ht="15.75" customHeight="1">
      <c r="A792" s="247"/>
      <c r="B792" s="247"/>
      <c r="C792" s="247"/>
      <c r="D792" s="247"/>
      <c r="E792" s="247"/>
      <c r="F792" s="247"/>
    </row>
    <row r="793" ht="15.75" customHeight="1">
      <c r="A793" s="247"/>
      <c r="B793" s="247"/>
      <c r="C793" s="247"/>
      <c r="D793" s="247"/>
      <c r="E793" s="247"/>
      <c r="F793" s="247"/>
    </row>
    <row r="794" ht="15.75" customHeight="1">
      <c r="A794" s="247"/>
      <c r="B794" s="247"/>
      <c r="C794" s="247"/>
      <c r="D794" s="247"/>
      <c r="E794" s="247"/>
      <c r="F794" s="247"/>
    </row>
    <row r="795" ht="15.75" customHeight="1">
      <c r="A795" s="247"/>
      <c r="B795" s="247"/>
      <c r="C795" s="247"/>
      <c r="D795" s="247"/>
      <c r="E795" s="247"/>
      <c r="F795" s="247"/>
    </row>
    <row r="796" ht="15.75" customHeight="1">
      <c r="A796" s="247"/>
      <c r="B796" s="247"/>
      <c r="C796" s="247"/>
      <c r="D796" s="247"/>
      <c r="E796" s="247"/>
      <c r="F796" s="247"/>
    </row>
    <row r="797" ht="15.75" customHeight="1">
      <c r="A797" s="247"/>
      <c r="B797" s="247"/>
      <c r="C797" s="247"/>
      <c r="D797" s="247"/>
      <c r="E797" s="247"/>
      <c r="F797" s="247"/>
    </row>
    <row r="798" ht="15.75" customHeight="1">
      <c r="A798" s="247"/>
      <c r="B798" s="247"/>
      <c r="C798" s="247"/>
      <c r="D798" s="247"/>
      <c r="E798" s="247"/>
      <c r="F798" s="247"/>
    </row>
    <row r="799" ht="15.75" customHeight="1">
      <c r="A799" s="247"/>
      <c r="B799" s="247"/>
      <c r="C799" s="247"/>
      <c r="D799" s="247"/>
      <c r="E799" s="247"/>
      <c r="F799" s="247"/>
    </row>
    <row r="800" ht="15.75" customHeight="1">
      <c r="A800" s="247"/>
      <c r="B800" s="247"/>
      <c r="C800" s="247"/>
      <c r="D800" s="247"/>
      <c r="E800" s="247"/>
      <c r="F800" s="247"/>
    </row>
    <row r="801" ht="15.75" customHeight="1">
      <c r="A801" s="247"/>
      <c r="B801" s="247"/>
      <c r="C801" s="247"/>
      <c r="D801" s="247"/>
      <c r="E801" s="247"/>
      <c r="F801" s="247"/>
    </row>
    <row r="802" ht="15.75" customHeight="1">
      <c r="A802" s="247"/>
      <c r="B802" s="247"/>
      <c r="C802" s="247"/>
      <c r="D802" s="247"/>
      <c r="E802" s="247"/>
      <c r="F802" s="247"/>
    </row>
    <row r="803" ht="15.75" customHeight="1">
      <c r="A803" s="247"/>
      <c r="B803" s="247"/>
      <c r="C803" s="247"/>
      <c r="D803" s="247"/>
      <c r="E803" s="247"/>
      <c r="F803" s="247"/>
    </row>
    <row r="804" ht="15.75" customHeight="1">
      <c r="A804" s="247"/>
      <c r="B804" s="247"/>
      <c r="C804" s="247"/>
      <c r="D804" s="247"/>
      <c r="E804" s="247"/>
      <c r="F804" s="247"/>
    </row>
    <row r="805" ht="15.75" customHeight="1">
      <c r="A805" s="247"/>
      <c r="B805" s="247"/>
      <c r="C805" s="247"/>
      <c r="D805" s="247"/>
      <c r="E805" s="247"/>
      <c r="F805" s="247"/>
    </row>
    <row r="806" ht="15.75" customHeight="1">
      <c r="A806" s="247"/>
      <c r="B806" s="247"/>
      <c r="C806" s="247"/>
      <c r="D806" s="247"/>
      <c r="E806" s="247"/>
      <c r="F806" s="247"/>
    </row>
    <row r="807" ht="15.75" customHeight="1">
      <c r="A807" s="247"/>
      <c r="B807" s="247"/>
      <c r="C807" s="247"/>
      <c r="D807" s="247"/>
      <c r="E807" s="247"/>
      <c r="F807" s="247"/>
    </row>
    <row r="808" ht="15.75" customHeight="1">
      <c r="A808" s="247"/>
      <c r="B808" s="247"/>
      <c r="C808" s="247"/>
      <c r="D808" s="247"/>
      <c r="E808" s="247"/>
      <c r="F808" s="247"/>
    </row>
    <row r="809" ht="15.75" customHeight="1">
      <c r="A809" s="247"/>
      <c r="B809" s="247"/>
      <c r="C809" s="247"/>
      <c r="D809" s="247"/>
      <c r="E809" s="247"/>
      <c r="F809" s="247"/>
    </row>
    <row r="810" ht="15.75" customHeight="1">
      <c r="A810" s="247"/>
      <c r="B810" s="247"/>
      <c r="C810" s="247"/>
      <c r="D810" s="247"/>
      <c r="E810" s="247"/>
      <c r="F810" s="247"/>
    </row>
    <row r="811" ht="15.75" customHeight="1">
      <c r="A811" s="247"/>
      <c r="B811" s="247"/>
      <c r="C811" s="247"/>
      <c r="D811" s="247"/>
      <c r="E811" s="247"/>
      <c r="F811" s="247"/>
    </row>
    <row r="812" ht="15.75" customHeight="1">
      <c r="A812" s="247"/>
      <c r="B812" s="247"/>
      <c r="C812" s="247"/>
      <c r="D812" s="247"/>
      <c r="E812" s="247"/>
      <c r="F812" s="247"/>
    </row>
    <row r="813" ht="15.75" customHeight="1">
      <c r="A813" s="247"/>
      <c r="B813" s="247"/>
      <c r="C813" s="247"/>
      <c r="D813" s="247"/>
      <c r="E813" s="247"/>
      <c r="F813" s="247"/>
    </row>
    <row r="814" ht="15.75" customHeight="1">
      <c r="A814" s="247"/>
      <c r="B814" s="247"/>
      <c r="C814" s="247"/>
      <c r="D814" s="247"/>
      <c r="E814" s="247"/>
      <c r="F814" s="247"/>
    </row>
    <row r="815" ht="15.75" customHeight="1">
      <c r="A815" s="247"/>
      <c r="B815" s="247"/>
      <c r="C815" s="247"/>
      <c r="D815" s="247"/>
      <c r="E815" s="247"/>
      <c r="F815" s="247"/>
    </row>
    <row r="816" ht="15.75" customHeight="1">
      <c r="A816" s="247"/>
      <c r="B816" s="247"/>
      <c r="C816" s="247"/>
      <c r="D816" s="247"/>
      <c r="E816" s="247"/>
      <c r="F816" s="247"/>
    </row>
    <row r="817" ht="15.75" customHeight="1">
      <c r="A817" s="247"/>
      <c r="B817" s="247"/>
      <c r="C817" s="247"/>
      <c r="D817" s="247"/>
      <c r="E817" s="247"/>
      <c r="F817" s="247"/>
    </row>
    <row r="818" ht="15.75" customHeight="1">
      <c r="A818" s="247"/>
      <c r="B818" s="247"/>
      <c r="C818" s="247"/>
      <c r="D818" s="247"/>
      <c r="E818" s="247"/>
      <c r="F818" s="247"/>
    </row>
    <row r="819" ht="15.75" customHeight="1">
      <c r="A819" s="247"/>
      <c r="B819" s="247"/>
      <c r="C819" s="247"/>
      <c r="D819" s="247"/>
      <c r="E819" s="247"/>
      <c r="F819" s="247"/>
    </row>
    <row r="820" ht="15.75" customHeight="1">
      <c r="A820" s="247"/>
      <c r="B820" s="247"/>
      <c r="C820" s="247"/>
      <c r="D820" s="247"/>
      <c r="E820" s="247"/>
      <c r="F820" s="247"/>
    </row>
    <row r="821" ht="15.75" customHeight="1">
      <c r="A821" s="247"/>
      <c r="B821" s="247"/>
      <c r="C821" s="247"/>
      <c r="D821" s="247"/>
      <c r="E821" s="247"/>
      <c r="F821" s="247"/>
    </row>
    <row r="822" ht="15.75" customHeight="1">
      <c r="A822" s="247"/>
      <c r="B822" s="247"/>
      <c r="C822" s="247"/>
      <c r="D822" s="247"/>
      <c r="E822" s="247"/>
      <c r="F822" s="247"/>
    </row>
    <row r="823" ht="15.75" customHeight="1">
      <c r="A823" s="247"/>
      <c r="B823" s="247"/>
      <c r="C823" s="247"/>
      <c r="D823" s="247"/>
      <c r="E823" s="247"/>
      <c r="F823" s="247"/>
    </row>
    <row r="824" ht="15.75" customHeight="1">
      <c r="A824" s="247"/>
      <c r="B824" s="247"/>
      <c r="C824" s="247"/>
      <c r="D824" s="247"/>
      <c r="E824" s="247"/>
      <c r="F824" s="247"/>
    </row>
    <row r="825" ht="15.75" customHeight="1">
      <c r="A825" s="247"/>
      <c r="B825" s="247"/>
      <c r="C825" s="247"/>
      <c r="D825" s="247"/>
      <c r="E825" s="247"/>
      <c r="F825" s="247"/>
    </row>
    <row r="826" ht="15.75" customHeight="1">
      <c r="A826" s="247"/>
      <c r="B826" s="247"/>
      <c r="C826" s="247"/>
      <c r="D826" s="247"/>
      <c r="E826" s="247"/>
      <c r="F826" s="247"/>
    </row>
    <row r="827" ht="15.75" customHeight="1">
      <c r="A827" s="247"/>
      <c r="B827" s="247"/>
      <c r="C827" s="247"/>
      <c r="D827" s="247"/>
      <c r="E827" s="247"/>
      <c r="F827" s="247"/>
    </row>
    <row r="828" ht="15.75" customHeight="1">
      <c r="A828" s="247"/>
      <c r="B828" s="247"/>
      <c r="C828" s="247"/>
      <c r="D828" s="247"/>
      <c r="E828" s="247"/>
      <c r="F828" s="247"/>
    </row>
    <row r="829" ht="15.75" customHeight="1">
      <c r="A829" s="247"/>
      <c r="B829" s="247"/>
      <c r="C829" s="247"/>
      <c r="D829" s="247"/>
      <c r="E829" s="247"/>
      <c r="F829" s="247"/>
    </row>
    <row r="830" ht="15.75" customHeight="1">
      <c r="A830" s="247"/>
      <c r="B830" s="247"/>
      <c r="C830" s="247"/>
      <c r="D830" s="247"/>
      <c r="E830" s="247"/>
      <c r="F830" s="247"/>
    </row>
    <row r="831" ht="15.75" customHeight="1">
      <c r="A831" s="247"/>
      <c r="B831" s="247"/>
      <c r="C831" s="247"/>
      <c r="D831" s="247"/>
      <c r="E831" s="247"/>
      <c r="F831" s="247"/>
    </row>
    <row r="832" ht="15.75" customHeight="1">
      <c r="A832" s="247"/>
      <c r="B832" s="247"/>
      <c r="C832" s="247"/>
      <c r="D832" s="247"/>
      <c r="E832" s="247"/>
      <c r="F832" s="247"/>
    </row>
    <row r="833" ht="15.75" customHeight="1">
      <c r="A833" s="247"/>
      <c r="B833" s="247"/>
      <c r="C833" s="247"/>
      <c r="D833" s="247"/>
      <c r="E833" s="247"/>
      <c r="F833" s="247"/>
    </row>
    <row r="834" ht="15.75" customHeight="1">
      <c r="A834" s="247"/>
      <c r="B834" s="247"/>
      <c r="C834" s="247"/>
      <c r="D834" s="247"/>
      <c r="E834" s="247"/>
      <c r="F834" s="247"/>
    </row>
    <row r="835" ht="15.75" customHeight="1">
      <c r="A835" s="247"/>
      <c r="B835" s="247"/>
      <c r="C835" s="247"/>
      <c r="D835" s="247"/>
      <c r="E835" s="247"/>
      <c r="F835" s="247"/>
    </row>
    <row r="836" ht="15.75" customHeight="1">
      <c r="A836" s="247"/>
      <c r="B836" s="247"/>
      <c r="C836" s="247"/>
      <c r="D836" s="247"/>
      <c r="E836" s="247"/>
      <c r="F836" s="247"/>
    </row>
    <row r="837" ht="15.75" customHeight="1">
      <c r="A837" s="247"/>
      <c r="B837" s="247"/>
      <c r="C837" s="247"/>
      <c r="D837" s="247"/>
      <c r="E837" s="247"/>
      <c r="F837" s="247"/>
    </row>
    <row r="838" ht="15.75" customHeight="1">
      <c r="A838" s="247"/>
      <c r="B838" s="247"/>
      <c r="C838" s="247"/>
      <c r="D838" s="247"/>
      <c r="E838" s="247"/>
      <c r="F838" s="247"/>
    </row>
    <row r="839" ht="15.75" customHeight="1">
      <c r="A839" s="247"/>
      <c r="B839" s="247"/>
      <c r="C839" s="247"/>
      <c r="D839" s="247"/>
      <c r="E839" s="247"/>
      <c r="F839" s="247"/>
    </row>
    <row r="840" ht="15.75" customHeight="1">
      <c r="A840" s="247"/>
      <c r="B840" s="247"/>
      <c r="C840" s="247"/>
      <c r="D840" s="247"/>
      <c r="E840" s="247"/>
      <c r="F840" s="247"/>
    </row>
    <row r="841" ht="15.75" customHeight="1">
      <c r="A841" s="247"/>
      <c r="B841" s="247"/>
      <c r="C841" s="247"/>
      <c r="D841" s="247"/>
      <c r="E841" s="247"/>
      <c r="F841" s="247"/>
    </row>
    <row r="842" ht="15.75" customHeight="1">
      <c r="A842" s="247"/>
      <c r="B842" s="247"/>
      <c r="C842" s="247"/>
      <c r="D842" s="247"/>
      <c r="E842" s="247"/>
      <c r="F842" s="247"/>
    </row>
    <row r="843" ht="15.75" customHeight="1">
      <c r="A843" s="247"/>
      <c r="B843" s="247"/>
      <c r="C843" s="247"/>
      <c r="D843" s="247"/>
      <c r="E843" s="247"/>
      <c r="F843" s="247"/>
    </row>
    <row r="844" ht="15.75" customHeight="1">
      <c r="A844" s="247"/>
      <c r="B844" s="247"/>
      <c r="C844" s="247"/>
      <c r="D844" s="247"/>
      <c r="E844" s="247"/>
      <c r="F844" s="247"/>
    </row>
    <row r="845" ht="15.75" customHeight="1">
      <c r="A845" s="247"/>
      <c r="B845" s="247"/>
      <c r="C845" s="247"/>
      <c r="D845" s="247"/>
      <c r="E845" s="247"/>
      <c r="F845" s="247"/>
    </row>
    <row r="846" ht="15.75" customHeight="1">
      <c r="A846" s="247"/>
      <c r="B846" s="247"/>
      <c r="C846" s="247"/>
      <c r="D846" s="247"/>
      <c r="E846" s="247"/>
      <c r="F846" s="247"/>
    </row>
    <row r="847" ht="15.75" customHeight="1">
      <c r="A847" s="247"/>
      <c r="B847" s="247"/>
      <c r="C847" s="247"/>
      <c r="D847" s="247"/>
      <c r="E847" s="247"/>
      <c r="F847" s="247"/>
    </row>
    <row r="848" ht="15.75" customHeight="1">
      <c r="A848" s="247"/>
      <c r="B848" s="247"/>
      <c r="C848" s="247"/>
      <c r="D848" s="247"/>
      <c r="E848" s="247"/>
      <c r="F848" s="247"/>
    </row>
    <row r="849" ht="15.75" customHeight="1">
      <c r="A849" s="247"/>
      <c r="B849" s="247"/>
      <c r="C849" s="247"/>
      <c r="D849" s="247"/>
      <c r="E849" s="247"/>
      <c r="F849" s="247"/>
    </row>
    <row r="850" ht="15.75" customHeight="1">
      <c r="A850" s="247"/>
      <c r="B850" s="247"/>
      <c r="C850" s="247"/>
      <c r="D850" s="247"/>
      <c r="E850" s="247"/>
      <c r="F850" s="247"/>
    </row>
    <row r="851" ht="15.75" customHeight="1">
      <c r="A851" s="247"/>
      <c r="B851" s="247"/>
      <c r="C851" s="247"/>
      <c r="D851" s="247"/>
      <c r="E851" s="247"/>
      <c r="F851" s="247"/>
    </row>
    <row r="852" ht="15.75" customHeight="1">
      <c r="A852" s="247"/>
      <c r="B852" s="247"/>
      <c r="C852" s="247"/>
      <c r="D852" s="247"/>
      <c r="E852" s="247"/>
      <c r="F852" s="247"/>
    </row>
    <row r="853" ht="15.75" customHeight="1">
      <c r="A853" s="247"/>
      <c r="B853" s="247"/>
      <c r="C853" s="247"/>
      <c r="D853" s="247"/>
      <c r="E853" s="247"/>
      <c r="F853" s="247"/>
    </row>
    <row r="854" ht="15.75" customHeight="1">
      <c r="A854" s="247"/>
      <c r="B854" s="247"/>
      <c r="C854" s="247"/>
      <c r="D854" s="247"/>
      <c r="E854" s="247"/>
      <c r="F854" s="247"/>
    </row>
    <row r="855" ht="15.75" customHeight="1">
      <c r="A855" s="247"/>
      <c r="B855" s="247"/>
      <c r="C855" s="247"/>
      <c r="D855" s="247"/>
      <c r="E855" s="247"/>
      <c r="F855" s="247"/>
    </row>
    <row r="856" ht="15.75" customHeight="1">
      <c r="A856" s="247"/>
      <c r="B856" s="247"/>
      <c r="C856" s="247"/>
      <c r="D856" s="247"/>
      <c r="E856" s="247"/>
      <c r="F856" s="247"/>
    </row>
    <row r="857" ht="15.75" customHeight="1">
      <c r="A857" s="247"/>
      <c r="B857" s="247"/>
      <c r="C857" s="247"/>
      <c r="D857" s="247"/>
      <c r="E857" s="247"/>
      <c r="F857" s="247"/>
    </row>
    <row r="858" ht="15.75" customHeight="1">
      <c r="A858" s="247"/>
      <c r="B858" s="247"/>
      <c r="C858" s="247"/>
      <c r="D858" s="247"/>
      <c r="E858" s="247"/>
      <c r="F858" s="247"/>
    </row>
    <row r="859" ht="15.75" customHeight="1">
      <c r="A859" s="247"/>
      <c r="B859" s="247"/>
      <c r="C859" s="247"/>
      <c r="D859" s="247"/>
      <c r="E859" s="247"/>
      <c r="F859" s="247"/>
    </row>
    <row r="860" ht="15.75" customHeight="1">
      <c r="A860" s="247"/>
      <c r="B860" s="247"/>
      <c r="C860" s="247"/>
      <c r="D860" s="247"/>
      <c r="E860" s="247"/>
      <c r="F860" s="247"/>
    </row>
    <row r="861" ht="15.75" customHeight="1">
      <c r="A861" s="247"/>
      <c r="B861" s="247"/>
      <c r="C861" s="247"/>
      <c r="D861" s="247"/>
      <c r="E861" s="247"/>
      <c r="F861" s="247"/>
    </row>
    <row r="862" ht="15.75" customHeight="1">
      <c r="A862" s="247"/>
      <c r="B862" s="247"/>
      <c r="C862" s="247"/>
      <c r="D862" s="247"/>
      <c r="E862" s="247"/>
      <c r="F862" s="247"/>
    </row>
    <row r="863" ht="15.75" customHeight="1">
      <c r="A863" s="247"/>
      <c r="B863" s="247"/>
      <c r="C863" s="247"/>
      <c r="D863" s="247"/>
      <c r="E863" s="247"/>
      <c r="F863" s="247"/>
    </row>
    <row r="864" ht="15.75" customHeight="1">
      <c r="A864" s="247"/>
      <c r="B864" s="247"/>
      <c r="C864" s="247"/>
      <c r="D864" s="247"/>
      <c r="E864" s="247"/>
      <c r="F864" s="247"/>
    </row>
    <row r="865" ht="15.75" customHeight="1">
      <c r="A865" s="247"/>
      <c r="B865" s="247"/>
      <c r="C865" s="247"/>
      <c r="D865" s="247"/>
      <c r="E865" s="247"/>
      <c r="F865" s="247"/>
    </row>
    <row r="866" ht="15.75" customHeight="1">
      <c r="A866" s="247"/>
      <c r="B866" s="247"/>
      <c r="C866" s="247"/>
      <c r="D866" s="247"/>
      <c r="E866" s="247"/>
      <c r="F866" s="247"/>
    </row>
    <row r="867" ht="15.75" customHeight="1">
      <c r="A867" s="247"/>
      <c r="B867" s="247"/>
      <c r="C867" s="247"/>
      <c r="D867" s="247"/>
      <c r="E867" s="247"/>
      <c r="F867" s="247"/>
    </row>
    <row r="868" ht="15.75" customHeight="1">
      <c r="A868" s="247"/>
      <c r="B868" s="247"/>
      <c r="C868" s="247"/>
      <c r="D868" s="247"/>
      <c r="E868" s="247"/>
      <c r="F868" s="247"/>
    </row>
    <row r="869" ht="15.75" customHeight="1">
      <c r="A869" s="247"/>
      <c r="B869" s="247"/>
      <c r="C869" s="247"/>
      <c r="D869" s="247"/>
      <c r="E869" s="247"/>
      <c r="F869" s="247"/>
    </row>
    <row r="870" ht="15.75" customHeight="1">
      <c r="A870" s="247"/>
      <c r="B870" s="247"/>
      <c r="C870" s="247"/>
      <c r="D870" s="247"/>
      <c r="E870" s="247"/>
      <c r="F870" s="247"/>
    </row>
    <row r="871" ht="15.75" customHeight="1">
      <c r="A871" s="247"/>
      <c r="B871" s="247"/>
      <c r="C871" s="247"/>
      <c r="D871" s="247"/>
      <c r="E871" s="247"/>
      <c r="F871" s="247"/>
    </row>
    <row r="872" ht="15.75" customHeight="1">
      <c r="A872" s="247"/>
      <c r="B872" s="247"/>
      <c r="C872" s="247"/>
      <c r="D872" s="247"/>
      <c r="E872" s="247"/>
      <c r="F872" s="247"/>
    </row>
    <row r="873" ht="15.75" customHeight="1">
      <c r="A873" s="247"/>
      <c r="B873" s="247"/>
      <c r="C873" s="247"/>
      <c r="D873" s="247"/>
      <c r="E873" s="247"/>
      <c r="F873" s="247"/>
    </row>
    <row r="874" ht="15.75" customHeight="1">
      <c r="A874" s="247"/>
      <c r="B874" s="247"/>
      <c r="C874" s="247"/>
      <c r="D874" s="247"/>
      <c r="E874" s="247"/>
      <c r="F874" s="247"/>
    </row>
    <row r="875" ht="15.75" customHeight="1">
      <c r="A875" s="247"/>
      <c r="B875" s="247"/>
      <c r="C875" s="247"/>
      <c r="D875" s="247"/>
      <c r="E875" s="247"/>
      <c r="F875" s="247"/>
    </row>
    <row r="876" ht="15.75" customHeight="1">
      <c r="A876" s="247"/>
      <c r="B876" s="247"/>
      <c r="C876" s="247"/>
      <c r="D876" s="247"/>
      <c r="E876" s="247"/>
      <c r="F876" s="247"/>
    </row>
    <row r="877" ht="15.75" customHeight="1">
      <c r="A877" s="247"/>
      <c r="B877" s="247"/>
      <c r="C877" s="247"/>
      <c r="D877" s="247"/>
      <c r="E877" s="247"/>
      <c r="F877" s="247"/>
    </row>
    <row r="878" ht="15.75" customHeight="1">
      <c r="A878" s="247"/>
      <c r="B878" s="247"/>
      <c r="C878" s="247"/>
      <c r="D878" s="247"/>
      <c r="E878" s="247"/>
      <c r="F878" s="247"/>
    </row>
    <row r="879" ht="15.75" customHeight="1">
      <c r="A879" s="247"/>
      <c r="B879" s="247"/>
      <c r="C879" s="247"/>
      <c r="D879" s="247"/>
      <c r="E879" s="247"/>
      <c r="F879" s="247"/>
    </row>
    <row r="880" ht="15.75" customHeight="1">
      <c r="A880" s="247"/>
      <c r="B880" s="247"/>
      <c r="C880" s="247"/>
      <c r="D880" s="247"/>
      <c r="E880" s="247"/>
      <c r="F880" s="247"/>
    </row>
    <row r="881" ht="15.75" customHeight="1">
      <c r="A881" s="247"/>
      <c r="B881" s="247"/>
      <c r="C881" s="247"/>
      <c r="D881" s="247"/>
      <c r="E881" s="247"/>
      <c r="F881" s="247"/>
    </row>
    <row r="882" ht="15.75" customHeight="1">
      <c r="A882" s="247"/>
      <c r="B882" s="247"/>
      <c r="C882" s="247"/>
      <c r="D882" s="247"/>
      <c r="E882" s="247"/>
      <c r="F882" s="247"/>
    </row>
    <row r="883" ht="15.75" customHeight="1">
      <c r="A883" s="247"/>
      <c r="B883" s="247"/>
      <c r="C883" s="247"/>
      <c r="D883" s="247"/>
      <c r="E883" s="247"/>
      <c r="F883" s="247"/>
    </row>
    <row r="884" ht="15.75" customHeight="1">
      <c r="A884" s="247"/>
      <c r="B884" s="247"/>
      <c r="C884" s="247"/>
      <c r="D884" s="247"/>
      <c r="E884" s="247"/>
      <c r="F884" s="247"/>
    </row>
    <row r="885" ht="15.75" customHeight="1">
      <c r="A885" s="247"/>
      <c r="B885" s="247"/>
      <c r="C885" s="247"/>
      <c r="D885" s="247"/>
      <c r="E885" s="247"/>
      <c r="F885" s="247"/>
    </row>
    <row r="886" ht="15.75" customHeight="1">
      <c r="A886" s="247"/>
      <c r="B886" s="247"/>
      <c r="C886" s="247"/>
      <c r="D886" s="247"/>
      <c r="E886" s="247"/>
      <c r="F886" s="247"/>
    </row>
    <row r="887" ht="15.75" customHeight="1">
      <c r="A887" s="247"/>
      <c r="B887" s="247"/>
      <c r="C887" s="247"/>
      <c r="D887" s="247"/>
      <c r="E887" s="247"/>
      <c r="F887" s="247"/>
    </row>
    <row r="888" ht="15.75" customHeight="1">
      <c r="A888" s="247"/>
      <c r="B888" s="247"/>
      <c r="C888" s="247"/>
      <c r="D888" s="247"/>
      <c r="E888" s="247"/>
      <c r="F888" s="247"/>
    </row>
    <row r="889" ht="15.75" customHeight="1">
      <c r="A889" s="247"/>
      <c r="B889" s="247"/>
      <c r="C889" s="247"/>
      <c r="D889" s="247"/>
      <c r="E889" s="247"/>
      <c r="F889" s="247"/>
    </row>
    <row r="890" ht="15.75" customHeight="1">
      <c r="A890" s="247"/>
      <c r="B890" s="247"/>
      <c r="C890" s="247"/>
      <c r="D890" s="247"/>
      <c r="E890" s="247"/>
      <c r="F890" s="247"/>
    </row>
    <row r="891" ht="15.75" customHeight="1">
      <c r="A891" s="247"/>
      <c r="B891" s="247"/>
      <c r="C891" s="247"/>
      <c r="D891" s="247"/>
      <c r="E891" s="247"/>
      <c r="F891" s="247"/>
    </row>
    <row r="892" ht="15.75" customHeight="1">
      <c r="A892" s="247"/>
      <c r="B892" s="247"/>
      <c r="C892" s="247"/>
      <c r="D892" s="247"/>
      <c r="E892" s="247"/>
      <c r="F892" s="247"/>
    </row>
    <row r="893" ht="15.75" customHeight="1">
      <c r="A893" s="247"/>
      <c r="B893" s="247"/>
      <c r="C893" s="247"/>
      <c r="D893" s="247"/>
      <c r="E893" s="247"/>
      <c r="F893" s="247"/>
    </row>
    <row r="894" ht="15.75" customHeight="1">
      <c r="A894" s="247"/>
      <c r="B894" s="247"/>
      <c r="C894" s="247"/>
      <c r="D894" s="247"/>
      <c r="E894" s="247"/>
      <c r="F894" s="247"/>
    </row>
    <row r="895" ht="15.75" customHeight="1">
      <c r="A895" s="247"/>
      <c r="B895" s="247"/>
      <c r="C895" s="247"/>
      <c r="D895" s="247"/>
      <c r="E895" s="247"/>
      <c r="F895" s="247"/>
    </row>
    <row r="896" ht="15.75" customHeight="1">
      <c r="A896" s="247"/>
      <c r="B896" s="247"/>
      <c r="C896" s="247"/>
      <c r="D896" s="247"/>
      <c r="E896" s="247"/>
      <c r="F896" s="247"/>
    </row>
    <row r="897" ht="15.75" customHeight="1">
      <c r="A897" s="247"/>
      <c r="B897" s="247"/>
      <c r="C897" s="247"/>
      <c r="D897" s="247"/>
      <c r="E897" s="247"/>
      <c r="F897" s="247"/>
    </row>
    <row r="898" ht="15.75" customHeight="1">
      <c r="A898" s="247"/>
      <c r="B898" s="247"/>
      <c r="C898" s="247"/>
      <c r="D898" s="247"/>
      <c r="E898" s="247"/>
      <c r="F898" s="247"/>
    </row>
    <row r="899" ht="15.75" customHeight="1">
      <c r="A899" s="247"/>
      <c r="B899" s="247"/>
      <c r="C899" s="247"/>
      <c r="D899" s="247"/>
      <c r="E899" s="247"/>
      <c r="F899" s="247"/>
    </row>
    <row r="900" ht="15.75" customHeight="1">
      <c r="A900" s="247"/>
      <c r="B900" s="247"/>
      <c r="C900" s="247"/>
      <c r="D900" s="247"/>
      <c r="E900" s="247"/>
      <c r="F900" s="247"/>
    </row>
    <row r="901" ht="15.75" customHeight="1">
      <c r="A901" s="247"/>
      <c r="B901" s="247"/>
      <c r="C901" s="247"/>
      <c r="D901" s="247"/>
      <c r="E901" s="247"/>
      <c r="F901" s="247"/>
    </row>
    <row r="902" ht="15.75" customHeight="1">
      <c r="A902" s="247"/>
      <c r="B902" s="247"/>
      <c r="C902" s="247"/>
      <c r="D902" s="247"/>
      <c r="E902" s="247"/>
      <c r="F902" s="247"/>
    </row>
    <row r="903" ht="15.75" customHeight="1">
      <c r="A903" s="247"/>
      <c r="B903" s="247"/>
      <c r="C903" s="247"/>
      <c r="D903" s="247"/>
      <c r="E903" s="247"/>
      <c r="F903" s="247"/>
    </row>
    <row r="904" ht="15.75" customHeight="1">
      <c r="A904" s="247"/>
      <c r="B904" s="247"/>
      <c r="C904" s="247"/>
      <c r="D904" s="247"/>
      <c r="E904" s="247"/>
      <c r="F904" s="247"/>
    </row>
    <row r="905" ht="15.75" customHeight="1">
      <c r="A905" s="247"/>
      <c r="B905" s="247"/>
      <c r="C905" s="247"/>
      <c r="D905" s="247"/>
      <c r="E905" s="247"/>
      <c r="F905" s="247"/>
    </row>
    <row r="906" ht="15.75" customHeight="1">
      <c r="A906" s="247"/>
      <c r="B906" s="247"/>
      <c r="C906" s="247"/>
      <c r="D906" s="247"/>
      <c r="E906" s="247"/>
      <c r="F906" s="247"/>
    </row>
    <row r="907" ht="15.75" customHeight="1">
      <c r="A907" s="247"/>
      <c r="B907" s="247"/>
      <c r="C907" s="247"/>
      <c r="D907" s="247"/>
      <c r="E907" s="247"/>
      <c r="F907" s="247"/>
    </row>
    <row r="908" ht="15.75" customHeight="1">
      <c r="A908" s="247"/>
      <c r="B908" s="247"/>
      <c r="C908" s="247"/>
      <c r="D908" s="247"/>
      <c r="E908" s="247"/>
      <c r="F908" s="247"/>
    </row>
    <row r="909" ht="15.75" customHeight="1">
      <c r="A909" s="247"/>
      <c r="B909" s="247"/>
      <c r="C909" s="247"/>
      <c r="D909" s="247"/>
      <c r="E909" s="247"/>
      <c r="F909" s="247"/>
    </row>
    <row r="910" ht="15.75" customHeight="1">
      <c r="A910" s="247"/>
      <c r="B910" s="247"/>
      <c r="C910" s="247"/>
      <c r="D910" s="247"/>
      <c r="E910" s="247"/>
      <c r="F910" s="247"/>
    </row>
    <row r="911" ht="15.75" customHeight="1">
      <c r="A911" s="247"/>
      <c r="B911" s="247"/>
      <c r="C911" s="247"/>
      <c r="D911" s="247"/>
      <c r="E911" s="247"/>
      <c r="F911" s="247"/>
    </row>
    <row r="912" ht="15.75" customHeight="1">
      <c r="A912" s="247"/>
      <c r="B912" s="247"/>
      <c r="C912" s="247"/>
      <c r="D912" s="247"/>
      <c r="E912" s="247"/>
      <c r="F912" s="247"/>
    </row>
    <row r="913" ht="15.75" customHeight="1">
      <c r="A913" s="247"/>
      <c r="B913" s="247"/>
      <c r="C913" s="247"/>
      <c r="D913" s="247"/>
      <c r="E913" s="247"/>
      <c r="F913" s="247"/>
    </row>
    <row r="914" ht="15.75" customHeight="1">
      <c r="A914" s="247"/>
      <c r="B914" s="247"/>
      <c r="C914" s="247"/>
      <c r="D914" s="247"/>
      <c r="E914" s="247"/>
      <c r="F914" s="247"/>
    </row>
    <row r="915" ht="15.75" customHeight="1">
      <c r="A915" s="247"/>
      <c r="B915" s="247"/>
      <c r="C915" s="247"/>
      <c r="D915" s="247"/>
      <c r="E915" s="247"/>
      <c r="F915" s="247"/>
    </row>
    <row r="916" ht="15.75" customHeight="1">
      <c r="A916" s="247"/>
      <c r="B916" s="247"/>
      <c r="C916" s="247"/>
      <c r="D916" s="247"/>
      <c r="E916" s="247"/>
      <c r="F916" s="247"/>
    </row>
    <row r="917" ht="15.75" customHeight="1">
      <c r="A917" s="247"/>
      <c r="B917" s="247"/>
      <c r="C917" s="247"/>
      <c r="D917" s="247"/>
      <c r="E917" s="247"/>
      <c r="F917" s="247"/>
    </row>
    <row r="918" ht="15.75" customHeight="1">
      <c r="A918" s="247"/>
      <c r="B918" s="247"/>
      <c r="C918" s="247"/>
      <c r="D918" s="247"/>
      <c r="E918" s="247"/>
      <c r="F918" s="247"/>
    </row>
    <row r="919" ht="15.75" customHeight="1">
      <c r="A919" s="247"/>
      <c r="B919" s="247"/>
      <c r="C919" s="247"/>
      <c r="D919" s="247"/>
      <c r="E919" s="247"/>
      <c r="F919" s="247"/>
    </row>
    <row r="920" ht="15.75" customHeight="1">
      <c r="A920" s="247"/>
      <c r="B920" s="247"/>
      <c r="C920" s="247"/>
      <c r="D920" s="247"/>
      <c r="E920" s="247"/>
      <c r="F920" s="247"/>
    </row>
    <row r="921" ht="15.75" customHeight="1">
      <c r="A921" s="247"/>
      <c r="B921" s="247"/>
      <c r="C921" s="247"/>
      <c r="D921" s="247"/>
      <c r="E921" s="247"/>
      <c r="F921" s="247"/>
    </row>
    <row r="922" ht="15.75" customHeight="1">
      <c r="A922" s="247"/>
      <c r="B922" s="247"/>
      <c r="C922" s="247"/>
      <c r="D922" s="247"/>
      <c r="E922" s="247"/>
      <c r="F922" s="247"/>
    </row>
    <row r="923" ht="15.75" customHeight="1">
      <c r="A923" s="247"/>
      <c r="B923" s="247"/>
      <c r="C923" s="247"/>
      <c r="D923" s="247"/>
      <c r="E923" s="247"/>
      <c r="F923" s="247"/>
    </row>
    <row r="924" ht="15.75" customHeight="1">
      <c r="A924" s="247"/>
      <c r="B924" s="247"/>
      <c r="C924" s="247"/>
      <c r="D924" s="247"/>
      <c r="E924" s="247"/>
      <c r="F924" s="247"/>
    </row>
    <row r="925" ht="15.75" customHeight="1">
      <c r="A925" s="247"/>
      <c r="B925" s="247"/>
      <c r="C925" s="247"/>
      <c r="D925" s="247"/>
      <c r="E925" s="247"/>
      <c r="F925" s="247"/>
    </row>
    <row r="926" ht="15.75" customHeight="1">
      <c r="A926" s="247"/>
      <c r="B926" s="247"/>
      <c r="C926" s="247"/>
      <c r="D926" s="247"/>
      <c r="E926" s="247"/>
      <c r="F926" s="247"/>
    </row>
    <row r="927" ht="15.75" customHeight="1">
      <c r="A927" s="247"/>
      <c r="B927" s="247"/>
      <c r="C927" s="247"/>
      <c r="D927" s="247"/>
      <c r="E927" s="247"/>
      <c r="F927" s="247"/>
    </row>
    <row r="928" ht="15.75" customHeight="1">
      <c r="A928" s="247"/>
      <c r="B928" s="247"/>
      <c r="C928" s="247"/>
      <c r="D928" s="247"/>
      <c r="E928" s="247"/>
      <c r="F928" s="247"/>
    </row>
    <row r="929" ht="15.75" customHeight="1">
      <c r="A929" s="247"/>
      <c r="B929" s="247"/>
      <c r="C929" s="247"/>
      <c r="D929" s="247"/>
      <c r="E929" s="247"/>
      <c r="F929" s="247"/>
    </row>
    <row r="930" ht="15.75" customHeight="1">
      <c r="A930" s="247"/>
      <c r="B930" s="247"/>
      <c r="C930" s="247"/>
      <c r="D930" s="247"/>
      <c r="E930" s="247"/>
      <c r="F930" s="247"/>
    </row>
    <row r="931" ht="15.75" customHeight="1">
      <c r="A931" s="247"/>
      <c r="B931" s="247"/>
      <c r="C931" s="247"/>
      <c r="D931" s="247"/>
      <c r="E931" s="247"/>
      <c r="F931" s="247"/>
    </row>
    <row r="932" ht="15.75" customHeight="1">
      <c r="A932" s="247"/>
      <c r="B932" s="247"/>
      <c r="C932" s="247"/>
      <c r="D932" s="247"/>
      <c r="E932" s="247"/>
      <c r="F932" s="247"/>
    </row>
    <row r="933" ht="15.75" customHeight="1">
      <c r="A933" s="247"/>
      <c r="B933" s="247"/>
      <c r="C933" s="247"/>
      <c r="D933" s="247"/>
      <c r="E933" s="247"/>
      <c r="F933" s="247"/>
    </row>
    <row r="934" ht="15.75" customHeight="1">
      <c r="A934" s="247"/>
      <c r="B934" s="247"/>
      <c r="C934" s="247"/>
      <c r="D934" s="247"/>
      <c r="E934" s="247"/>
      <c r="F934" s="247"/>
    </row>
    <row r="935" ht="15.75" customHeight="1">
      <c r="A935" s="247"/>
      <c r="B935" s="247"/>
      <c r="C935" s="247"/>
      <c r="D935" s="247"/>
      <c r="E935" s="247"/>
      <c r="F935" s="247"/>
    </row>
    <row r="936" ht="15.75" customHeight="1">
      <c r="A936" s="247"/>
      <c r="B936" s="247"/>
      <c r="C936" s="247"/>
      <c r="D936" s="247"/>
      <c r="E936" s="247"/>
      <c r="F936" s="247"/>
    </row>
    <row r="937" ht="15.75" customHeight="1">
      <c r="A937" s="247"/>
      <c r="B937" s="247"/>
      <c r="C937" s="247"/>
      <c r="D937" s="247"/>
      <c r="E937" s="247"/>
      <c r="F937" s="247"/>
    </row>
    <row r="938" ht="15.75" customHeight="1">
      <c r="A938" s="247"/>
      <c r="B938" s="247"/>
      <c r="C938" s="247"/>
      <c r="D938" s="247"/>
      <c r="E938" s="247"/>
      <c r="F938" s="247"/>
    </row>
    <row r="939" ht="15.75" customHeight="1">
      <c r="A939" s="247"/>
      <c r="B939" s="247"/>
      <c r="C939" s="247"/>
      <c r="D939" s="247"/>
      <c r="E939" s="247"/>
      <c r="F939" s="247"/>
    </row>
    <row r="940" ht="15.75" customHeight="1">
      <c r="A940" s="247"/>
      <c r="B940" s="247"/>
      <c r="C940" s="247"/>
      <c r="D940" s="247"/>
      <c r="E940" s="247"/>
      <c r="F940" s="247"/>
    </row>
    <row r="941" ht="15.75" customHeight="1">
      <c r="A941" s="247"/>
      <c r="B941" s="247"/>
      <c r="C941" s="247"/>
      <c r="D941" s="247"/>
      <c r="E941" s="247"/>
      <c r="F941" s="247"/>
    </row>
    <row r="942" ht="15.75" customHeight="1">
      <c r="A942" s="247"/>
      <c r="B942" s="247"/>
      <c r="C942" s="247"/>
      <c r="D942" s="247"/>
      <c r="E942" s="247"/>
      <c r="F942" s="247"/>
    </row>
    <row r="943" ht="15.75" customHeight="1">
      <c r="A943" s="247"/>
      <c r="B943" s="247"/>
      <c r="C943" s="247"/>
      <c r="D943" s="247"/>
      <c r="E943" s="247"/>
      <c r="F943" s="247"/>
    </row>
    <row r="944" ht="15.75" customHeight="1">
      <c r="A944" s="247"/>
      <c r="B944" s="247"/>
      <c r="C944" s="247"/>
      <c r="D944" s="247"/>
      <c r="E944" s="247"/>
      <c r="F944" s="247"/>
    </row>
    <row r="945" ht="15.75" customHeight="1">
      <c r="A945" s="247"/>
      <c r="B945" s="247"/>
      <c r="C945" s="247"/>
      <c r="D945" s="247"/>
      <c r="E945" s="247"/>
      <c r="F945" s="247"/>
    </row>
    <row r="946" ht="15.75" customHeight="1">
      <c r="A946" s="247"/>
      <c r="B946" s="247"/>
      <c r="C946" s="247"/>
      <c r="D946" s="247"/>
      <c r="E946" s="247"/>
      <c r="F946" s="247"/>
    </row>
    <row r="947" ht="15.75" customHeight="1">
      <c r="A947" s="247"/>
      <c r="B947" s="247"/>
      <c r="C947" s="247"/>
      <c r="D947" s="247"/>
      <c r="E947" s="247"/>
      <c r="F947" s="247"/>
    </row>
    <row r="948" ht="15.75" customHeight="1">
      <c r="A948" s="247"/>
      <c r="B948" s="247"/>
      <c r="C948" s="247"/>
      <c r="D948" s="247"/>
      <c r="E948" s="247"/>
      <c r="F948" s="247"/>
    </row>
    <row r="949" ht="15.75" customHeight="1">
      <c r="A949" s="247"/>
      <c r="B949" s="247"/>
      <c r="C949" s="247"/>
      <c r="D949" s="247"/>
      <c r="E949" s="247"/>
      <c r="F949" s="247"/>
    </row>
    <row r="950" ht="15.75" customHeight="1">
      <c r="A950" s="247"/>
      <c r="B950" s="247"/>
      <c r="C950" s="247"/>
      <c r="D950" s="247"/>
      <c r="E950" s="247"/>
      <c r="F950" s="247"/>
    </row>
    <row r="951" ht="15.75" customHeight="1">
      <c r="A951" s="247"/>
      <c r="B951" s="247"/>
      <c r="C951" s="247"/>
      <c r="D951" s="247"/>
      <c r="E951" s="247"/>
      <c r="F951" s="247"/>
    </row>
    <row r="952" ht="15.75" customHeight="1">
      <c r="A952" s="247"/>
      <c r="B952" s="247"/>
      <c r="C952" s="247"/>
      <c r="D952" s="247"/>
      <c r="E952" s="247"/>
      <c r="F952" s="247"/>
    </row>
    <row r="953" ht="15.75" customHeight="1">
      <c r="A953" s="247"/>
      <c r="B953" s="247"/>
      <c r="C953" s="247"/>
      <c r="D953" s="247"/>
      <c r="E953" s="247"/>
      <c r="F953" s="247"/>
    </row>
    <row r="954" ht="15.75" customHeight="1">
      <c r="A954" s="247"/>
      <c r="B954" s="247"/>
      <c r="C954" s="247"/>
      <c r="D954" s="247"/>
      <c r="E954" s="247"/>
      <c r="F954" s="247"/>
    </row>
    <row r="955" ht="15.75" customHeight="1">
      <c r="A955" s="247"/>
      <c r="B955" s="247"/>
      <c r="C955" s="247"/>
      <c r="D955" s="247"/>
      <c r="E955" s="247"/>
      <c r="F955" s="247"/>
    </row>
    <row r="956" ht="15.75" customHeight="1">
      <c r="A956" s="247"/>
      <c r="B956" s="247"/>
      <c r="C956" s="247"/>
      <c r="D956" s="247"/>
      <c r="E956" s="247"/>
      <c r="F956" s="247"/>
    </row>
    <row r="957" ht="15.75" customHeight="1">
      <c r="A957" s="247"/>
      <c r="B957" s="247"/>
      <c r="C957" s="247"/>
      <c r="D957" s="247"/>
      <c r="E957" s="247"/>
      <c r="F957" s="247"/>
    </row>
    <row r="958" ht="15.75" customHeight="1">
      <c r="A958" s="247"/>
      <c r="B958" s="247"/>
      <c r="C958" s="247"/>
      <c r="D958" s="247"/>
      <c r="E958" s="247"/>
      <c r="F958" s="247"/>
    </row>
    <row r="959" ht="15.75" customHeight="1">
      <c r="A959" s="247"/>
      <c r="B959" s="247"/>
      <c r="C959" s="247"/>
      <c r="D959" s="247"/>
      <c r="E959" s="247"/>
      <c r="F959" s="247"/>
    </row>
    <row r="960" ht="15.75" customHeight="1">
      <c r="A960" s="247"/>
      <c r="B960" s="247"/>
      <c r="C960" s="247"/>
      <c r="D960" s="247"/>
      <c r="E960" s="247"/>
      <c r="F960" s="247"/>
    </row>
    <row r="961" ht="15.75" customHeight="1">
      <c r="A961" s="247"/>
      <c r="B961" s="247"/>
      <c r="C961" s="247"/>
      <c r="D961" s="247"/>
      <c r="E961" s="247"/>
      <c r="F961" s="247"/>
    </row>
    <row r="962" ht="15.75" customHeight="1">
      <c r="A962" s="247"/>
      <c r="B962" s="247"/>
      <c r="C962" s="247"/>
      <c r="D962" s="247"/>
      <c r="E962" s="247"/>
      <c r="F962" s="247"/>
    </row>
    <row r="963" ht="15.75" customHeight="1">
      <c r="A963" s="247"/>
      <c r="B963" s="247"/>
      <c r="C963" s="247"/>
      <c r="D963" s="247"/>
      <c r="E963" s="247"/>
      <c r="F963" s="247"/>
    </row>
    <row r="964" ht="15.75" customHeight="1">
      <c r="A964" s="247"/>
      <c r="B964" s="247"/>
      <c r="C964" s="247"/>
      <c r="D964" s="247"/>
      <c r="E964" s="247"/>
      <c r="F964" s="247"/>
    </row>
    <row r="965" ht="15.75" customHeight="1">
      <c r="A965" s="247"/>
      <c r="B965" s="247"/>
      <c r="C965" s="247"/>
      <c r="D965" s="247"/>
      <c r="E965" s="247"/>
      <c r="F965" s="247"/>
    </row>
    <row r="966" ht="15.75" customHeight="1">
      <c r="A966" s="247"/>
      <c r="B966" s="247"/>
      <c r="C966" s="247"/>
      <c r="D966" s="247"/>
      <c r="E966" s="247"/>
      <c r="F966" s="247"/>
    </row>
    <row r="967" ht="15.75" customHeight="1">
      <c r="A967" s="247"/>
      <c r="B967" s="247"/>
      <c r="C967" s="247"/>
      <c r="D967" s="247"/>
      <c r="E967" s="247"/>
      <c r="F967" s="247"/>
    </row>
    <row r="968" ht="15.75" customHeight="1">
      <c r="A968" s="247"/>
      <c r="B968" s="247"/>
      <c r="C968" s="247"/>
      <c r="D968" s="247"/>
      <c r="E968" s="247"/>
      <c r="F968" s="247"/>
    </row>
    <row r="969" ht="15.75" customHeight="1">
      <c r="A969" s="247"/>
      <c r="B969" s="247"/>
      <c r="C969" s="247"/>
      <c r="D969" s="247"/>
      <c r="E969" s="247"/>
      <c r="F969" s="247"/>
    </row>
    <row r="970" ht="15.75" customHeight="1">
      <c r="A970" s="247"/>
      <c r="B970" s="247"/>
      <c r="C970" s="247"/>
      <c r="D970" s="247"/>
      <c r="E970" s="247"/>
      <c r="F970" s="247"/>
    </row>
    <row r="971" ht="15.75" customHeight="1">
      <c r="A971" s="247"/>
      <c r="B971" s="247"/>
      <c r="C971" s="247"/>
      <c r="D971" s="247"/>
      <c r="E971" s="247"/>
      <c r="F971" s="247"/>
    </row>
    <row r="972" ht="15.75" customHeight="1">
      <c r="A972" s="247"/>
      <c r="B972" s="247"/>
      <c r="C972" s="247"/>
      <c r="D972" s="247"/>
      <c r="E972" s="247"/>
      <c r="F972" s="247"/>
    </row>
    <row r="973" ht="15.75" customHeight="1">
      <c r="A973" s="247"/>
      <c r="B973" s="247"/>
      <c r="C973" s="247"/>
      <c r="D973" s="247"/>
      <c r="E973" s="247"/>
      <c r="F973" s="247"/>
    </row>
    <row r="974" ht="15.75" customHeight="1">
      <c r="A974" s="247"/>
      <c r="B974" s="247"/>
      <c r="C974" s="247"/>
      <c r="D974" s="247"/>
      <c r="E974" s="247"/>
      <c r="F974" s="247"/>
    </row>
    <row r="975" ht="15.75" customHeight="1">
      <c r="A975" s="247"/>
      <c r="B975" s="247"/>
      <c r="C975" s="247"/>
      <c r="D975" s="247"/>
      <c r="E975" s="247"/>
      <c r="F975" s="247"/>
    </row>
    <row r="976" ht="15.75" customHeight="1">
      <c r="A976" s="247"/>
      <c r="B976" s="247"/>
      <c r="C976" s="247"/>
      <c r="D976" s="247"/>
      <c r="E976" s="247"/>
      <c r="F976" s="247"/>
    </row>
    <row r="977" ht="15.75" customHeight="1">
      <c r="A977" s="247"/>
      <c r="B977" s="247"/>
      <c r="C977" s="247"/>
      <c r="D977" s="247"/>
      <c r="E977" s="247"/>
      <c r="F977" s="247"/>
    </row>
    <row r="978" ht="15.75" customHeight="1">
      <c r="A978" s="247"/>
      <c r="B978" s="247"/>
      <c r="C978" s="247"/>
      <c r="D978" s="247"/>
      <c r="E978" s="247"/>
      <c r="F978" s="247"/>
    </row>
    <row r="979" ht="15.75" customHeight="1">
      <c r="A979" s="247"/>
      <c r="B979" s="247"/>
      <c r="C979" s="247"/>
      <c r="D979" s="247"/>
      <c r="E979" s="247"/>
      <c r="F979" s="247"/>
    </row>
    <row r="980" ht="15.75" customHeight="1">
      <c r="A980" s="247"/>
      <c r="B980" s="247"/>
      <c r="C980" s="247"/>
      <c r="D980" s="247"/>
      <c r="E980" s="247"/>
      <c r="F980" s="247"/>
    </row>
    <row r="981" ht="15.75" customHeight="1">
      <c r="A981" s="247"/>
      <c r="B981" s="247"/>
      <c r="C981" s="247"/>
      <c r="D981" s="247"/>
      <c r="E981" s="247"/>
      <c r="F981" s="247"/>
    </row>
    <row r="982" ht="15.75" customHeight="1">
      <c r="A982" s="247"/>
      <c r="B982" s="247"/>
      <c r="C982" s="247"/>
      <c r="D982" s="247"/>
      <c r="E982" s="247"/>
      <c r="F982" s="247"/>
    </row>
    <row r="983" ht="15.75" customHeight="1">
      <c r="A983" s="247"/>
      <c r="B983" s="247"/>
      <c r="C983" s="247"/>
      <c r="D983" s="247"/>
      <c r="E983" s="247"/>
      <c r="F983" s="247"/>
    </row>
    <row r="984" ht="15.75" customHeight="1">
      <c r="A984" s="247"/>
      <c r="B984" s="247"/>
      <c r="C984" s="247"/>
      <c r="D984" s="247"/>
      <c r="E984" s="247"/>
      <c r="F984" s="247"/>
    </row>
    <row r="985" ht="15.75" customHeight="1">
      <c r="A985" s="247"/>
      <c r="B985" s="247"/>
      <c r="C985" s="247"/>
      <c r="D985" s="247"/>
      <c r="E985" s="247"/>
      <c r="F985" s="247"/>
    </row>
    <row r="986" ht="15.75" customHeight="1">
      <c r="A986" s="247"/>
      <c r="B986" s="247"/>
      <c r="C986" s="247"/>
      <c r="D986" s="247"/>
      <c r="E986" s="247"/>
      <c r="F986" s="247"/>
    </row>
    <row r="987" ht="15.75" customHeight="1">
      <c r="A987" s="247"/>
      <c r="B987" s="247"/>
      <c r="C987" s="247"/>
      <c r="D987" s="247"/>
      <c r="E987" s="247"/>
      <c r="F987" s="247"/>
    </row>
    <row r="988" ht="15.75" customHeight="1">
      <c r="A988" s="247"/>
      <c r="B988" s="247"/>
      <c r="C988" s="247"/>
      <c r="D988" s="247"/>
      <c r="E988" s="247"/>
      <c r="F988" s="247"/>
    </row>
    <row r="989" ht="15.75" customHeight="1">
      <c r="A989" s="247"/>
      <c r="B989" s="247"/>
      <c r="C989" s="247"/>
      <c r="D989" s="247"/>
      <c r="E989" s="247"/>
      <c r="F989" s="247"/>
    </row>
    <row r="990" ht="15.75" customHeight="1">
      <c r="A990" s="247"/>
      <c r="B990" s="247"/>
      <c r="C990" s="247"/>
      <c r="D990" s="247"/>
      <c r="E990" s="247"/>
      <c r="F990" s="247"/>
    </row>
    <row r="991" ht="15.75" customHeight="1">
      <c r="A991" s="247"/>
      <c r="B991" s="247"/>
      <c r="C991" s="247"/>
      <c r="D991" s="247"/>
      <c r="E991" s="247"/>
      <c r="F991" s="247"/>
    </row>
    <row r="992" ht="15.75" customHeight="1">
      <c r="A992" s="247"/>
      <c r="B992" s="247"/>
      <c r="C992" s="247"/>
      <c r="D992" s="247"/>
      <c r="E992" s="247"/>
      <c r="F992" s="247"/>
    </row>
    <row r="993" ht="15.75" customHeight="1">
      <c r="A993" s="247"/>
      <c r="B993" s="247"/>
      <c r="C993" s="247"/>
      <c r="D993" s="247"/>
      <c r="E993" s="247"/>
      <c r="F993" s="247"/>
    </row>
    <row r="994" ht="15.75" customHeight="1">
      <c r="A994" s="247"/>
      <c r="B994" s="247"/>
      <c r="C994" s="247"/>
      <c r="D994" s="247"/>
      <c r="E994" s="247"/>
      <c r="F994" s="247"/>
    </row>
    <row r="995" ht="15.75" customHeight="1">
      <c r="A995" s="247"/>
      <c r="B995" s="247"/>
      <c r="C995" s="247"/>
      <c r="D995" s="247"/>
      <c r="E995" s="247"/>
      <c r="F995" s="247"/>
    </row>
    <row r="996" ht="15.75" customHeight="1">
      <c r="A996" s="247"/>
      <c r="B996" s="247"/>
      <c r="C996" s="247"/>
      <c r="D996" s="247"/>
      <c r="E996" s="247"/>
      <c r="F996" s="247"/>
    </row>
    <row r="997" ht="15.75" customHeight="1">
      <c r="A997" s="247"/>
      <c r="B997" s="247"/>
      <c r="C997" s="247"/>
      <c r="D997" s="247"/>
      <c r="E997" s="247"/>
      <c r="F997" s="247"/>
    </row>
    <row r="998" ht="15.75" customHeight="1">
      <c r="A998" s="247"/>
      <c r="B998" s="247"/>
      <c r="C998" s="247"/>
      <c r="D998" s="247"/>
      <c r="E998" s="247"/>
      <c r="F998" s="247"/>
    </row>
    <row r="999" ht="15.75" customHeight="1">
      <c r="A999" s="247"/>
      <c r="B999" s="247"/>
      <c r="C999" s="247"/>
      <c r="D999" s="247"/>
      <c r="E999" s="247"/>
      <c r="F999" s="247"/>
    </row>
    <row r="1000" ht="15.75" customHeight="1">
      <c r="A1000" s="247"/>
      <c r="B1000" s="247"/>
      <c r="C1000" s="247"/>
      <c r="D1000" s="247"/>
      <c r="E1000" s="247"/>
      <c r="F1000" s="24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2020-09-22T06:37:20Z</dcterms:created>
  <dc:creator>kevin.better4@gmail.com</dc:creator>
</cp:coreProperties>
</file>